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l-laptop\Desktop\GitHub Folder\AREC-397C\data\"/>
    </mc:Choice>
  </mc:AlternateContent>
  <xr:revisionPtr revIDLastSave="0" documentId="13_ncr:1_{B79CA5B3-DCAD-4890-99EB-EC53FF4133F8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to do" sheetId="29" r:id="rId1"/>
    <sheet name="t_test_two_samp" sheetId="30" r:id="rId2"/>
    <sheet name="t_test_paired" sheetId="31" r:id="rId3"/>
    <sheet name="202503data" sheetId="27" r:id="rId4"/>
    <sheet name="data dictionary" sheetId="28" r:id="rId5"/>
    <sheet name="all_final with t tests" sheetId="21" r:id="rId6"/>
    <sheet name="notes" sheetId="5" r:id="rId7"/>
  </sheets>
  <definedNames>
    <definedName name="_xlnm._FilterDatabase" localSheetId="3" hidden="1">'202503data'!$A$1:$BK$109</definedName>
    <definedName name="_xlnm._FilterDatabase" localSheetId="5" hidden="1">'all_final with t tests'!$A$1:$DE$340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" i="27" l="1" a="1"/>
  <c r="CD2" i="27" s="1"/>
  <c r="CI3" i="27"/>
  <c r="CI4" i="27"/>
  <c r="CI5" i="27"/>
  <c r="CI6" i="27"/>
  <c r="CI7" i="27"/>
  <c r="CI8" i="27"/>
  <c r="CI9" i="27"/>
  <c r="CI10" i="27"/>
  <c r="CI11" i="27"/>
  <c r="CI12" i="27"/>
  <c r="CI13" i="27"/>
  <c r="CI14" i="27"/>
  <c r="CI15" i="27"/>
  <c r="CI16" i="27"/>
  <c r="CI17" i="27"/>
  <c r="CI18" i="27"/>
  <c r="CI19" i="27"/>
  <c r="CI20" i="27"/>
  <c r="CI21" i="27"/>
  <c r="CI22" i="27"/>
  <c r="CI23" i="27"/>
  <c r="CI24" i="27"/>
  <c r="CI25" i="27"/>
  <c r="CI26" i="27"/>
  <c r="CI27" i="27"/>
  <c r="CI28" i="27"/>
  <c r="CI29" i="27"/>
  <c r="CI30" i="27"/>
  <c r="CI31" i="27"/>
  <c r="CI32" i="27"/>
  <c r="CI33" i="27"/>
  <c r="CI34" i="27"/>
  <c r="CI35" i="27"/>
  <c r="CI36" i="27"/>
  <c r="CI37" i="27"/>
  <c r="CI38" i="27"/>
  <c r="CI39" i="27"/>
  <c r="CI40" i="27"/>
  <c r="CI41" i="27"/>
  <c r="CI42" i="27"/>
  <c r="CI43" i="27"/>
  <c r="CI44" i="27"/>
  <c r="CI45" i="27"/>
  <c r="CI46" i="27"/>
  <c r="CI47" i="27"/>
  <c r="CI48" i="27"/>
  <c r="CI49" i="27"/>
  <c r="CI50" i="27"/>
  <c r="CI51" i="27"/>
  <c r="CI52" i="27"/>
  <c r="CI53" i="27"/>
  <c r="CI54" i="27"/>
  <c r="CI55" i="27"/>
  <c r="CI56" i="27"/>
  <c r="CI57" i="27"/>
  <c r="CI58" i="27"/>
  <c r="CI59" i="27"/>
  <c r="CI60" i="27"/>
  <c r="CI61" i="27"/>
  <c r="CI62" i="27"/>
  <c r="CI63" i="27"/>
  <c r="CI64" i="27"/>
  <c r="CI65" i="27"/>
  <c r="CI66" i="27"/>
  <c r="CI67" i="27"/>
  <c r="CI68" i="27"/>
  <c r="CI69" i="27"/>
  <c r="CI70" i="27"/>
  <c r="CI71" i="27"/>
  <c r="CI72" i="27"/>
  <c r="CI73" i="27"/>
  <c r="CI74" i="27"/>
  <c r="CI75" i="27"/>
  <c r="CI76" i="27"/>
  <c r="CI77" i="27"/>
  <c r="CI78" i="27"/>
  <c r="CI79" i="27"/>
  <c r="CI80" i="27"/>
  <c r="CI81" i="27"/>
  <c r="CI82" i="27"/>
  <c r="CI83" i="27"/>
  <c r="CI84" i="27"/>
  <c r="CI85" i="27"/>
  <c r="CI86" i="27"/>
  <c r="CI87" i="27"/>
  <c r="CI88" i="27"/>
  <c r="CI89" i="27"/>
  <c r="CI90" i="27"/>
  <c r="CI91" i="27"/>
  <c r="CI92" i="27"/>
  <c r="CI93" i="27"/>
  <c r="CI94" i="27"/>
  <c r="CI95" i="27"/>
  <c r="CI96" i="27"/>
  <c r="CI97" i="27"/>
  <c r="CI98" i="27"/>
  <c r="CI99" i="27"/>
  <c r="CI100" i="27"/>
  <c r="CI101" i="27"/>
  <c r="CI102" i="27"/>
  <c r="CI103" i="27"/>
  <c r="CI104" i="27"/>
  <c r="CI105" i="27"/>
  <c r="CI106" i="27"/>
  <c r="CI107" i="27"/>
  <c r="CI108" i="27"/>
  <c r="CI109" i="27"/>
  <c r="CI2" i="27"/>
  <c r="CE2" i="27" l="1" a="1"/>
  <c r="CE2" i="27" s="1"/>
  <c r="CB10" i="27"/>
  <c r="CB11" i="27"/>
  <c r="CB12" i="27"/>
  <c r="CB13" i="27"/>
  <c r="CB14" i="27"/>
  <c r="CB15" i="27"/>
  <c r="CB16" i="27"/>
  <c r="CB17" i="27"/>
  <c r="CB18" i="27"/>
  <c r="CB19" i="27"/>
  <c r="CB20" i="27"/>
  <c r="CB21" i="27"/>
  <c r="CB22" i="27"/>
  <c r="CB23" i="27"/>
  <c r="CB24" i="27"/>
  <c r="CB25" i="27"/>
  <c r="CB26" i="27"/>
  <c r="CB27" i="27"/>
  <c r="CB28" i="27"/>
  <c r="CB29" i="27"/>
  <c r="CB30" i="27"/>
  <c r="CB31" i="27"/>
  <c r="CB32" i="27"/>
  <c r="CB33" i="27"/>
  <c r="CB34" i="27"/>
  <c r="CB35" i="27"/>
  <c r="CB36" i="27"/>
  <c r="CB37" i="27"/>
  <c r="CB38" i="27"/>
  <c r="CB39" i="27"/>
  <c r="CB40" i="27"/>
  <c r="CB41" i="27"/>
  <c r="CB42" i="27"/>
  <c r="CB43" i="27"/>
  <c r="CB44" i="27"/>
  <c r="CB45" i="27"/>
  <c r="CB46" i="27"/>
  <c r="CB47" i="27"/>
  <c r="CB48" i="27"/>
  <c r="CB49" i="27"/>
  <c r="CB50" i="27"/>
  <c r="CB51" i="27"/>
  <c r="CB52" i="27"/>
  <c r="CB53" i="27"/>
  <c r="CB54" i="27"/>
  <c r="CB55" i="27"/>
  <c r="CB56" i="27"/>
  <c r="CB57" i="27"/>
  <c r="CB58" i="27"/>
  <c r="CB59" i="27"/>
  <c r="CB60" i="27"/>
  <c r="CB61" i="27"/>
  <c r="CB62" i="27"/>
  <c r="CB63" i="27"/>
  <c r="CB64" i="27"/>
  <c r="CB65" i="27"/>
  <c r="CB66" i="27"/>
  <c r="CB67" i="27"/>
  <c r="CB68" i="27"/>
  <c r="CB69" i="27"/>
  <c r="CB70" i="27"/>
  <c r="CB71" i="27"/>
  <c r="CB72" i="27"/>
  <c r="CB73" i="27"/>
  <c r="CB74" i="27"/>
  <c r="CB75" i="27"/>
  <c r="CB76" i="27"/>
  <c r="CB77" i="27"/>
  <c r="CB78" i="27"/>
  <c r="CB79" i="27"/>
  <c r="CB80" i="27"/>
  <c r="CB81" i="27"/>
  <c r="CB82" i="27"/>
  <c r="CB83" i="27"/>
  <c r="CB84" i="27"/>
  <c r="CB85" i="27"/>
  <c r="CB86" i="27"/>
  <c r="CB87" i="27"/>
  <c r="CB88" i="27"/>
  <c r="CB89" i="27"/>
  <c r="CB90" i="27"/>
  <c r="CB91" i="27"/>
  <c r="CB92" i="27"/>
  <c r="CB93" i="27"/>
  <c r="CB94" i="27"/>
  <c r="CB95" i="27"/>
  <c r="CB96" i="27"/>
  <c r="CB97" i="27"/>
  <c r="CB98" i="27"/>
  <c r="CB99" i="27"/>
  <c r="CB100" i="27"/>
  <c r="CB101" i="27"/>
  <c r="CB102" i="27"/>
  <c r="CB103" i="27"/>
  <c r="CB104" i="27"/>
  <c r="CB105" i="27"/>
  <c r="CB106" i="27"/>
  <c r="CB107" i="27"/>
  <c r="CB108" i="27"/>
  <c r="CB109" i="27"/>
  <c r="CB9" i="27"/>
  <c r="CB4" i="27"/>
  <c r="CB5" i="27"/>
  <c r="CB6" i="27"/>
  <c r="CB7" i="27"/>
  <c r="CB8" i="27"/>
  <c r="CB3" i="27"/>
  <c r="CB2" i="27"/>
  <c r="BT20" i="27"/>
  <c r="BT19" i="27"/>
  <c r="BS20" i="27"/>
  <c r="BS19" i="27"/>
  <c r="BP22" i="27"/>
  <c r="BP21" i="27"/>
  <c r="BP20" i="27"/>
  <c r="BP19" i="27"/>
  <c r="AR23" i="27" a="1"/>
  <c r="AR23" i="27" s="1"/>
  <c r="BK23" i="27" s="1"/>
  <c r="AV109" i="27"/>
  <c r="AW109" i="27"/>
  <c r="AS109" i="27" a="1"/>
  <c r="AS109" i="27" s="1"/>
  <c r="AR109" i="27" a="1"/>
  <c r="AR109" i="27" s="1"/>
  <c r="AV108" i="27"/>
  <c r="AW108" i="27"/>
  <c r="AS108" i="27" a="1"/>
  <c r="AS108" i="27" s="1"/>
  <c r="AR108" i="27" a="1"/>
  <c r="AR108" i="27" s="1"/>
  <c r="AV107" i="27"/>
  <c r="AW107" i="27"/>
  <c r="AS107" i="27" a="1"/>
  <c r="AS107" i="27" s="1"/>
  <c r="AR107" i="27" a="1"/>
  <c r="AR107" i="27" s="1"/>
  <c r="AV106" i="27"/>
  <c r="AW106" i="27"/>
  <c r="AS106" i="27" a="1"/>
  <c r="AS106" i="27" s="1"/>
  <c r="AR106" i="27" a="1"/>
  <c r="AR106" i="27" s="1"/>
  <c r="AV105" i="27"/>
  <c r="AW105" i="27"/>
  <c r="AS105" i="27" a="1"/>
  <c r="AS105" i="27" s="1"/>
  <c r="AR105" i="27" a="1"/>
  <c r="AR105" i="27" s="1"/>
  <c r="AV104" i="27"/>
  <c r="AW104" i="27"/>
  <c r="AS104" i="27" a="1"/>
  <c r="AS104" i="27" s="1"/>
  <c r="AR104" i="27" a="1"/>
  <c r="AR104" i="27" s="1"/>
  <c r="BJ104" i="27" s="1"/>
  <c r="AS103" i="27" a="1"/>
  <c r="AS103" i="27" s="1"/>
  <c r="AR103" i="27" a="1"/>
  <c r="AR103" i="27" s="1"/>
  <c r="BC103" i="27" s="1"/>
  <c r="AV102" i="27"/>
  <c r="AW102" i="27"/>
  <c r="AS102" i="27" a="1"/>
  <c r="AS102" i="27" s="1"/>
  <c r="AR102" i="27" a="1"/>
  <c r="AR102" i="27" s="1"/>
  <c r="AV101" i="27"/>
  <c r="AW101" i="27"/>
  <c r="AS101" i="27" a="1"/>
  <c r="AS101" i="27" s="1"/>
  <c r="AR101" i="27" a="1"/>
  <c r="AR101" i="27" s="1"/>
  <c r="AV100" i="27"/>
  <c r="AW100" i="27"/>
  <c r="AS100" i="27" a="1"/>
  <c r="AS100" i="27" s="1"/>
  <c r="AR100" i="27" a="1"/>
  <c r="AR100" i="27" s="1"/>
  <c r="BI100" i="27" s="1"/>
  <c r="AV99" i="27"/>
  <c r="AW99" i="27"/>
  <c r="AS99" i="27" a="1"/>
  <c r="AS99" i="27" s="1"/>
  <c r="AR99" i="27" a="1"/>
  <c r="AR99" i="27" s="1"/>
  <c r="AV98" i="27"/>
  <c r="AW98" i="27"/>
  <c r="AS98" i="27" a="1"/>
  <c r="AS98" i="27" s="1"/>
  <c r="AR98" i="27" a="1"/>
  <c r="AR98" i="27" s="1"/>
  <c r="BK98" i="27" s="1"/>
  <c r="AW97" i="27"/>
  <c r="AS97" i="27" a="1"/>
  <c r="AS97" i="27" s="1"/>
  <c r="AR97" i="27" a="1"/>
  <c r="AR97" i="27" s="1"/>
  <c r="BG97" i="27" s="1"/>
  <c r="AV96" i="27"/>
  <c r="AW96" i="27"/>
  <c r="AS96" i="27" a="1"/>
  <c r="AS96" i="27" s="1"/>
  <c r="AR96" i="27" a="1"/>
  <c r="AR96" i="27" s="1"/>
  <c r="BH96" i="27" s="1"/>
  <c r="AV95" i="27"/>
  <c r="AW95" i="27"/>
  <c r="AS95" i="27" a="1"/>
  <c r="AS95" i="27" s="1"/>
  <c r="AR95" i="27" a="1"/>
  <c r="AR95" i="27" s="1"/>
  <c r="BB95" i="27" s="1"/>
  <c r="AV94" i="27"/>
  <c r="AW94" i="27"/>
  <c r="AS94" i="27" a="1"/>
  <c r="AS94" i="27" s="1"/>
  <c r="AR94" i="27" a="1"/>
  <c r="AR94" i="27" s="1"/>
  <c r="BJ94" i="27" s="1"/>
  <c r="AW93" i="27"/>
  <c r="AS93" i="27" a="1"/>
  <c r="AS93" i="27" s="1"/>
  <c r="AR93" i="27" a="1"/>
  <c r="AR93" i="27" s="1"/>
  <c r="AY93" i="27" s="1"/>
  <c r="AV92" i="27"/>
  <c r="AW92" i="27"/>
  <c r="AS92" i="27" a="1"/>
  <c r="AS92" i="27" s="1"/>
  <c r="AR92" i="27" a="1"/>
  <c r="AR92" i="27" s="1"/>
  <c r="AV91" i="27"/>
  <c r="AW91" i="27"/>
  <c r="AS91" i="27" a="1"/>
  <c r="AS91" i="27" s="1"/>
  <c r="AR91" i="27" a="1"/>
  <c r="AR91" i="27" s="1"/>
  <c r="AV90" i="27"/>
  <c r="AW90" i="27"/>
  <c r="AS90" i="27" a="1"/>
  <c r="AS90" i="27" s="1"/>
  <c r="AR90" i="27" a="1"/>
  <c r="AR90" i="27" s="1"/>
  <c r="BI90" i="27" s="1"/>
  <c r="AV89" i="27"/>
  <c r="AW89" i="27"/>
  <c r="AS89" i="27" a="1"/>
  <c r="AS89" i="27" s="1"/>
  <c r="AR89" i="27" a="1"/>
  <c r="AR89" i="27" s="1"/>
  <c r="BJ89" i="27" s="1"/>
  <c r="AV88" i="27"/>
  <c r="AW88" i="27"/>
  <c r="AS88" i="27" a="1"/>
  <c r="AS88" i="27" s="1"/>
  <c r="AR88" i="27" a="1"/>
  <c r="AR88" i="27" s="1"/>
  <c r="AV87" i="27"/>
  <c r="AW87" i="27"/>
  <c r="AS87" i="27" a="1"/>
  <c r="AS87" i="27" s="1"/>
  <c r="AR87" i="27" a="1"/>
  <c r="AR87" i="27" s="1"/>
  <c r="AV86" i="27"/>
  <c r="AW86" i="27"/>
  <c r="AS86" i="27" a="1"/>
  <c r="AS86" i="27" s="1"/>
  <c r="AR86" i="27" a="1"/>
  <c r="AR86" i="27" s="1"/>
  <c r="AV85" i="27"/>
  <c r="AW85" i="27"/>
  <c r="AS85" i="27" a="1"/>
  <c r="AS85" i="27" s="1"/>
  <c r="AR85" i="27" a="1"/>
  <c r="AR85" i="27" s="1"/>
  <c r="AZ85" i="27" s="1"/>
  <c r="AW84" i="27"/>
  <c r="AS84" i="27" a="1"/>
  <c r="AS84" i="27" s="1"/>
  <c r="AR84" i="27" a="1"/>
  <c r="AR84" i="27" s="1"/>
  <c r="BI84" i="27" s="1"/>
  <c r="AV83" i="27"/>
  <c r="AS83" i="27" a="1"/>
  <c r="AS83" i="27" s="1"/>
  <c r="AR83" i="27" a="1"/>
  <c r="AR83" i="27" s="1"/>
  <c r="AV82" i="27"/>
  <c r="AW82" i="27"/>
  <c r="AS82" i="27" a="1"/>
  <c r="AS82" i="27" s="1"/>
  <c r="AR82" i="27" a="1"/>
  <c r="AR82" i="27" s="1"/>
  <c r="AV81" i="27"/>
  <c r="AW81" i="27"/>
  <c r="AS81" i="27" a="1"/>
  <c r="AS81" i="27" s="1"/>
  <c r="AR81" i="27" a="1"/>
  <c r="AR81" i="27" s="1"/>
  <c r="BA81" i="27" s="1"/>
  <c r="AV80" i="27"/>
  <c r="AW80" i="27"/>
  <c r="AS80" i="27" a="1"/>
  <c r="AS80" i="27" s="1"/>
  <c r="AR80" i="27" a="1"/>
  <c r="AR80" i="27" s="1"/>
  <c r="BK80" i="27" s="1"/>
  <c r="AV79" i="27"/>
  <c r="AW79" i="27"/>
  <c r="AS79" i="27" a="1"/>
  <c r="AS79" i="27" s="1"/>
  <c r="AR79" i="27" a="1"/>
  <c r="AR79" i="27" s="1"/>
  <c r="BE79" i="27" s="1"/>
  <c r="AV78" i="27"/>
  <c r="AW78" i="27"/>
  <c r="AS78" i="27" a="1"/>
  <c r="AS78" i="27" s="1"/>
  <c r="AR78" i="27" a="1"/>
  <c r="AR78" i="27" s="1"/>
  <c r="AV77" i="27"/>
  <c r="AW77" i="27"/>
  <c r="AS77" i="27" a="1"/>
  <c r="AS77" i="27" s="1"/>
  <c r="AR77" i="27" a="1"/>
  <c r="AR77" i="27" s="1"/>
  <c r="BI77" i="27" s="1"/>
  <c r="AV76" i="27"/>
  <c r="AW76" i="27"/>
  <c r="AS76" i="27" a="1"/>
  <c r="AS76" i="27" s="1"/>
  <c r="AR76" i="27" a="1"/>
  <c r="AR76" i="27" s="1"/>
  <c r="AW75" i="27"/>
  <c r="AS75" i="27" a="1"/>
  <c r="AS75" i="27" s="1"/>
  <c r="AR75" i="27" a="1"/>
  <c r="AR75" i="27" s="1"/>
  <c r="BK75" i="27" s="1"/>
  <c r="AV74" i="27"/>
  <c r="AW74" i="27"/>
  <c r="AS74" i="27" a="1"/>
  <c r="AS74" i="27" s="1"/>
  <c r="AR74" i="27" a="1"/>
  <c r="AR74" i="27" s="1"/>
  <c r="AV73" i="27"/>
  <c r="AW73" i="27"/>
  <c r="AS73" i="27" a="1"/>
  <c r="AS73" i="27" s="1"/>
  <c r="AR73" i="27" a="1"/>
  <c r="AR73" i="27" s="1"/>
  <c r="BK73" i="27" s="1"/>
  <c r="AV72" i="27"/>
  <c r="AW72" i="27"/>
  <c r="AS72" i="27" a="1"/>
  <c r="AS72" i="27" s="1"/>
  <c r="AR72" i="27" a="1"/>
  <c r="AR72" i="27" s="1"/>
  <c r="BC72" i="27" s="1"/>
  <c r="AV71" i="27"/>
  <c r="AW71" i="27"/>
  <c r="AS71" i="27" a="1"/>
  <c r="AS71" i="27" s="1"/>
  <c r="AR71" i="27" a="1"/>
  <c r="AR71" i="27" s="1"/>
  <c r="BK71" i="27" s="1"/>
  <c r="AV70" i="27"/>
  <c r="AW70" i="27"/>
  <c r="AS70" i="27" a="1"/>
  <c r="AS70" i="27" s="1"/>
  <c r="AR70" i="27" a="1"/>
  <c r="AR70" i="27" s="1"/>
  <c r="AY70" i="27" s="1"/>
  <c r="AV69" i="27"/>
  <c r="AW69" i="27"/>
  <c r="AS69" i="27" a="1"/>
  <c r="AS69" i="27" s="1"/>
  <c r="AR69" i="27" a="1"/>
  <c r="AR69" i="27" s="1"/>
  <c r="BK69" i="27" s="1"/>
  <c r="AV68" i="27"/>
  <c r="AW68" i="27"/>
  <c r="AS68" i="27" a="1"/>
  <c r="AS68" i="27" s="1"/>
  <c r="AR68" i="27" a="1"/>
  <c r="AR68" i="27" s="1"/>
  <c r="BI68" i="27" s="1"/>
  <c r="AV67" i="27"/>
  <c r="AW67" i="27"/>
  <c r="AS67" i="27" a="1"/>
  <c r="AS67" i="27" s="1"/>
  <c r="AR67" i="27" a="1"/>
  <c r="AR67" i="27" s="1"/>
  <c r="AV66" i="27"/>
  <c r="AW66" i="27"/>
  <c r="AS66" i="27" a="1"/>
  <c r="AS66" i="27" s="1"/>
  <c r="AR66" i="27" a="1"/>
  <c r="AR66" i="27" s="1"/>
  <c r="AY66" i="27" s="1"/>
  <c r="AV65" i="27"/>
  <c r="AW65" i="27"/>
  <c r="AS65" i="27" a="1"/>
  <c r="AS65" i="27" s="1"/>
  <c r="AR65" i="27" a="1"/>
  <c r="AR65" i="27" s="1"/>
  <c r="BC65" i="27" s="1"/>
  <c r="AV64" i="27"/>
  <c r="AW64" i="27"/>
  <c r="AS64" i="27" a="1"/>
  <c r="AS64" i="27" s="1"/>
  <c r="AR64" i="27" a="1"/>
  <c r="AR64" i="27" s="1"/>
  <c r="AV63" i="27"/>
  <c r="AW63" i="27"/>
  <c r="AS63" i="27" a="1"/>
  <c r="AS63" i="27" s="1"/>
  <c r="AR63" i="27" a="1"/>
  <c r="AR63" i="27" s="1"/>
  <c r="BF63" i="27" s="1"/>
  <c r="AV62" i="27"/>
  <c r="AW62" i="27"/>
  <c r="AS62" i="27" a="1"/>
  <c r="AS62" i="27" s="1"/>
  <c r="AR62" i="27" a="1"/>
  <c r="AR62" i="27" s="1"/>
  <c r="BA62" i="27" s="1"/>
  <c r="AV61" i="27"/>
  <c r="AW61" i="27"/>
  <c r="AS61" i="27" a="1"/>
  <c r="AS61" i="27" s="1"/>
  <c r="AR61" i="27" a="1"/>
  <c r="AR61" i="27" s="1"/>
  <c r="BK61" i="27" s="1"/>
  <c r="AV60" i="27"/>
  <c r="AW60" i="27"/>
  <c r="AS60" i="27" a="1"/>
  <c r="AS60" i="27" s="1"/>
  <c r="AR60" i="27" a="1"/>
  <c r="AR60" i="27" s="1"/>
  <c r="BE60" i="27" s="1"/>
  <c r="AV59" i="27"/>
  <c r="AW59" i="27"/>
  <c r="AS59" i="27" a="1"/>
  <c r="AS59" i="27" s="1"/>
  <c r="AR59" i="27" a="1"/>
  <c r="AR59" i="27" s="1"/>
  <c r="BK59" i="27" s="1"/>
  <c r="AV58" i="27"/>
  <c r="AW58" i="27"/>
  <c r="AS58" i="27" a="1"/>
  <c r="AS58" i="27" s="1"/>
  <c r="AR58" i="27" a="1"/>
  <c r="AR58" i="27" s="1"/>
  <c r="BJ58" i="27" s="1"/>
  <c r="AV57" i="27"/>
  <c r="AW57" i="27"/>
  <c r="AS57" i="27" a="1"/>
  <c r="AS57" i="27" s="1"/>
  <c r="AR57" i="27" a="1"/>
  <c r="AR57" i="27" s="1"/>
  <c r="BG57" i="27" s="1"/>
  <c r="AV56" i="27"/>
  <c r="AW56" i="27"/>
  <c r="AS56" i="27" a="1"/>
  <c r="AS56" i="27" s="1"/>
  <c r="AR56" i="27" a="1"/>
  <c r="AR56" i="27" s="1"/>
  <c r="BK56" i="27" s="1"/>
  <c r="AV55" i="27"/>
  <c r="AW55" i="27"/>
  <c r="AS55" i="27" a="1"/>
  <c r="AS55" i="27" s="1"/>
  <c r="AR55" i="27" a="1"/>
  <c r="AR55" i="27" s="1"/>
  <c r="BC55" i="27" s="1"/>
  <c r="AV54" i="27"/>
  <c r="AW54" i="27"/>
  <c r="AS54" i="27" a="1"/>
  <c r="AS54" i="27" s="1"/>
  <c r="AR54" i="27" a="1"/>
  <c r="AR54" i="27" s="1"/>
  <c r="BH54" i="27" s="1"/>
  <c r="AV53" i="27"/>
  <c r="AW53" i="27"/>
  <c r="AS53" i="27" a="1"/>
  <c r="AS53" i="27" s="1"/>
  <c r="AR53" i="27" a="1"/>
  <c r="AR53" i="27" s="1"/>
  <c r="BK53" i="27" s="1"/>
  <c r="AV52" i="27"/>
  <c r="AW52" i="27"/>
  <c r="AS52" i="27" a="1"/>
  <c r="AS52" i="27" s="1"/>
  <c r="AR52" i="27" a="1"/>
  <c r="AR52" i="27" s="1"/>
  <c r="BA52" i="27" s="1"/>
  <c r="AV51" i="27"/>
  <c r="AW51" i="27"/>
  <c r="AS51" i="27" a="1"/>
  <c r="AS51" i="27" s="1"/>
  <c r="AR51" i="27" a="1"/>
  <c r="AR51" i="27" s="1"/>
  <c r="BA51" i="27" s="1"/>
  <c r="AV50" i="27"/>
  <c r="AW50" i="27"/>
  <c r="AS50" i="27" a="1"/>
  <c r="AS50" i="27" s="1"/>
  <c r="AR50" i="27" a="1"/>
  <c r="AR50" i="27" s="1"/>
  <c r="BJ50" i="27" s="1"/>
  <c r="AW49" i="27"/>
  <c r="AS49" i="27" a="1"/>
  <c r="AS49" i="27" s="1"/>
  <c r="AR49" i="27" a="1"/>
  <c r="AR49" i="27" s="1"/>
  <c r="AV48" i="27"/>
  <c r="AW48" i="27"/>
  <c r="AS48" i="27" a="1"/>
  <c r="AS48" i="27" s="1"/>
  <c r="AR48" i="27" a="1"/>
  <c r="AR48" i="27" s="1"/>
  <c r="BH48" i="27" s="1"/>
  <c r="AV47" i="27"/>
  <c r="AW47" i="27"/>
  <c r="AS47" i="27" a="1"/>
  <c r="AS47" i="27" s="1"/>
  <c r="AR47" i="27" a="1"/>
  <c r="AR47" i="27" s="1"/>
  <c r="BJ47" i="27" s="1"/>
  <c r="AV46" i="27"/>
  <c r="AW46" i="27"/>
  <c r="AS46" i="27" a="1"/>
  <c r="AS46" i="27" s="1"/>
  <c r="AR46" i="27" a="1"/>
  <c r="AR46" i="27" s="1"/>
  <c r="BG46" i="27" s="1"/>
  <c r="AV45" i="27"/>
  <c r="AW45" i="27"/>
  <c r="AS45" i="27" a="1"/>
  <c r="AS45" i="27" s="1"/>
  <c r="AR45" i="27" a="1"/>
  <c r="AR45" i="27" s="1"/>
  <c r="BK45" i="27" s="1"/>
  <c r="AW44" i="27"/>
  <c r="AS44" i="27" a="1"/>
  <c r="AS44" i="27" s="1"/>
  <c r="AR44" i="27" a="1"/>
  <c r="AR44" i="27" s="1"/>
  <c r="AY44" i="27" s="1"/>
  <c r="AV43" i="27"/>
  <c r="AW43" i="27"/>
  <c r="AS43" i="27" a="1"/>
  <c r="AS43" i="27" s="1"/>
  <c r="AR43" i="27" a="1"/>
  <c r="AR43" i="27" s="1"/>
  <c r="BE43" i="27" s="1"/>
  <c r="AV42" i="27"/>
  <c r="AW42" i="27"/>
  <c r="AS42" i="27" a="1"/>
  <c r="AS42" i="27" s="1"/>
  <c r="AR42" i="27" a="1"/>
  <c r="AR42" i="27" s="1"/>
  <c r="AW41" i="27"/>
  <c r="AS41" i="27" a="1"/>
  <c r="AS41" i="27" s="1"/>
  <c r="AR41" i="27" a="1"/>
  <c r="AR41" i="27" s="1"/>
  <c r="AX41" i="27" s="1"/>
  <c r="AV40" i="27"/>
  <c r="AW40" i="27"/>
  <c r="AS40" i="27" a="1"/>
  <c r="AS40" i="27" s="1"/>
  <c r="AR40" i="27" a="1"/>
  <c r="AR40" i="27" s="1"/>
  <c r="AV39" i="27"/>
  <c r="AW39" i="27"/>
  <c r="AS39" i="27" a="1"/>
  <c r="AS39" i="27" s="1"/>
  <c r="AR39" i="27" a="1"/>
  <c r="AR39" i="27" s="1"/>
  <c r="AV38" i="27"/>
  <c r="AW38" i="27"/>
  <c r="AS38" i="27" a="1"/>
  <c r="AS38" i="27" s="1"/>
  <c r="AR38" i="27" a="1"/>
  <c r="AR38" i="27" s="1"/>
  <c r="BE38" i="27" s="1"/>
  <c r="AV37" i="27"/>
  <c r="AW37" i="27"/>
  <c r="AS37" i="27" a="1"/>
  <c r="AS37" i="27" s="1"/>
  <c r="AR37" i="27" a="1"/>
  <c r="AR37" i="27" s="1"/>
  <c r="BA37" i="27" s="1"/>
  <c r="AV36" i="27"/>
  <c r="AW36" i="27"/>
  <c r="AS36" i="27" a="1"/>
  <c r="AS36" i="27" s="1"/>
  <c r="AR36" i="27" a="1"/>
  <c r="AR36" i="27" s="1"/>
  <c r="BE36" i="27" s="1"/>
  <c r="AW35" i="27"/>
  <c r="AS35" i="27" a="1"/>
  <c r="AS35" i="27" s="1"/>
  <c r="AR35" i="27" a="1"/>
  <c r="AR35" i="27" s="1"/>
  <c r="BI35" i="27" s="1"/>
  <c r="AV34" i="27"/>
  <c r="AW34" i="27"/>
  <c r="AS34" i="27" a="1"/>
  <c r="AS34" i="27" s="1"/>
  <c r="AR34" i="27" a="1"/>
  <c r="AR34" i="27" s="1"/>
  <c r="BH34" i="27" s="1"/>
  <c r="AV33" i="27"/>
  <c r="AW33" i="27"/>
  <c r="AS33" i="27" a="1"/>
  <c r="AS33" i="27" s="1"/>
  <c r="AR33" i="27" a="1"/>
  <c r="AR33" i="27" s="1"/>
  <c r="BH33" i="27" s="1"/>
  <c r="AW32" i="27"/>
  <c r="AS32" i="27" a="1"/>
  <c r="AS32" i="27" s="1"/>
  <c r="AR32" i="27" a="1"/>
  <c r="AR32" i="27" s="1"/>
  <c r="BA32" i="27" s="1"/>
  <c r="AV31" i="27"/>
  <c r="AW31" i="27"/>
  <c r="AS31" i="27" a="1"/>
  <c r="AS31" i="27" s="1"/>
  <c r="AR31" i="27" a="1"/>
  <c r="AR31" i="27" s="1"/>
  <c r="AY31" i="27" s="1"/>
  <c r="AV30" i="27"/>
  <c r="AW30" i="27"/>
  <c r="AS30" i="27" a="1"/>
  <c r="AS30" i="27" s="1"/>
  <c r="AR30" i="27" a="1"/>
  <c r="AR30" i="27" s="1"/>
  <c r="AV29" i="27"/>
  <c r="AW29" i="27"/>
  <c r="AS29" i="27" a="1"/>
  <c r="AS29" i="27" s="1"/>
  <c r="AR29" i="27" a="1"/>
  <c r="AR29" i="27" s="1"/>
  <c r="BD29" i="27" s="1"/>
  <c r="AV28" i="27"/>
  <c r="AW28" i="27"/>
  <c r="AS28" i="27" a="1"/>
  <c r="AS28" i="27" s="1"/>
  <c r="AR28" i="27" a="1"/>
  <c r="AR28" i="27" s="1"/>
  <c r="BG28" i="27" s="1"/>
  <c r="AV27" i="27"/>
  <c r="AW27" i="27"/>
  <c r="AS27" i="27" a="1"/>
  <c r="AS27" i="27" s="1"/>
  <c r="AR27" i="27" a="1"/>
  <c r="AR27" i="27" s="1"/>
  <c r="AV26" i="27"/>
  <c r="AW26" i="27"/>
  <c r="AS26" i="27" a="1"/>
  <c r="AS26" i="27" s="1"/>
  <c r="AR26" i="27" a="1"/>
  <c r="AR26" i="27" s="1"/>
  <c r="BJ26" i="27" s="1"/>
  <c r="AV25" i="27"/>
  <c r="AW25" i="27"/>
  <c r="AS25" i="27" a="1"/>
  <c r="AS25" i="27" s="1"/>
  <c r="AR25" i="27" a="1"/>
  <c r="AR25" i="27" s="1"/>
  <c r="AX25" i="27" s="1"/>
  <c r="AV24" i="27"/>
  <c r="AW24" i="27"/>
  <c r="AS24" i="27" a="1"/>
  <c r="AS24" i="27" s="1"/>
  <c r="AR24" i="27" a="1"/>
  <c r="AR24" i="27" s="1"/>
  <c r="BC24" i="27" s="1"/>
  <c r="AV23" i="27"/>
  <c r="AW23" i="27"/>
  <c r="AS23" i="27" a="1"/>
  <c r="AS23" i="27" s="1"/>
  <c r="AV22" i="27"/>
  <c r="AW22" i="27"/>
  <c r="AS22" i="27" a="1"/>
  <c r="AS22" i="27" s="1"/>
  <c r="AR22" i="27" a="1"/>
  <c r="AR22" i="27" s="1"/>
  <c r="BK22" i="27" s="1"/>
  <c r="AV21" i="27"/>
  <c r="AW21" i="27"/>
  <c r="AS21" i="27" a="1"/>
  <c r="AS21" i="27" s="1"/>
  <c r="AR21" i="27" a="1"/>
  <c r="AR21" i="27" s="1"/>
  <c r="BI21" i="27" s="1"/>
  <c r="AV20" i="27"/>
  <c r="AW20" i="27"/>
  <c r="AS20" i="27" a="1"/>
  <c r="AS20" i="27" s="1"/>
  <c r="AR20" i="27" a="1"/>
  <c r="AR20" i="27" s="1"/>
  <c r="AX20" i="27" s="1"/>
  <c r="AV19" i="27"/>
  <c r="AW19" i="27"/>
  <c r="AS19" i="27" a="1"/>
  <c r="AS19" i="27" s="1"/>
  <c r="AR19" i="27" a="1"/>
  <c r="AR19" i="27" s="1"/>
  <c r="BJ19" i="27" s="1"/>
  <c r="AW18" i="27"/>
  <c r="AS18" i="27" a="1"/>
  <c r="AS18" i="27" s="1"/>
  <c r="AR18" i="27" a="1"/>
  <c r="AR18" i="27" s="1"/>
  <c r="BC18" i="27" s="1"/>
  <c r="AV17" i="27"/>
  <c r="AW17" i="27"/>
  <c r="AS17" i="27" a="1"/>
  <c r="AS17" i="27" s="1"/>
  <c r="AR17" i="27" a="1"/>
  <c r="AR17" i="27" s="1"/>
  <c r="BK17" i="27" s="1"/>
  <c r="AV16" i="27"/>
  <c r="AW16" i="27"/>
  <c r="AS16" i="27" a="1"/>
  <c r="AS16" i="27" s="1"/>
  <c r="AR16" i="27" a="1"/>
  <c r="AR16" i="27" s="1"/>
  <c r="BG16" i="27" s="1"/>
  <c r="AV15" i="27"/>
  <c r="AW15" i="27"/>
  <c r="AS15" i="27" a="1"/>
  <c r="AS15" i="27" s="1"/>
  <c r="AR15" i="27" a="1"/>
  <c r="AR15" i="27" s="1"/>
  <c r="BC15" i="27" s="1"/>
  <c r="AV14" i="27"/>
  <c r="AW14" i="27"/>
  <c r="AS14" i="27" a="1"/>
  <c r="AS14" i="27" s="1"/>
  <c r="AR14" i="27" a="1"/>
  <c r="AR14" i="27" s="1"/>
  <c r="BI14" i="27" s="1"/>
  <c r="AV13" i="27"/>
  <c r="AW13" i="27"/>
  <c r="AS13" i="27" a="1"/>
  <c r="AS13" i="27" s="1"/>
  <c r="AR13" i="27" a="1"/>
  <c r="AR13" i="27" s="1"/>
  <c r="BH13" i="27" s="1"/>
  <c r="AV12" i="27"/>
  <c r="AW12" i="27"/>
  <c r="AS12" i="27" a="1"/>
  <c r="AS12" i="27" s="1"/>
  <c r="AR12" i="27" a="1"/>
  <c r="AR12" i="27" s="1"/>
  <c r="BA12" i="27" s="1"/>
  <c r="AV11" i="27"/>
  <c r="AW11" i="27"/>
  <c r="AS11" i="27" a="1"/>
  <c r="AS11" i="27" s="1"/>
  <c r="AR11" i="27" a="1"/>
  <c r="AR11" i="27" s="1"/>
  <c r="BH11" i="27" s="1"/>
  <c r="AV10" i="27"/>
  <c r="AW10" i="27"/>
  <c r="AS10" i="27" a="1"/>
  <c r="AS10" i="27" s="1"/>
  <c r="AR10" i="27" a="1"/>
  <c r="AR10" i="27" s="1"/>
  <c r="BE10" i="27" s="1"/>
  <c r="AV9" i="27"/>
  <c r="AW9" i="27"/>
  <c r="AS9" i="27" a="1"/>
  <c r="AS9" i="27" s="1"/>
  <c r="AR9" i="27" a="1"/>
  <c r="AR9" i="27" s="1"/>
  <c r="AZ9" i="27" s="1"/>
  <c r="AV8" i="27"/>
  <c r="AW8" i="27"/>
  <c r="AS8" i="27" a="1"/>
  <c r="AS8" i="27" s="1"/>
  <c r="AR8" i="27" a="1"/>
  <c r="AR8" i="27" s="1"/>
  <c r="BE8" i="27" s="1"/>
  <c r="AV7" i="27"/>
  <c r="AW7" i="27"/>
  <c r="AS7" i="27" a="1"/>
  <c r="AS7" i="27" s="1"/>
  <c r="AR7" i="27" a="1"/>
  <c r="AR7" i="27" s="1"/>
  <c r="BF7" i="27" s="1"/>
  <c r="AV6" i="27"/>
  <c r="AW6" i="27"/>
  <c r="AS6" i="27" a="1"/>
  <c r="AS6" i="27" s="1"/>
  <c r="AR6" i="27" a="1"/>
  <c r="AR6" i="27" s="1"/>
  <c r="BG6" i="27" s="1"/>
  <c r="AW5" i="27"/>
  <c r="AS5" i="27" a="1"/>
  <c r="AS5" i="27" s="1"/>
  <c r="AR5" i="27" a="1"/>
  <c r="AR5" i="27" s="1"/>
  <c r="AX5" i="27" s="1"/>
  <c r="AV4" i="27"/>
  <c r="AW4" i="27"/>
  <c r="AS4" i="27" a="1"/>
  <c r="AS4" i="27" s="1"/>
  <c r="AR4" i="27" a="1"/>
  <c r="AR4" i="27" s="1"/>
  <c r="BB4" i="27" s="1"/>
  <c r="AV3" i="27"/>
  <c r="AW3" i="27"/>
  <c r="AS3" i="27" a="1"/>
  <c r="AS3" i="27" s="1"/>
  <c r="AR3" i="27" a="1"/>
  <c r="AR3" i="27" s="1"/>
  <c r="BE3" i="27" s="1"/>
  <c r="AV2" i="27"/>
  <c r="AS2" i="27" a="1"/>
  <c r="AS2" i="27" s="1"/>
  <c r="AR2" i="27" a="1"/>
  <c r="AR2" i="27" s="1"/>
  <c r="BE2" i="27" s="1"/>
  <c r="CZ339" i="21" a="1"/>
  <c r="CZ339" i="21" s="1"/>
  <c r="CZ338" i="21" a="1"/>
  <c r="CZ338" i="21" s="1"/>
  <c r="CZ337" i="21" a="1"/>
  <c r="CZ337" i="21" s="1"/>
  <c r="CZ336" i="21"/>
  <c r="CZ336" i="21" a="1"/>
  <c r="CZ335" i="21" a="1"/>
  <c r="CZ335" i="21" s="1"/>
  <c r="CZ334" i="21" a="1"/>
  <c r="CZ334" i="21" s="1"/>
  <c r="CZ333" i="21" a="1"/>
  <c r="CZ333" i="21" s="1"/>
  <c r="CZ332" i="21"/>
  <c r="CZ332" i="21" a="1"/>
  <c r="CZ331" i="21" a="1"/>
  <c r="CZ331" i="21" s="1"/>
  <c r="CZ330" i="21" a="1"/>
  <c r="CZ330" i="21" s="1"/>
  <c r="CZ329" i="21" a="1"/>
  <c r="CZ329" i="21" s="1"/>
  <c r="CZ328" i="21"/>
  <c r="CZ328" i="21" a="1"/>
  <c r="CZ327" i="21" a="1"/>
  <c r="CZ327" i="21" s="1"/>
  <c r="CZ326" i="21" a="1"/>
  <c r="CZ326" i="21" s="1"/>
  <c r="CZ325" i="21" a="1"/>
  <c r="CZ325" i="21" s="1"/>
  <c r="CZ324" i="21"/>
  <c r="CZ324" i="21" a="1"/>
  <c r="CZ323" i="21" a="1"/>
  <c r="CZ323" i="21" s="1"/>
  <c r="CZ322" i="21" a="1"/>
  <c r="CZ322" i="21" s="1"/>
  <c r="CZ321" i="21" a="1"/>
  <c r="CZ321" i="21" s="1"/>
  <c r="CZ320" i="21"/>
  <c r="CZ320" i="21" a="1"/>
  <c r="CZ319" i="21" a="1"/>
  <c r="CZ319" i="21" s="1"/>
  <c r="CZ318" i="21" a="1"/>
  <c r="CZ318" i="21" s="1"/>
  <c r="CZ317" i="21" a="1"/>
  <c r="CZ317" i="21" s="1"/>
  <c r="CZ316" i="21"/>
  <c r="CZ316" i="21" a="1"/>
  <c r="CZ315" i="21" a="1"/>
  <c r="CZ315" i="21" s="1"/>
  <c r="CZ314" i="21" a="1"/>
  <c r="CZ314" i="21" s="1"/>
  <c r="CZ313" i="21" a="1"/>
  <c r="CZ313" i="21" s="1"/>
  <c r="CZ312" i="21" a="1"/>
  <c r="CZ312" i="21" s="1"/>
  <c r="CZ311" i="21" a="1"/>
  <c r="CZ311" i="21" s="1"/>
  <c r="CZ310" i="21" a="1"/>
  <c r="CZ310" i="21" s="1"/>
  <c r="CZ309" i="21" a="1"/>
  <c r="CZ309" i="21" s="1"/>
  <c r="CZ308" i="21"/>
  <c r="CZ308" i="21" a="1"/>
  <c r="CZ307" i="21" a="1"/>
  <c r="CZ307" i="21" s="1"/>
  <c r="CZ306" i="21" a="1"/>
  <c r="CZ306" i="21" s="1"/>
  <c r="CZ305" i="21" a="1"/>
  <c r="CZ305" i="21" s="1"/>
  <c r="CZ304" i="21" a="1"/>
  <c r="CZ304" i="21" s="1"/>
  <c r="CZ303" i="21" a="1"/>
  <c r="CZ303" i="21" s="1"/>
  <c r="CZ302" i="21" a="1"/>
  <c r="CZ302" i="21" s="1"/>
  <c r="CZ301" i="21" a="1"/>
  <c r="CZ301" i="21" s="1"/>
  <c r="CZ300" i="21" a="1"/>
  <c r="CZ300" i="21" s="1"/>
  <c r="CZ299" i="21" a="1"/>
  <c r="CZ299" i="21" s="1"/>
  <c r="CZ298" i="21" a="1"/>
  <c r="CZ298" i="21" s="1"/>
  <c r="CZ297" i="21" a="1"/>
  <c r="CZ297" i="21" s="1"/>
  <c r="CZ296" i="21" a="1"/>
  <c r="CZ296" i="21" s="1"/>
  <c r="CZ295" i="21" a="1"/>
  <c r="CZ295" i="21" s="1"/>
  <c r="CZ294" i="21" a="1"/>
  <c r="CZ294" i="21" s="1"/>
  <c r="CZ293" i="21" a="1"/>
  <c r="CZ293" i="21" s="1"/>
  <c r="CZ292" i="21" a="1"/>
  <c r="CZ292" i="21" s="1"/>
  <c r="CZ291" i="21" a="1"/>
  <c r="CZ291" i="21" s="1"/>
  <c r="CZ290" i="21" a="1"/>
  <c r="CZ290" i="21" s="1"/>
  <c r="CZ289" i="21" a="1"/>
  <c r="CZ289" i="21" s="1"/>
  <c r="CZ288" i="21"/>
  <c r="CZ288" i="21" a="1"/>
  <c r="CZ287" i="21" a="1"/>
  <c r="CZ287" i="21" s="1"/>
  <c r="CZ286" i="21" a="1"/>
  <c r="CZ286" i="21" s="1"/>
  <c r="CZ285" i="21" a="1"/>
  <c r="CZ285" i="21" s="1"/>
  <c r="CZ284" i="21" a="1"/>
  <c r="CZ284" i="21" s="1"/>
  <c r="CZ283" i="21" a="1"/>
  <c r="CZ283" i="21" s="1"/>
  <c r="CZ282" i="21" a="1"/>
  <c r="CZ282" i="21" s="1"/>
  <c r="CZ281" i="21" a="1"/>
  <c r="CZ281" i="21" s="1"/>
  <c r="CZ280" i="21"/>
  <c r="CZ280" i="21" a="1"/>
  <c r="CZ279" i="21" a="1"/>
  <c r="CZ279" i="21" s="1"/>
  <c r="CZ278" i="21" a="1"/>
  <c r="CZ278" i="21" s="1"/>
  <c r="CZ277" i="21" a="1"/>
  <c r="CZ277" i="21" s="1"/>
  <c r="CZ276" i="21"/>
  <c r="CZ276" i="21" a="1"/>
  <c r="CZ275" i="21" a="1"/>
  <c r="CZ275" i="21" s="1"/>
  <c r="CZ274" i="21" a="1"/>
  <c r="CZ274" i="21" s="1"/>
  <c r="CZ273" i="21" a="1"/>
  <c r="CZ273" i="21" s="1"/>
  <c r="CZ272" i="21" a="1"/>
  <c r="CZ272" i="21" s="1"/>
  <c r="CZ271" i="21" a="1"/>
  <c r="CZ271" i="21" s="1"/>
  <c r="CZ270" i="21" a="1"/>
  <c r="CZ270" i="21" s="1"/>
  <c r="CZ269" i="21" a="1"/>
  <c r="CZ269" i="21" s="1"/>
  <c r="CZ268" i="21" a="1"/>
  <c r="CZ268" i="21" s="1"/>
  <c r="CZ267" i="21" a="1"/>
  <c r="CZ267" i="21" s="1"/>
  <c r="CZ266" i="21" a="1"/>
  <c r="CZ266" i="21" s="1"/>
  <c r="CZ265" i="21" a="1"/>
  <c r="CZ265" i="21" s="1"/>
  <c r="CZ264" i="21" a="1"/>
  <c r="CZ264" i="21" s="1"/>
  <c r="CZ263" i="21" a="1"/>
  <c r="CZ263" i="21" s="1"/>
  <c r="CZ262" i="21" a="1"/>
  <c r="CZ262" i="21" s="1"/>
  <c r="CZ261" i="21" a="1"/>
  <c r="CZ261" i="21" s="1"/>
  <c r="CZ260" i="21" a="1"/>
  <c r="CZ260" i="21" s="1"/>
  <c r="CZ259" i="21" a="1"/>
  <c r="CZ259" i="21" s="1"/>
  <c r="CZ258" i="21" a="1"/>
  <c r="CZ258" i="21" s="1"/>
  <c r="CZ257" i="21" a="1"/>
  <c r="CZ257" i="21" s="1"/>
  <c r="CZ256" i="21"/>
  <c r="CZ256" i="21" a="1"/>
  <c r="CZ255" i="21" a="1"/>
  <c r="CZ255" i="21" s="1"/>
  <c r="CZ254" i="21" a="1"/>
  <c r="CZ254" i="21" s="1"/>
  <c r="CZ253" i="21" a="1"/>
  <c r="CZ253" i="21" s="1"/>
  <c r="CZ252" i="21" a="1"/>
  <c r="CZ252" i="21" s="1"/>
  <c r="CZ251" i="21" a="1"/>
  <c r="CZ251" i="21" s="1"/>
  <c r="CZ250" i="21" a="1"/>
  <c r="CZ250" i="21" s="1"/>
  <c r="CZ249" i="21" a="1"/>
  <c r="CZ249" i="21" s="1"/>
  <c r="CZ248" i="21"/>
  <c r="CZ248" i="21" a="1"/>
  <c r="CZ247" i="21" a="1"/>
  <c r="CZ247" i="21" s="1"/>
  <c r="CZ246" i="21" a="1"/>
  <c r="CZ246" i="21" s="1"/>
  <c r="CZ245" i="21" a="1"/>
  <c r="CZ245" i="21" s="1"/>
  <c r="CZ244" i="21"/>
  <c r="CZ244" i="21" a="1"/>
  <c r="CZ243" i="21" a="1"/>
  <c r="CZ243" i="21" s="1"/>
  <c r="CZ242" i="21" a="1"/>
  <c r="CZ242" i="21" s="1"/>
  <c r="CZ241" i="21" a="1"/>
  <c r="CZ241" i="21" s="1"/>
  <c r="CZ240" i="21" a="1"/>
  <c r="CZ240" i="21" s="1"/>
  <c r="CZ239" i="21" a="1"/>
  <c r="CZ239" i="21" s="1"/>
  <c r="CZ238" i="21" a="1"/>
  <c r="CZ238" i="21" s="1"/>
  <c r="CZ237" i="21" a="1"/>
  <c r="CZ237" i="21" s="1"/>
  <c r="CZ236" i="21" a="1"/>
  <c r="CZ236" i="21" s="1"/>
  <c r="CZ235" i="21" a="1"/>
  <c r="CZ235" i="21" s="1"/>
  <c r="CZ234" i="21" a="1"/>
  <c r="CZ234" i="21" s="1"/>
  <c r="CZ233" i="21" a="1"/>
  <c r="CZ233" i="21" s="1"/>
  <c r="CZ232" i="21" a="1"/>
  <c r="CZ232" i="21" s="1"/>
  <c r="CZ231" i="21" a="1"/>
  <c r="CZ231" i="21" s="1"/>
  <c r="CZ230" i="21" a="1"/>
  <c r="CZ230" i="21" s="1"/>
  <c r="CZ229" i="21" a="1"/>
  <c r="CZ229" i="21" s="1"/>
  <c r="CZ228" i="21" a="1"/>
  <c r="CZ228" i="21" s="1"/>
  <c r="CZ227" i="21" a="1"/>
  <c r="CZ227" i="21" s="1"/>
  <c r="CZ226" i="21" a="1"/>
  <c r="CZ226" i="21" s="1"/>
  <c r="CZ225" i="21" a="1"/>
  <c r="CZ225" i="21" s="1"/>
  <c r="CZ224" i="21"/>
  <c r="CZ224" i="21" a="1"/>
  <c r="CZ223" i="21" a="1"/>
  <c r="CZ223" i="21" s="1"/>
  <c r="CZ222" i="21" a="1"/>
  <c r="CZ222" i="21" s="1"/>
  <c r="CZ221" i="21" a="1"/>
  <c r="CZ221" i="21" s="1"/>
  <c r="CZ220" i="21" a="1"/>
  <c r="CZ220" i="21" s="1"/>
  <c r="CZ219" i="21" a="1"/>
  <c r="CZ219" i="21" s="1"/>
  <c r="CZ218" i="21" a="1"/>
  <c r="CZ218" i="21" s="1"/>
  <c r="CZ217" i="21" a="1"/>
  <c r="CZ217" i="21" s="1"/>
  <c r="CZ216" i="21"/>
  <c r="CZ216" i="21" a="1"/>
  <c r="CZ215" i="21" a="1"/>
  <c r="CZ215" i="21" s="1"/>
  <c r="CZ214" i="21" a="1"/>
  <c r="CZ214" i="21" s="1"/>
  <c r="CZ213" i="21" a="1"/>
  <c r="CZ213" i="21" s="1"/>
  <c r="CZ212" i="21"/>
  <c r="CZ212" i="21" a="1"/>
  <c r="CZ211" i="21" a="1"/>
  <c r="CZ211" i="21" s="1"/>
  <c r="CZ210" i="21" a="1"/>
  <c r="CZ210" i="21" s="1"/>
  <c r="CZ209" i="21" a="1"/>
  <c r="CZ209" i="21" s="1"/>
  <c r="CZ208" i="21" a="1"/>
  <c r="CZ208" i="21" s="1"/>
  <c r="CZ207" i="21" a="1"/>
  <c r="CZ207" i="21" s="1"/>
  <c r="CZ206" i="21" a="1"/>
  <c r="CZ206" i="21" s="1"/>
  <c r="CZ205" i="21" a="1"/>
  <c r="CZ205" i="21" s="1"/>
  <c r="CZ204" i="21" a="1"/>
  <c r="CZ204" i="21" s="1"/>
  <c r="CZ203" i="21" a="1"/>
  <c r="CZ203" i="21" s="1"/>
  <c r="CZ202" i="21" a="1"/>
  <c r="CZ202" i="21" s="1"/>
  <c r="CZ201" i="21" a="1"/>
  <c r="CZ201" i="21" s="1"/>
  <c r="CZ200" i="21" a="1"/>
  <c r="CZ200" i="21" s="1"/>
  <c r="CZ199" i="21" a="1"/>
  <c r="CZ199" i="21" s="1"/>
  <c r="CZ198" i="21" a="1"/>
  <c r="CZ198" i="21" s="1"/>
  <c r="CZ197" i="21" a="1"/>
  <c r="CZ197" i="21" s="1"/>
  <c r="CZ196" i="21" a="1"/>
  <c r="CZ196" i="21" s="1"/>
  <c r="CZ195" i="21" a="1"/>
  <c r="CZ195" i="21" s="1"/>
  <c r="CZ194" i="21" a="1"/>
  <c r="CZ194" i="21" s="1"/>
  <c r="CZ193" i="21" a="1"/>
  <c r="CZ193" i="21" s="1"/>
  <c r="CZ192" i="21"/>
  <c r="CZ192" i="21" a="1"/>
  <c r="CZ191" i="21" a="1"/>
  <c r="CZ191" i="21" s="1"/>
  <c r="CZ190" i="21" a="1"/>
  <c r="CZ190" i="21" s="1"/>
  <c r="CZ189" i="21" a="1"/>
  <c r="CZ189" i="21" s="1"/>
  <c r="CZ188" i="21" a="1"/>
  <c r="CZ188" i="21" s="1"/>
  <c r="CZ187" i="21" a="1"/>
  <c r="CZ187" i="21" s="1"/>
  <c r="CZ186" i="21" a="1"/>
  <c r="CZ186" i="21" s="1"/>
  <c r="CZ185" i="21" a="1"/>
  <c r="CZ185" i="21" s="1"/>
  <c r="CZ184" i="21"/>
  <c r="CZ184" i="21" a="1"/>
  <c r="CZ183" i="21" a="1"/>
  <c r="CZ183" i="21" s="1"/>
  <c r="CZ182" i="21" a="1"/>
  <c r="CZ182" i="21" s="1"/>
  <c r="CZ181" i="21" a="1"/>
  <c r="CZ181" i="21" s="1"/>
  <c r="CZ180" i="21"/>
  <c r="CZ180" i="21" a="1"/>
  <c r="CZ179" i="21" a="1"/>
  <c r="CZ179" i="21" s="1"/>
  <c r="CZ178" i="21" a="1"/>
  <c r="CZ178" i="21" s="1"/>
  <c r="CZ177" i="21" a="1"/>
  <c r="CZ177" i="21" s="1"/>
  <c r="CZ176" i="21"/>
  <c r="CZ176" i="21" a="1"/>
  <c r="CZ175" i="21" a="1"/>
  <c r="CZ175" i="21" s="1"/>
  <c r="CZ174" i="21" a="1"/>
  <c r="CZ174" i="21" s="1"/>
  <c r="CZ173" i="21" a="1"/>
  <c r="CZ173" i="21" s="1"/>
  <c r="CZ172" i="21" a="1"/>
  <c r="CZ172" i="21" s="1"/>
  <c r="CZ171" i="21" a="1"/>
  <c r="CZ171" i="21" s="1"/>
  <c r="CZ170" i="21" a="1"/>
  <c r="CZ170" i="21" s="1"/>
  <c r="CZ169" i="21" a="1"/>
  <c r="CZ169" i="21" s="1"/>
  <c r="CZ168" i="21" a="1"/>
  <c r="CZ168" i="21" s="1"/>
  <c r="CZ167" i="21" a="1"/>
  <c r="CZ167" i="21" s="1"/>
  <c r="CZ166" i="21" a="1"/>
  <c r="CZ166" i="21" s="1"/>
  <c r="CZ165" i="21" a="1"/>
  <c r="CZ165" i="21" s="1"/>
  <c r="CZ164" i="21" a="1"/>
  <c r="CZ164" i="21" s="1"/>
  <c r="CZ163" i="21" a="1"/>
  <c r="CZ163" i="21" s="1"/>
  <c r="CZ162" i="21" a="1"/>
  <c r="CZ162" i="21" s="1"/>
  <c r="CZ161" i="21" a="1"/>
  <c r="CZ161" i="21" s="1"/>
  <c r="CZ160" i="21"/>
  <c r="CZ160" i="21" a="1"/>
  <c r="CZ159" i="21" a="1"/>
  <c r="CZ159" i="21" s="1"/>
  <c r="CZ158" i="21" a="1"/>
  <c r="CZ158" i="21" s="1"/>
  <c r="CZ157" i="21" a="1"/>
  <c r="CZ157" i="21" s="1"/>
  <c r="CZ156" i="21" a="1"/>
  <c r="CZ156" i="21" s="1"/>
  <c r="CZ155" i="21" a="1"/>
  <c r="CZ155" i="21" s="1"/>
  <c r="CZ154" i="21" a="1"/>
  <c r="CZ154" i="21" s="1"/>
  <c r="CZ153" i="21" a="1"/>
  <c r="CZ153" i="21" s="1"/>
  <c r="CZ152" i="21"/>
  <c r="CZ152" i="21" a="1"/>
  <c r="CZ151" i="21" a="1"/>
  <c r="CZ151" i="21" s="1"/>
  <c r="CZ150" i="21" a="1"/>
  <c r="CZ150" i="21" s="1"/>
  <c r="CZ149" i="21" a="1"/>
  <c r="CZ149" i="21" s="1"/>
  <c r="CZ148" i="21"/>
  <c r="CZ148" i="21" a="1"/>
  <c r="CZ147" i="21" a="1"/>
  <c r="CZ147" i="21" s="1"/>
  <c r="CZ146" i="21" a="1"/>
  <c r="CZ146" i="21" s="1"/>
  <c r="CZ145" i="21" a="1"/>
  <c r="CZ145" i="21" s="1"/>
  <c r="CZ144" i="21"/>
  <c r="CZ144" i="21" a="1"/>
  <c r="CZ143" i="21" a="1"/>
  <c r="CZ143" i="21" s="1"/>
  <c r="CZ142" i="21" a="1"/>
  <c r="CZ142" i="21" s="1"/>
  <c r="CZ141" i="21" a="1"/>
  <c r="CZ141" i="21" s="1"/>
  <c r="CZ140" i="21" a="1"/>
  <c r="CZ140" i="21" s="1"/>
  <c r="CZ139" i="21" a="1"/>
  <c r="CZ139" i="21" s="1"/>
  <c r="CZ138" i="21" a="1"/>
  <c r="CZ138" i="21" s="1"/>
  <c r="CZ137" i="21" a="1"/>
  <c r="CZ137" i="21" s="1"/>
  <c r="CZ136" i="21" a="1"/>
  <c r="CZ136" i="21" s="1"/>
  <c r="CZ135" i="21" a="1"/>
  <c r="CZ135" i="21" s="1"/>
  <c r="CZ134" i="21" a="1"/>
  <c r="CZ134" i="21" s="1"/>
  <c r="CZ133" i="21" a="1"/>
  <c r="CZ133" i="21" s="1"/>
  <c r="CZ132" i="21" a="1"/>
  <c r="CZ132" i="21" s="1"/>
  <c r="CZ131" i="21" a="1"/>
  <c r="CZ131" i="21" s="1"/>
  <c r="CZ130" i="21" a="1"/>
  <c r="CZ130" i="21" s="1"/>
  <c r="CZ129" i="21" a="1"/>
  <c r="CZ129" i="21" s="1"/>
  <c r="CZ128" i="21"/>
  <c r="CZ128" i="21" a="1"/>
  <c r="CZ127" i="21" a="1"/>
  <c r="CZ127" i="21" s="1"/>
  <c r="CZ126" i="21" a="1"/>
  <c r="CZ126" i="21" s="1"/>
  <c r="CZ125" i="21" a="1"/>
  <c r="CZ125" i="21" s="1"/>
  <c r="CZ124" i="21" a="1"/>
  <c r="CZ124" i="21" s="1"/>
  <c r="CZ123" i="21" a="1"/>
  <c r="CZ123" i="21" s="1"/>
  <c r="CZ122" i="21" a="1"/>
  <c r="CZ122" i="21" s="1"/>
  <c r="CZ121" i="21" a="1"/>
  <c r="CZ121" i="21" s="1"/>
  <c r="CZ120" i="21"/>
  <c r="CZ120" i="21" a="1"/>
  <c r="CZ119" i="21" a="1"/>
  <c r="CZ119" i="21" s="1"/>
  <c r="CZ118" i="21" a="1"/>
  <c r="CZ118" i="21" s="1"/>
  <c r="CZ117" i="21" a="1"/>
  <c r="CZ117" i="21" s="1"/>
  <c r="CZ116" i="21"/>
  <c r="CZ116" i="21" a="1"/>
  <c r="CZ115" i="21" a="1"/>
  <c r="CZ115" i="21" s="1"/>
  <c r="CZ114" i="21" a="1"/>
  <c r="CZ114" i="21" s="1"/>
  <c r="CZ113" i="21" a="1"/>
  <c r="CZ113" i="21" s="1"/>
  <c r="CZ112" i="21"/>
  <c r="CZ112" i="21" a="1"/>
  <c r="CZ111" i="21" a="1"/>
  <c r="CZ111" i="21" s="1"/>
  <c r="CZ110" i="21" a="1"/>
  <c r="CZ110" i="21" s="1"/>
  <c r="CZ109" i="21" a="1"/>
  <c r="CZ109" i="21" s="1"/>
  <c r="CZ108" i="21" a="1"/>
  <c r="CZ108" i="21" s="1"/>
  <c r="CZ107" i="21" a="1"/>
  <c r="CZ107" i="21" s="1"/>
  <c r="CZ106" i="21" a="1"/>
  <c r="CZ106" i="21" s="1"/>
  <c r="CZ105" i="21" a="1"/>
  <c r="CZ105" i="21" s="1"/>
  <c r="CZ104" i="21" a="1"/>
  <c r="CZ104" i="21" s="1"/>
  <c r="CZ103" i="21" a="1"/>
  <c r="CZ103" i="21" s="1"/>
  <c r="CZ102" i="21" a="1"/>
  <c r="CZ102" i="21" s="1"/>
  <c r="CZ101" i="21" a="1"/>
  <c r="CZ101" i="21" s="1"/>
  <c r="CZ100" i="21" a="1"/>
  <c r="CZ100" i="21" s="1"/>
  <c r="CZ99" i="21" a="1"/>
  <c r="CZ99" i="21" s="1"/>
  <c r="CZ98" i="21" a="1"/>
  <c r="CZ98" i="21" s="1"/>
  <c r="CZ97" i="21" a="1"/>
  <c r="CZ97" i="21" s="1"/>
  <c r="CZ96" i="21"/>
  <c r="CZ96" i="21" a="1"/>
  <c r="CZ95" i="21" a="1"/>
  <c r="CZ95" i="21" s="1"/>
  <c r="CZ94" i="21" a="1"/>
  <c r="CZ94" i="21" s="1"/>
  <c r="CZ93" i="21" a="1"/>
  <c r="CZ93" i="21" s="1"/>
  <c r="CZ92" i="21" a="1"/>
  <c r="CZ92" i="21" s="1"/>
  <c r="CZ91" i="21" a="1"/>
  <c r="CZ91" i="21" s="1"/>
  <c r="CZ90" i="21" a="1"/>
  <c r="CZ90" i="21" s="1"/>
  <c r="CZ89" i="21" a="1"/>
  <c r="CZ89" i="21" s="1"/>
  <c r="CZ88" i="21"/>
  <c r="CZ88" i="21" a="1"/>
  <c r="CZ87" i="21" a="1"/>
  <c r="CZ87" i="21" s="1"/>
  <c r="CZ86" i="21" a="1"/>
  <c r="CZ86" i="21" s="1"/>
  <c r="CZ85" i="21" a="1"/>
  <c r="CZ85" i="21" s="1"/>
  <c r="CZ84" i="21"/>
  <c r="CZ84" i="21" a="1"/>
  <c r="CZ83" i="21" a="1"/>
  <c r="CZ83" i="21" s="1"/>
  <c r="CZ82" i="21" a="1"/>
  <c r="CZ82" i="21" s="1"/>
  <c r="CZ81" i="21" a="1"/>
  <c r="CZ81" i="21" s="1"/>
  <c r="CZ80" i="21"/>
  <c r="CZ80" i="21" a="1"/>
  <c r="CZ79" i="21" a="1"/>
  <c r="CZ79" i="21" s="1"/>
  <c r="CZ78" i="21" a="1"/>
  <c r="CZ78" i="21" s="1"/>
  <c r="CZ77" i="21" a="1"/>
  <c r="CZ77" i="21" s="1"/>
  <c r="CZ76" i="21" a="1"/>
  <c r="CZ76" i="21" s="1"/>
  <c r="CZ75" i="21" a="1"/>
  <c r="CZ75" i="21" s="1"/>
  <c r="CZ74" i="21" a="1"/>
  <c r="CZ74" i="21" s="1"/>
  <c r="CZ73" i="21" a="1"/>
  <c r="CZ73" i="21" s="1"/>
  <c r="CZ72" i="21" a="1"/>
  <c r="CZ72" i="21" s="1"/>
  <c r="CZ71" i="21" a="1"/>
  <c r="CZ71" i="21" s="1"/>
  <c r="CZ70" i="21" a="1"/>
  <c r="CZ70" i="21" s="1"/>
  <c r="CZ69" i="21" a="1"/>
  <c r="CZ69" i="21" s="1"/>
  <c r="CZ68" i="21" a="1"/>
  <c r="CZ68" i="21" s="1"/>
  <c r="CZ67" i="21" a="1"/>
  <c r="CZ67" i="21" s="1"/>
  <c r="CZ66" i="21" a="1"/>
  <c r="CZ66" i="21" s="1"/>
  <c r="CZ65" i="21" a="1"/>
  <c r="CZ65" i="21" s="1"/>
  <c r="CZ64" i="21"/>
  <c r="CZ64" i="21" a="1"/>
  <c r="CZ63" i="21" a="1"/>
  <c r="CZ63" i="21" s="1"/>
  <c r="CZ62" i="21" a="1"/>
  <c r="CZ62" i="21" s="1"/>
  <c r="CZ61" i="21"/>
  <c r="CZ61" i="21" a="1"/>
  <c r="CZ60" i="21" a="1"/>
  <c r="CZ60" i="21" s="1"/>
  <c r="CZ59" i="21" a="1"/>
  <c r="CZ59" i="21" s="1"/>
  <c r="CZ58" i="21" a="1"/>
  <c r="CZ58" i="21" s="1"/>
  <c r="CZ57" i="21"/>
  <c r="CZ57" i="21" a="1"/>
  <c r="CZ56" i="21" a="1"/>
  <c r="CZ56" i="21" s="1"/>
  <c r="CZ55" i="21" a="1"/>
  <c r="CZ55" i="21" s="1"/>
  <c r="CZ54" i="21" a="1"/>
  <c r="CZ54" i="21" s="1"/>
  <c r="CZ53" i="21"/>
  <c r="CZ53" i="21" a="1"/>
  <c r="CZ52" i="21"/>
  <c r="CZ52" i="21" a="1"/>
  <c r="CZ51" i="21" a="1"/>
  <c r="CZ51" i="21" s="1"/>
  <c r="CZ50" i="21" a="1"/>
  <c r="CZ50" i="21" s="1"/>
  <c r="CZ49" i="21" a="1"/>
  <c r="CZ49" i="21" s="1"/>
  <c r="CZ48" i="21"/>
  <c r="CZ48" i="21" a="1"/>
  <c r="CZ47" i="21" a="1"/>
  <c r="CZ47" i="21" s="1"/>
  <c r="CZ46" i="21" a="1"/>
  <c r="CZ46" i="21" s="1"/>
  <c r="CZ45" i="21" a="1"/>
  <c r="CZ45" i="21" s="1"/>
  <c r="CZ44" i="21" a="1"/>
  <c r="CZ44" i="21" s="1"/>
  <c r="CZ43" i="21" a="1"/>
  <c r="CZ43" i="21" s="1"/>
  <c r="CZ42" i="21" a="1"/>
  <c r="CZ42" i="21" s="1"/>
  <c r="CZ41" i="21"/>
  <c r="CZ41" i="21" a="1"/>
  <c r="CZ40" i="21" a="1"/>
  <c r="CZ40" i="21" s="1"/>
  <c r="CZ39" i="21" a="1"/>
  <c r="CZ39" i="21" s="1"/>
  <c r="CZ38" i="21" a="1"/>
  <c r="CZ38" i="21" s="1"/>
  <c r="CZ37" i="21"/>
  <c r="CZ37" i="21" a="1"/>
  <c r="CZ36" i="21" a="1"/>
  <c r="CZ36" i="21" s="1"/>
  <c r="CZ35" i="21" a="1"/>
  <c r="CZ35" i="21" s="1"/>
  <c r="CZ34" i="21" a="1"/>
  <c r="CZ34" i="21" s="1"/>
  <c r="CZ33" i="21" a="1"/>
  <c r="CZ33" i="21" s="1"/>
  <c r="CZ32" i="21"/>
  <c r="CZ32" i="21" a="1"/>
  <c r="CZ31" i="21" a="1"/>
  <c r="CZ31" i="21" s="1"/>
  <c r="CZ30" i="21" a="1"/>
  <c r="CZ30" i="21" s="1"/>
  <c r="CZ29" i="21" a="1"/>
  <c r="CZ29" i="21" s="1"/>
  <c r="CZ28" i="21" a="1"/>
  <c r="CZ28" i="21" s="1"/>
  <c r="CZ27" i="21" a="1"/>
  <c r="CZ27" i="21" s="1"/>
  <c r="CZ26" i="21" a="1"/>
  <c r="CZ26" i="21" s="1"/>
  <c r="CZ25" i="21" a="1"/>
  <c r="CZ25" i="21" s="1"/>
  <c r="CZ24" i="21" a="1"/>
  <c r="CZ24" i="21" s="1"/>
  <c r="CZ23" i="21" a="1"/>
  <c r="CZ23" i="21" s="1"/>
  <c r="CZ22" i="21" a="1"/>
  <c r="CZ22" i="21" s="1"/>
  <c r="CZ21" i="21"/>
  <c r="CZ21" i="21" a="1"/>
  <c r="CZ20" i="21" a="1"/>
  <c r="CZ20" i="21" s="1"/>
  <c r="CZ19" i="21" a="1"/>
  <c r="CZ19" i="21" s="1"/>
  <c r="CZ18" i="21" a="1"/>
  <c r="CZ18" i="21" s="1"/>
  <c r="CZ17" i="21" a="1"/>
  <c r="CZ17" i="21" s="1"/>
  <c r="CZ16" i="21"/>
  <c r="CZ16" i="21" a="1"/>
  <c r="CZ15" i="21" a="1"/>
  <c r="CZ15" i="21" s="1"/>
  <c r="CZ14" i="21" a="1"/>
  <c r="CZ14" i="21" s="1"/>
  <c r="CZ13" i="21" a="1"/>
  <c r="CZ13" i="21" s="1"/>
  <c r="CZ12" i="21" a="1"/>
  <c r="CZ12" i="21" s="1"/>
  <c r="CZ11" i="21" a="1"/>
  <c r="CZ11" i="21" s="1"/>
  <c r="CZ10" i="21" a="1"/>
  <c r="CZ10" i="21" s="1"/>
  <c r="CZ9" i="21" a="1"/>
  <c r="CZ9" i="21" s="1"/>
  <c r="CZ8" i="21" a="1"/>
  <c r="CZ8" i="21" s="1"/>
  <c r="CZ7" i="21" a="1"/>
  <c r="CZ7" i="21" s="1"/>
  <c r="CZ6" i="21" a="1"/>
  <c r="CZ6" i="21" s="1"/>
  <c r="CZ5" i="21"/>
  <c r="CZ5" i="21" a="1"/>
  <c r="CZ4" i="21" a="1"/>
  <c r="CZ4" i="21" s="1"/>
  <c r="CZ3" i="21" a="1"/>
  <c r="CZ3" i="21" s="1"/>
  <c r="CZ2" i="21" a="1"/>
  <c r="CZ2" i="21" s="1"/>
  <c r="CZ340" i="21" a="1"/>
  <c r="CZ340" i="21" s="1"/>
  <c r="DA206" i="21" a="1"/>
  <c r="DA206" i="21" s="1"/>
  <c r="DA205" i="21" a="1"/>
  <c r="DA205" i="21" s="1"/>
  <c r="DA204" i="21" a="1"/>
  <c r="DA204" i="21" s="1"/>
  <c r="DA203" i="21"/>
  <c r="DA203" i="21" a="1"/>
  <c r="DA202" i="21" a="1"/>
  <c r="DA202" i="21" s="1"/>
  <c r="DA201" i="21" a="1"/>
  <c r="DA201" i="21" s="1"/>
  <c r="DA200" i="21" a="1"/>
  <c r="DA200" i="21" s="1"/>
  <c r="DA199" i="21"/>
  <c r="DA199" i="21" a="1"/>
  <c r="DA198" i="21" a="1"/>
  <c r="DA198" i="21" s="1"/>
  <c r="DA197" i="21" a="1"/>
  <c r="DA197" i="21" s="1"/>
  <c r="DA196" i="21" a="1"/>
  <c r="DA196" i="21" s="1"/>
  <c r="DA195" i="21"/>
  <c r="DA195" i="21" a="1"/>
  <c r="DA194" i="21" a="1"/>
  <c r="DA194" i="21" s="1"/>
  <c r="DA193" i="21" a="1"/>
  <c r="DA193" i="21" s="1"/>
  <c r="DA192" i="21" a="1"/>
  <c r="DA192" i="21" s="1"/>
  <c r="DA191" i="21"/>
  <c r="DA191" i="21" a="1"/>
  <c r="DA190" i="21" a="1"/>
  <c r="DA190" i="21" s="1"/>
  <c r="DA189" i="21" a="1"/>
  <c r="DA189" i="21" s="1"/>
  <c r="DA188" i="21" a="1"/>
  <c r="DA188" i="21" s="1"/>
  <c r="DA187" i="21"/>
  <c r="DA187" i="21" a="1"/>
  <c r="DA186" i="21" a="1"/>
  <c r="DA186" i="21" s="1"/>
  <c r="DA185" i="21" a="1"/>
  <c r="DA185" i="21" s="1"/>
  <c r="DA184" i="21" a="1"/>
  <c r="DA184" i="21" s="1"/>
  <c r="DA183" i="21"/>
  <c r="DA183" i="21" a="1"/>
  <c r="DA182" i="21" a="1"/>
  <c r="DA182" i="21" s="1"/>
  <c r="DA181" i="21" a="1"/>
  <c r="DA181" i="21" s="1"/>
  <c r="DA180" i="21" a="1"/>
  <c r="DA180" i="21" s="1"/>
  <c r="DA179" i="21"/>
  <c r="DA179" i="21" a="1"/>
  <c r="DA178" i="21" a="1"/>
  <c r="DA178" i="21" s="1"/>
  <c r="DA177" i="21" a="1"/>
  <c r="DA177" i="21" s="1"/>
  <c r="DA176" i="21" a="1"/>
  <c r="DA176" i="21" s="1"/>
  <c r="DA175" i="21"/>
  <c r="DA175" i="21" a="1"/>
  <c r="DA174" i="21" a="1"/>
  <c r="DA174" i="21" s="1"/>
  <c r="DA173" i="21" a="1"/>
  <c r="DA173" i="21" s="1"/>
  <c r="DA172" i="21" a="1"/>
  <c r="DA172" i="21" s="1"/>
  <c r="DA171" i="21"/>
  <c r="DA171" i="21" a="1"/>
  <c r="DA170" i="21" a="1"/>
  <c r="DA170" i="21" s="1"/>
  <c r="DA169" i="21" a="1"/>
  <c r="DA169" i="21" s="1"/>
  <c r="DA168" i="21" a="1"/>
  <c r="DA168" i="21" s="1"/>
  <c r="DA167" i="21"/>
  <c r="DA167" i="21" a="1"/>
  <c r="DA166" i="21" a="1"/>
  <c r="DA166" i="21" s="1"/>
  <c r="DA165" i="21" a="1"/>
  <c r="DA165" i="21" s="1"/>
  <c r="DA164" i="21" a="1"/>
  <c r="DA164" i="21" s="1"/>
  <c r="DA163" i="21"/>
  <c r="DA163" i="21" a="1"/>
  <c r="DA162" i="21" a="1"/>
  <c r="DA162" i="21" s="1"/>
  <c r="DA161" i="21" a="1"/>
  <c r="DA161" i="21" s="1"/>
  <c r="DA160" i="21" a="1"/>
  <c r="DA160" i="21" s="1"/>
  <c r="DA159" i="21"/>
  <c r="DA159" i="21" a="1"/>
  <c r="DA158" i="21" a="1"/>
  <c r="DA158" i="21" s="1"/>
  <c r="DA157" i="21" a="1"/>
  <c r="DA157" i="21" s="1"/>
  <c r="DA156" i="21" a="1"/>
  <c r="DA156" i="21" s="1"/>
  <c r="DA155" i="21"/>
  <c r="DA155" i="21" a="1"/>
  <c r="DA154" i="21" a="1"/>
  <c r="DA154" i="21" s="1"/>
  <c r="DA153" i="21" a="1"/>
  <c r="DA153" i="21" s="1"/>
  <c r="DA152" i="21" a="1"/>
  <c r="DA152" i="21" s="1"/>
  <c r="DA151" i="21"/>
  <c r="DA151" i="21" a="1"/>
  <c r="DA150" i="21" a="1"/>
  <c r="DA150" i="21" s="1"/>
  <c r="DA149" i="21" a="1"/>
  <c r="DA149" i="21" s="1"/>
  <c r="DA148" i="21" a="1"/>
  <c r="DA148" i="21" s="1"/>
  <c r="DA147" i="21"/>
  <c r="DA147" i="21" a="1"/>
  <c r="DA146" i="21" a="1"/>
  <c r="DA146" i="21" s="1"/>
  <c r="DA145" i="21" a="1"/>
  <c r="DA145" i="21" s="1"/>
  <c r="DA144" i="21" a="1"/>
  <c r="DA144" i="21" s="1"/>
  <c r="DA143" i="21"/>
  <c r="DA143" i="21" a="1"/>
  <c r="DA142" i="21" a="1"/>
  <c r="DA142" i="21" s="1"/>
  <c r="DA141" i="21" a="1"/>
  <c r="DA141" i="21" s="1"/>
  <c r="DA140" i="21" a="1"/>
  <c r="DA140" i="21" s="1"/>
  <c r="DA139" i="21"/>
  <c r="DA139" i="21" a="1"/>
  <c r="DA138" i="21" a="1"/>
  <c r="DA138" i="21" s="1"/>
  <c r="DA137" i="21" a="1"/>
  <c r="DA137" i="21" s="1"/>
  <c r="DA136" i="21" a="1"/>
  <c r="DA136" i="21" s="1"/>
  <c r="DA135" i="21"/>
  <c r="DA135" i="21" a="1"/>
  <c r="DA134" i="21" a="1"/>
  <c r="DA134" i="21" s="1"/>
  <c r="DA133" i="21" a="1"/>
  <c r="DA133" i="21" s="1"/>
  <c r="DA132" i="21" a="1"/>
  <c r="DA132" i="21" s="1"/>
  <c r="DA131" i="21"/>
  <c r="DA131" i="21" a="1"/>
  <c r="DA130" i="21" a="1"/>
  <c r="DA130" i="21" s="1"/>
  <c r="DA129" i="21" a="1"/>
  <c r="DA129" i="21" s="1"/>
  <c r="DA128" i="21" a="1"/>
  <c r="DA128" i="21" s="1"/>
  <c r="DA127" i="21"/>
  <c r="DA127" i="21" a="1"/>
  <c r="DA126" i="21" a="1"/>
  <c r="DA126" i="21" s="1"/>
  <c r="DA125" i="21" a="1"/>
  <c r="DA125" i="21" s="1"/>
  <c r="DA124" i="21" a="1"/>
  <c r="DA124" i="21" s="1"/>
  <c r="DA123" i="21"/>
  <c r="DA123" i="21" a="1"/>
  <c r="DA122" i="21" a="1"/>
  <c r="DA122" i="21" s="1"/>
  <c r="DA121" i="21" a="1"/>
  <c r="DA121" i="21" s="1"/>
  <c r="DA120" i="21" a="1"/>
  <c r="DA120" i="21" s="1"/>
  <c r="DA119" i="21"/>
  <c r="DA119" i="21" a="1"/>
  <c r="DA118" i="21" a="1"/>
  <c r="DA118" i="21" s="1"/>
  <c r="DA117" i="21" a="1"/>
  <c r="DA117" i="21" s="1"/>
  <c r="DA116" i="21" a="1"/>
  <c r="DA116" i="21" s="1"/>
  <c r="DA115" i="21"/>
  <c r="DA115" i="21" a="1"/>
  <c r="DA114" i="21" a="1"/>
  <c r="DA114" i="21" s="1"/>
  <c r="DA113" i="21" a="1"/>
  <c r="DA113" i="21" s="1"/>
  <c r="DA112" i="21" a="1"/>
  <c r="DA112" i="21" s="1"/>
  <c r="DA111" i="21"/>
  <c r="DA111" i="21" a="1"/>
  <c r="DA110" i="21" a="1"/>
  <c r="DA110" i="21" s="1"/>
  <c r="DA109" i="21" a="1"/>
  <c r="DA109" i="21" s="1"/>
  <c r="DA108" i="21" a="1"/>
  <c r="DA108" i="21" s="1"/>
  <c r="DA107" i="21"/>
  <c r="DA107" i="21" a="1"/>
  <c r="DA106" i="21" a="1"/>
  <c r="DA106" i="21" s="1"/>
  <c r="DA105" i="21" a="1"/>
  <c r="DA105" i="21" s="1"/>
  <c r="DA104" i="21" a="1"/>
  <c r="DA104" i="21" s="1"/>
  <c r="DA103" i="21"/>
  <c r="DA103" i="21" a="1"/>
  <c r="DA102" i="21" a="1"/>
  <c r="DA102" i="21" s="1"/>
  <c r="DA101" i="21" a="1"/>
  <c r="DA101" i="21" s="1"/>
  <c r="DA100" i="21" a="1"/>
  <c r="DA100" i="21" s="1"/>
  <c r="DA99" i="21"/>
  <c r="DA99" i="21" a="1"/>
  <c r="BP23" i="27" l="1"/>
  <c r="BP43" i="27" s="1"/>
  <c r="BS23" i="27"/>
  <c r="BS43" i="27" s="1"/>
  <c r="BP42" i="27"/>
  <c r="BP46" i="27" s="1"/>
  <c r="BP47" i="27" s="1"/>
  <c r="BT23" i="27"/>
  <c r="BT43" i="27" s="1"/>
  <c r="BC4" i="27"/>
  <c r="AZ4" i="27"/>
  <c r="BF43" i="27"/>
  <c r="BC75" i="27"/>
  <c r="BJ43" i="27"/>
  <c r="AX81" i="27"/>
  <c r="BH7" i="27"/>
  <c r="BD60" i="27"/>
  <c r="BI13" i="27"/>
  <c r="BF66" i="27"/>
  <c r="BP24" i="27"/>
  <c r="BP25" i="27" s="1"/>
  <c r="AZ15" i="27"/>
  <c r="BH66" i="27"/>
  <c r="BA15" i="27"/>
  <c r="BC68" i="27"/>
  <c r="AZ2" i="27"/>
  <c r="BD15" i="27"/>
  <c r="AZ69" i="27"/>
  <c r="BB2" i="27"/>
  <c r="BA43" i="27"/>
  <c r="AY52" i="27"/>
  <c r="BA6" i="27"/>
  <c r="BC6" i="27"/>
  <c r="AY18" i="27"/>
  <c r="BC52" i="27"/>
  <c r="BH72" i="27"/>
  <c r="AX18" i="27"/>
  <c r="BG7" i="27"/>
  <c r="BH22" i="27"/>
  <c r="BA60" i="27"/>
  <c r="BB75" i="27"/>
  <c r="BG61" i="27"/>
  <c r="BF10" i="27"/>
  <c r="BD33" i="27"/>
  <c r="BC63" i="27"/>
  <c r="BF94" i="27"/>
  <c r="BI7" i="27"/>
  <c r="BG10" i="27"/>
  <c r="BH38" i="27"/>
  <c r="BH63" i="27"/>
  <c r="BG94" i="27"/>
  <c r="BJ22" i="27"/>
  <c r="BB33" i="27"/>
  <c r="AY2" i="27"/>
  <c r="AZ43" i="27"/>
  <c r="BI63" i="27"/>
  <c r="BA79" i="27"/>
  <c r="BF33" i="27"/>
  <c r="AZ55" i="27"/>
  <c r="BD95" i="27"/>
  <c r="BA4" i="27"/>
  <c r="AX9" i="27"/>
  <c r="BH16" i="27"/>
  <c r="BI28" i="27"/>
  <c r="BI33" i="27"/>
  <c r="BK43" i="27"/>
  <c r="BE55" i="27"/>
  <c r="BE63" i="27"/>
  <c r="AY81" i="27"/>
  <c r="BG96" i="27"/>
  <c r="BI26" i="27"/>
  <c r="BA9" i="27"/>
  <c r="BJ16" i="27"/>
  <c r="AZ29" i="27"/>
  <c r="AX35" i="27"/>
  <c r="AX57" i="27"/>
  <c r="BH71" i="27"/>
  <c r="AY85" i="27"/>
  <c r="BH98" i="27"/>
  <c r="BI71" i="27"/>
  <c r="BA85" i="27"/>
  <c r="AX6" i="27"/>
  <c r="BA18" i="27"/>
  <c r="BG29" i="27"/>
  <c r="BC38" i="27"/>
  <c r="BF48" i="27"/>
  <c r="BI58" i="27"/>
  <c r="AX65" i="27"/>
  <c r="AZ73" i="27"/>
  <c r="BD85" i="27"/>
  <c r="BG100" i="27"/>
  <c r="BB29" i="27"/>
  <c r="BB36" i="27"/>
  <c r="BG58" i="27"/>
  <c r="BJ98" i="27"/>
  <c r="BH47" i="27"/>
  <c r="BH58" i="27"/>
  <c r="AY6" i="27"/>
  <c r="AY12" i="27"/>
  <c r="AZ31" i="27"/>
  <c r="BD38" i="27"/>
  <c r="BA65" i="27"/>
  <c r="BG73" i="27"/>
  <c r="BG85" i="27"/>
  <c r="AZ6" i="27"/>
  <c r="AZ12" i="27"/>
  <c r="AX22" i="27"/>
  <c r="BA31" i="27"/>
  <c r="BG51" i="27"/>
  <c r="AY60" i="27"/>
  <c r="BJ73" i="27"/>
  <c r="BG90" i="27"/>
  <c r="AX24" i="27"/>
  <c r="AY24" i="27"/>
  <c r="BK20" i="27"/>
  <c r="BJ20" i="27"/>
  <c r="BI20" i="27"/>
  <c r="BH20" i="27"/>
  <c r="BI23" i="27"/>
  <c r="BF23" i="27"/>
  <c r="BD23" i="27"/>
  <c r="BC23" i="27"/>
  <c r="BA23" i="27"/>
  <c r="AZ23" i="27"/>
  <c r="AY23" i="27"/>
  <c r="BA26" i="27"/>
  <c r="AZ26" i="27"/>
  <c r="AY26" i="27"/>
  <c r="AX26" i="27"/>
  <c r="BJ29" i="27"/>
  <c r="BI29" i="27"/>
  <c r="BK32" i="27"/>
  <c r="BH32" i="27"/>
  <c r="BD32" i="27"/>
  <c r="BC32" i="27"/>
  <c r="BB32" i="27"/>
  <c r="BH45" i="27"/>
  <c r="BF45" i="27"/>
  <c r="BE45" i="27"/>
  <c r="BC45" i="27"/>
  <c r="BA45" i="27"/>
  <c r="AY45" i="27"/>
  <c r="BD48" i="27"/>
  <c r="BC48" i="27"/>
  <c r="BB48" i="27"/>
  <c r="AY48" i="27"/>
  <c r="BG88" i="27"/>
  <c r="BF88" i="27"/>
  <c r="AX88" i="27"/>
  <c r="AX91" i="27"/>
  <c r="BF91" i="27"/>
  <c r="BA91" i="27"/>
  <c r="AZ91" i="27"/>
  <c r="BA104" i="27"/>
  <c r="AX104" i="27"/>
  <c r="BK107" i="27"/>
  <c r="BJ107" i="27"/>
  <c r="BG107" i="27"/>
  <c r="BE107" i="27"/>
  <c r="BD107" i="27"/>
  <c r="AY20" i="27"/>
  <c r="AZ24" i="27"/>
  <c r="BE46" i="27"/>
  <c r="BI88" i="27"/>
  <c r="BB20" i="27"/>
  <c r="BF46" i="27"/>
  <c r="AX89" i="27"/>
  <c r="BI5" i="27"/>
  <c r="BK5" i="27"/>
  <c r="BJ5" i="27"/>
  <c r="BE5" i="27"/>
  <c r="BB5" i="27"/>
  <c r="BA5" i="27"/>
  <c r="AZ5" i="27"/>
  <c r="AY5" i="27"/>
  <c r="BD36" i="27"/>
  <c r="BA36" i="27"/>
  <c r="AZ36" i="27"/>
  <c r="AX36" i="27"/>
  <c r="AY39" i="27"/>
  <c r="BK39" i="27"/>
  <c r="BJ39" i="27"/>
  <c r="BI39" i="27"/>
  <c r="BA39" i="27"/>
  <c r="BD76" i="27"/>
  <c r="BE76" i="27"/>
  <c r="BG79" i="27"/>
  <c r="AZ79" i="27"/>
  <c r="BI82" i="27"/>
  <c r="BG82" i="27"/>
  <c r="AX82" i="27"/>
  <c r="BG101" i="27"/>
  <c r="BH101" i="27"/>
  <c r="BD101" i="27"/>
  <c r="BB101" i="27"/>
  <c r="AX101" i="27"/>
  <c r="BC20" i="27"/>
  <c r="BB26" i="27"/>
  <c r="AX32" i="27"/>
  <c r="BB79" i="27"/>
  <c r="AY89" i="27"/>
  <c r="BC2" i="27"/>
  <c r="BK2" i="27"/>
  <c r="BI2" i="27"/>
  <c r="BH2" i="27"/>
  <c r="BG2" i="27"/>
  <c r="BF2" i="27"/>
  <c r="AZ33" i="27"/>
  <c r="AX33" i="27"/>
  <c r="BK33" i="27"/>
  <c r="BK52" i="27"/>
  <c r="BH52" i="27"/>
  <c r="BF52" i="27"/>
  <c r="BE52" i="27"/>
  <c r="AX55" i="27"/>
  <c r="BK55" i="27"/>
  <c r="BJ55" i="27"/>
  <c r="BF58" i="27"/>
  <c r="BE58" i="27"/>
  <c r="BF61" i="27"/>
  <c r="BC61" i="27"/>
  <c r="AZ61" i="27"/>
  <c r="AX61" i="27"/>
  <c r="AZ64" i="27"/>
  <c r="BH64" i="27"/>
  <c r="BD64" i="27"/>
  <c r="BA64" i="27"/>
  <c r="BD67" i="27"/>
  <c r="BG67" i="27"/>
  <c r="BE67" i="27"/>
  <c r="BB67" i="27"/>
  <c r="BA67" i="27"/>
  <c r="AZ67" i="27"/>
  <c r="AX67" i="27"/>
  <c r="BJ70" i="27"/>
  <c r="BK70" i="27"/>
  <c r="BH70" i="27"/>
  <c r="BE70" i="27"/>
  <c r="BC70" i="27"/>
  <c r="BF95" i="27"/>
  <c r="BE95" i="27"/>
  <c r="BH95" i="27"/>
  <c r="BG95" i="27"/>
  <c r="BD2" i="27"/>
  <c r="BF20" i="27"/>
  <c r="BD26" i="27"/>
  <c r="AZ32" i="27"/>
  <c r="BI55" i="27"/>
  <c r="AX70" i="27"/>
  <c r="BD79" i="27"/>
  <c r="BG89" i="27"/>
  <c r="BF24" i="27"/>
  <c r="BK24" i="27"/>
  <c r="BJ24" i="27"/>
  <c r="AZ46" i="27"/>
  <c r="BJ46" i="27"/>
  <c r="BI46" i="27"/>
  <c r="BK49" i="27"/>
  <c r="BI49" i="27"/>
  <c r="BG49" i="27"/>
  <c r="BE49" i="27"/>
  <c r="AZ86" i="27"/>
  <c r="BC86" i="27"/>
  <c r="BK86" i="27"/>
  <c r="BE86" i="27"/>
  <c r="BD86" i="27"/>
  <c r="AZ92" i="27"/>
  <c r="BJ92" i="27"/>
  <c r="BE92" i="27"/>
  <c r="BD92" i="27"/>
  <c r="BI105" i="27"/>
  <c r="BC105" i="27"/>
  <c r="BI108" i="27"/>
  <c r="BF108" i="27"/>
  <c r="BE21" i="27"/>
  <c r="BH21" i="27"/>
  <c r="BC21" i="27"/>
  <c r="AX21" i="27"/>
  <c r="BJ21" i="27"/>
  <c r="AX105" i="27"/>
  <c r="BJ27" i="27"/>
  <c r="BK27" i="27"/>
  <c r="BG27" i="27"/>
  <c r="BF27" i="27"/>
  <c r="BB27" i="27"/>
  <c r="BA27" i="27"/>
  <c r="AZ27" i="27"/>
  <c r="BB49" i="27"/>
  <c r="AY105" i="27"/>
  <c r="BF30" i="27"/>
  <c r="BC30" i="27"/>
  <c r="AZ30" i="27"/>
  <c r="AX30" i="27"/>
  <c r="BD49" i="27"/>
  <c r="AZ105" i="27"/>
  <c r="BD6" i="27"/>
  <c r="BD9" i="27"/>
  <c r="BB12" i="27"/>
  <c r="BF15" i="27"/>
  <c r="BB18" i="27"/>
  <c r="BF6" i="27"/>
  <c r="BE9" i="27"/>
  <c r="BD12" i="27"/>
  <c r="BG15" i="27"/>
  <c r="BD18" i="27"/>
  <c r="BH6" i="27"/>
  <c r="BF9" i="27"/>
  <c r="BF12" i="27"/>
  <c r="BH15" i="27"/>
  <c r="BG18" i="27"/>
  <c r="BC35" i="27"/>
  <c r="AZ57" i="27"/>
  <c r="BG75" i="27"/>
  <c r="BI6" i="27"/>
  <c r="BG9" i="27"/>
  <c r="BG12" i="27"/>
  <c r="BI15" i="27"/>
  <c r="BI18" i="27"/>
  <c r="AX51" i="27"/>
  <c r="AZ54" i="27"/>
  <c r="BA57" i="27"/>
  <c r="BJ75" i="27"/>
  <c r="BJ6" i="27"/>
  <c r="BH9" i="27"/>
  <c r="BI12" i="27"/>
  <c r="BJ15" i="27"/>
  <c r="BJ18" i="27"/>
  <c r="AY51" i="27"/>
  <c r="BA54" i="27"/>
  <c r="BF84" i="27"/>
  <c r="AZ97" i="27"/>
  <c r="BA103" i="27"/>
  <c r="BD3" i="27"/>
  <c r="BK6" i="27"/>
  <c r="BI9" i="27"/>
  <c r="BJ12" i="27"/>
  <c r="BF16" i="27"/>
  <c r="BK18" i="27"/>
  <c r="BF28" i="27"/>
  <c r="AX31" i="27"/>
  <c r="BE41" i="27"/>
  <c r="AZ51" i="27"/>
  <c r="BB72" i="27"/>
  <c r="BG84" i="27"/>
  <c r="BA97" i="27"/>
  <c r="BD10" i="27"/>
  <c r="BK12" i="27"/>
  <c r="BH19" i="27"/>
  <c r="AX43" i="27"/>
  <c r="AY65" i="27"/>
  <c r="BD68" i="27"/>
  <c r="BJ42" i="27"/>
  <c r="AX42" i="27"/>
  <c r="BE42" i="27"/>
  <c r="BC42" i="27"/>
  <c r="BF42" i="27"/>
  <c r="BA42" i="27"/>
  <c r="BB42" i="27"/>
  <c r="AZ42" i="27"/>
  <c r="AY42" i="27"/>
  <c r="BK42" i="27"/>
  <c r="BI96" i="27"/>
  <c r="BJ11" i="27"/>
  <c r="AX11" i="27"/>
  <c r="BG11" i="27"/>
  <c r="BC11" i="27"/>
  <c r="BB11" i="27"/>
  <c r="AY11" i="27"/>
  <c r="BA11" i="27"/>
  <c r="AZ11" i="27"/>
  <c r="BK11" i="27"/>
  <c r="BI11" i="27"/>
  <c r="BD42" i="27"/>
  <c r="BF14" i="27"/>
  <c r="BG42" i="27"/>
  <c r="BG14" i="27"/>
  <c r="BH42" i="27"/>
  <c r="BI53" i="27"/>
  <c r="BG68" i="27"/>
  <c r="BH14" i="27"/>
  <c r="BI42" i="27"/>
  <c r="BJ53" i="27"/>
  <c r="BI56" i="27"/>
  <c r="BD8" i="27"/>
  <c r="BA102" i="27"/>
  <c r="BK102" i="27"/>
  <c r="AY102" i="27"/>
  <c r="BJ102" i="27"/>
  <c r="AX102" i="27"/>
  <c r="BG102" i="27"/>
  <c r="BF102" i="27"/>
  <c r="BD102" i="27"/>
  <c r="AZ102" i="27"/>
  <c r="BE102" i="27"/>
  <c r="BC102" i="27"/>
  <c r="BB102" i="27"/>
  <c r="BF17" i="27"/>
  <c r="AY77" i="27"/>
  <c r="BH102" i="27"/>
  <c r="BD14" i="27"/>
  <c r="BA14" i="27"/>
  <c r="BE14" i="27"/>
  <c r="BC14" i="27"/>
  <c r="BB14" i="27"/>
  <c r="AZ14" i="27"/>
  <c r="AY14" i="27"/>
  <c r="AX14" i="27"/>
  <c r="BK14" i="27"/>
  <c r="BJ14" i="27"/>
  <c r="BF13" i="27"/>
  <c r="BC13" i="27"/>
  <c r="BD13" i="27"/>
  <c r="BB13" i="27"/>
  <c r="AY13" i="27"/>
  <c r="BA13" i="27"/>
  <c r="AZ13" i="27"/>
  <c r="AX13" i="27"/>
  <c r="BK13" i="27"/>
  <c r="BJ13" i="27"/>
  <c r="BF44" i="27"/>
  <c r="BC44" i="27"/>
  <c r="BA44" i="27"/>
  <c r="BI44" i="27"/>
  <c r="BE44" i="27"/>
  <c r="BK44" i="27"/>
  <c r="BG44" i="27"/>
  <c r="BJ44" i="27"/>
  <c r="BH44" i="27"/>
  <c r="BD44" i="27"/>
  <c r="BB44" i="27"/>
  <c r="AZ44" i="27"/>
  <c r="BK84" i="27"/>
  <c r="AY84" i="27"/>
  <c r="BJ84" i="27"/>
  <c r="AX84" i="27"/>
  <c r="BH84" i="27"/>
  <c r="BE84" i="27"/>
  <c r="BD84" i="27"/>
  <c r="BB84" i="27"/>
  <c r="BC84" i="27"/>
  <c r="BA84" i="27"/>
  <c r="AZ84" i="27"/>
  <c r="BD11" i="27"/>
  <c r="BC8" i="27"/>
  <c r="BB8" i="27"/>
  <c r="BK8" i="27"/>
  <c r="BA8" i="27"/>
  <c r="AZ8" i="27"/>
  <c r="AY8" i="27"/>
  <c r="BJ8" i="27"/>
  <c r="AX8" i="27"/>
  <c r="BI8" i="27"/>
  <c r="BH8" i="27"/>
  <c r="BJ17" i="27"/>
  <c r="AX17" i="27"/>
  <c r="BG17" i="27"/>
  <c r="BE17" i="27"/>
  <c r="BD17" i="27"/>
  <c r="BA17" i="27"/>
  <c r="BC17" i="27"/>
  <c r="BB17" i="27"/>
  <c r="AZ17" i="27"/>
  <c r="AY17" i="27"/>
  <c r="BA3" i="27"/>
  <c r="AZ3" i="27"/>
  <c r="BI3" i="27"/>
  <c r="BK3" i="27"/>
  <c r="AY3" i="27"/>
  <c r="BJ3" i="27"/>
  <c r="AX3" i="27"/>
  <c r="BH3" i="27"/>
  <c r="BG3" i="27"/>
  <c r="BF3" i="27"/>
  <c r="BH37" i="27"/>
  <c r="BJ37" i="27"/>
  <c r="BG37" i="27"/>
  <c r="AX37" i="27"/>
  <c r="BI37" i="27"/>
  <c r="AY37" i="27"/>
  <c r="BK37" i="27"/>
  <c r="BF37" i="27"/>
  <c r="BE37" i="27"/>
  <c r="BD37" i="27"/>
  <c r="BB40" i="27"/>
  <c r="BG40" i="27"/>
  <c r="BE40" i="27"/>
  <c r="BA40" i="27"/>
  <c r="AX40" i="27"/>
  <c r="BK40" i="27"/>
  <c r="BJ40" i="27"/>
  <c r="BI40" i="27"/>
  <c r="BH40" i="27"/>
  <c r="BF40" i="27"/>
  <c r="BD40" i="27"/>
  <c r="BC40" i="27"/>
  <c r="AZ40" i="27"/>
  <c r="BA77" i="27"/>
  <c r="AZ77" i="27"/>
  <c r="BH77" i="27"/>
  <c r="BF77" i="27"/>
  <c r="BC77" i="27"/>
  <c r="BG77" i="27"/>
  <c r="BD77" i="27"/>
  <c r="AX77" i="27"/>
  <c r="BK77" i="27"/>
  <c r="BJ77" i="27"/>
  <c r="BG80" i="27"/>
  <c r="BF80" i="27"/>
  <c r="BJ80" i="27"/>
  <c r="BH80" i="27"/>
  <c r="BC80" i="27"/>
  <c r="BB80" i="27"/>
  <c r="AZ80" i="27"/>
  <c r="BI80" i="27"/>
  <c r="BE80" i="27"/>
  <c r="BD80" i="27"/>
  <c r="BA80" i="27"/>
  <c r="AY80" i="27"/>
  <c r="AX80" i="27"/>
  <c r="BA83" i="27"/>
  <c r="AZ83" i="27"/>
  <c r="BJ83" i="27"/>
  <c r="BH83" i="27"/>
  <c r="BE83" i="27"/>
  <c r="AY83" i="27"/>
  <c r="BK83" i="27"/>
  <c r="BI83" i="27"/>
  <c r="BG83" i="27"/>
  <c r="BF83" i="27"/>
  <c r="BD83" i="27"/>
  <c r="BC83" i="27"/>
  <c r="BG99" i="27"/>
  <c r="BE99" i="27"/>
  <c r="BD99" i="27"/>
  <c r="BI99" i="27"/>
  <c r="BF99" i="27"/>
  <c r="BA99" i="27"/>
  <c r="BH99" i="27"/>
  <c r="BB99" i="27"/>
  <c r="AX99" i="27"/>
  <c r="BK99" i="27"/>
  <c r="BJ99" i="27"/>
  <c r="BC99" i="27"/>
  <c r="AZ99" i="27"/>
  <c r="BC34" i="27"/>
  <c r="BA34" i="27"/>
  <c r="BJ34" i="27"/>
  <c r="BG34" i="27"/>
  <c r="BE34" i="27"/>
  <c r="BD34" i="27"/>
  <c r="AY34" i="27"/>
  <c r="BB34" i="27"/>
  <c r="AZ34" i="27"/>
  <c r="AX34" i="27"/>
  <c r="BF50" i="27"/>
  <c r="BK50" i="27"/>
  <c r="AX50" i="27"/>
  <c r="BI50" i="27"/>
  <c r="BE50" i="27"/>
  <c r="BG50" i="27"/>
  <c r="BB50" i="27"/>
  <c r="BH50" i="27"/>
  <c r="BD50" i="27"/>
  <c r="AZ50" i="27"/>
  <c r="BC50" i="27"/>
  <c r="BA50" i="27"/>
  <c r="AY50" i="27"/>
  <c r="AZ53" i="27"/>
  <c r="BH53" i="27"/>
  <c r="BF53" i="27"/>
  <c r="BC53" i="27"/>
  <c r="AY53" i="27"/>
  <c r="BG53" i="27"/>
  <c r="BE53" i="27"/>
  <c r="BA53" i="27"/>
  <c r="BD53" i="27"/>
  <c r="BB53" i="27"/>
  <c r="AX53" i="27"/>
  <c r="BF56" i="27"/>
  <c r="BE56" i="27"/>
  <c r="BC56" i="27"/>
  <c r="AZ56" i="27"/>
  <c r="BJ56" i="27"/>
  <c r="BG56" i="27"/>
  <c r="BH56" i="27"/>
  <c r="BD56" i="27"/>
  <c r="AY56" i="27"/>
  <c r="BB56" i="27"/>
  <c r="BA56" i="27"/>
  <c r="AX56" i="27"/>
  <c r="AZ59" i="27"/>
  <c r="BC59" i="27"/>
  <c r="BA59" i="27"/>
  <c r="BJ59" i="27"/>
  <c r="BF59" i="27"/>
  <c r="BD59" i="27"/>
  <c r="AX59" i="27"/>
  <c r="BI59" i="27"/>
  <c r="BH59" i="27"/>
  <c r="BB59" i="27"/>
  <c r="BG59" i="27"/>
  <c r="BE59" i="27"/>
  <c r="AY59" i="27"/>
  <c r="BF62" i="27"/>
  <c r="AZ62" i="27"/>
  <c r="BK62" i="27"/>
  <c r="AX62" i="27"/>
  <c r="BH62" i="27"/>
  <c r="AY62" i="27"/>
  <c r="BI62" i="27"/>
  <c r="BE62" i="27"/>
  <c r="BJ62" i="27"/>
  <c r="BG62" i="27"/>
  <c r="BD62" i="27"/>
  <c r="BC62" i="27"/>
  <c r="BB62" i="27"/>
  <c r="AZ65" i="27"/>
  <c r="BJ65" i="27"/>
  <c r="BH65" i="27"/>
  <c r="BE65" i="27"/>
  <c r="BI65" i="27"/>
  <c r="BF65" i="27"/>
  <c r="BB65" i="27"/>
  <c r="BK65" i="27"/>
  <c r="BG65" i="27"/>
  <c r="BD65" i="27"/>
  <c r="BF68" i="27"/>
  <c r="BH68" i="27"/>
  <c r="BE68" i="27"/>
  <c r="BB68" i="27"/>
  <c r="BA68" i="27"/>
  <c r="AY68" i="27"/>
  <c r="AZ68" i="27"/>
  <c r="AX68" i="27"/>
  <c r="BK68" i="27"/>
  <c r="BJ68" i="27"/>
  <c r="BA71" i="27"/>
  <c r="AZ71" i="27"/>
  <c r="BF71" i="27"/>
  <c r="BD71" i="27"/>
  <c r="AY71" i="27"/>
  <c r="BJ71" i="27"/>
  <c r="BG71" i="27"/>
  <c r="BE71" i="27"/>
  <c r="BC71" i="27"/>
  <c r="BB71" i="27"/>
  <c r="AX71" i="27"/>
  <c r="BG74" i="27"/>
  <c r="BF74" i="27"/>
  <c r="BH74" i="27"/>
  <c r="BD74" i="27"/>
  <c r="BA74" i="27"/>
  <c r="BK74" i="27"/>
  <c r="BI74" i="27"/>
  <c r="BB74" i="27"/>
  <c r="BJ74" i="27"/>
  <c r="BE74" i="27"/>
  <c r="BC74" i="27"/>
  <c r="AZ74" i="27"/>
  <c r="AY74" i="27"/>
  <c r="BA96" i="27"/>
  <c r="BK96" i="27"/>
  <c r="AY96" i="27"/>
  <c r="BJ96" i="27"/>
  <c r="AX96" i="27"/>
  <c r="BC96" i="27"/>
  <c r="AZ96" i="27"/>
  <c r="BF96" i="27"/>
  <c r="BD96" i="27"/>
  <c r="BE96" i="27"/>
  <c r="BB96" i="27"/>
  <c r="BF8" i="27"/>
  <c r="BH17" i="27"/>
  <c r="BB77" i="27"/>
  <c r="BI102" i="27"/>
  <c r="BF19" i="27"/>
  <c r="BC19" i="27"/>
  <c r="BG19" i="27"/>
  <c r="BE19" i="27"/>
  <c r="BA19" i="27"/>
  <c r="BD19" i="27"/>
  <c r="BB19" i="27"/>
  <c r="AZ19" i="27"/>
  <c r="AY19" i="27"/>
  <c r="AX19" i="27"/>
  <c r="AZ22" i="27"/>
  <c r="BI22" i="27"/>
  <c r="BG22" i="27"/>
  <c r="BF22" i="27"/>
  <c r="BE22" i="27"/>
  <c r="BD22" i="27"/>
  <c r="BC22" i="27"/>
  <c r="BB22" i="27"/>
  <c r="BA22" i="27"/>
  <c r="AY22" i="27"/>
  <c r="BI25" i="27"/>
  <c r="BG25" i="27"/>
  <c r="BF25" i="27"/>
  <c r="BC25" i="27"/>
  <c r="BK25" i="27"/>
  <c r="BJ25" i="27"/>
  <c r="BH25" i="27"/>
  <c r="BE25" i="27"/>
  <c r="BD25" i="27"/>
  <c r="BB25" i="27"/>
  <c r="BA25" i="27"/>
  <c r="AZ25" i="27"/>
  <c r="BC28" i="27"/>
  <c r="BA28" i="27"/>
  <c r="BH28" i="27"/>
  <c r="BE28" i="27"/>
  <c r="BB28" i="27"/>
  <c r="AZ28" i="27"/>
  <c r="AY28" i="27"/>
  <c r="AX28" i="27"/>
  <c r="BK28" i="27"/>
  <c r="BJ28" i="27"/>
  <c r="BI31" i="27"/>
  <c r="BG31" i="27"/>
  <c r="BJ31" i="27"/>
  <c r="BE31" i="27"/>
  <c r="BF31" i="27"/>
  <c r="BK31" i="27"/>
  <c r="BH31" i="27"/>
  <c r="BD31" i="27"/>
  <c r="BC31" i="27"/>
  <c r="BB31" i="27"/>
  <c r="AZ47" i="27"/>
  <c r="BA47" i="27"/>
  <c r="BK47" i="27"/>
  <c r="AX47" i="27"/>
  <c r="BI47" i="27"/>
  <c r="BG47" i="27"/>
  <c r="BF47" i="27"/>
  <c r="BC47" i="27"/>
  <c r="BE47" i="27"/>
  <c r="BD47" i="27"/>
  <c r="BB47" i="27"/>
  <c r="AY47" i="27"/>
  <c r="BG87" i="27"/>
  <c r="BE87" i="27"/>
  <c r="BD87" i="27"/>
  <c r="AZ87" i="27"/>
  <c r="AX87" i="27"/>
  <c r="BJ87" i="27"/>
  <c r="BC87" i="27"/>
  <c r="BA87" i="27"/>
  <c r="BH87" i="27"/>
  <c r="BK87" i="27"/>
  <c r="BI87" i="27"/>
  <c r="BF87" i="27"/>
  <c r="BB87" i="27"/>
  <c r="AY87" i="27"/>
  <c r="BA90" i="27"/>
  <c r="BK90" i="27"/>
  <c r="AY90" i="27"/>
  <c r="BJ90" i="27"/>
  <c r="AX90" i="27"/>
  <c r="BF90" i="27"/>
  <c r="BD90" i="27"/>
  <c r="AZ90" i="27"/>
  <c r="BE90" i="27"/>
  <c r="BB90" i="27"/>
  <c r="BC90" i="27"/>
  <c r="BG93" i="27"/>
  <c r="BE93" i="27"/>
  <c r="BD93" i="27"/>
  <c r="BJ93" i="27"/>
  <c r="BF93" i="27"/>
  <c r="BC93" i="27"/>
  <c r="BA93" i="27"/>
  <c r="AX93" i="27"/>
  <c r="BK93" i="27"/>
  <c r="BI93" i="27"/>
  <c r="BH93" i="27"/>
  <c r="BB93" i="27"/>
  <c r="AZ93" i="27"/>
  <c r="BE106" i="27"/>
  <c r="BD106" i="27"/>
  <c r="BC106" i="27"/>
  <c r="BB106" i="27"/>
  <c r="BJ106" i="27"/>
  <c r="BG106" i="27"/>
  <c r="AY106" i="27"/>
  <c r="BK106" i="27"/>
  <c r="BI106" i="27"/>
  <c r="BA106" i="27"/>
  <c r="BH106" i="27"/>
  <c r="BF106" i="27"/>
  <c r="AZ106" i="27"/>
  <c r="AX106" i="27"/>
  <c r="BK109" i="27"/>
  <c r="AY109" i="27"/>
  <c r="BJ109" i="27"/>
  <c r="AX109" i="27"/>
  <c r="BI109" i="27"/>
  <c r="BH109" i="27"/>
  <c r="BF109" i="27"/>
  <c r="BG109" i="27"/>
  <c r="BD109" i="27"/>
  <c r="BA109" i="27"/>
  <c r="BE109" i="27"/>
  <c r="BB109" i="27"/>
  <c r="BC109" i="27"/>
  <c r="AZ109" i="27"/>
  <c r="BG8" i="27"/>
  <c r="BI17" i="27"/>
  <c r="BI19" i="27"/>
  <c r="AY25" i="27"/>
  <c r="BF34" i="27"/>
  <c r="AZ37" i="27"/>
  <c r="AY40" i="27"/>
  <c r="BE77" i="27"/>
  <c r="BH90" i="27"/>
  <c r="BE7" i="27"/>
  <c r="BD7" i="27"/>
  <c r="BA7" i="27"/>
  <c r="BC7" i="27"/>
  <c r="BB7" i="27"/>
  <c r="AZ7" i="27"/>
  <c r="BK7" i="27"/>
  <c r="AY7" i="27"/>
  <c r="BJ7" i="27"/>
  <c r="AX7" i="27"/>
  <c r="AZ10" i="27"/>
  <c r="BI10" i="27"/>
  <c r="BC10" i="27"/>
  <c r="BB10" i="27"/>
  <c r="BA10" i="27"/>
  <c r="AY10" i="27"/>
  <c r="AX10" i="27"/>
  <c r="BK10" i="27"/>
  <c r="BJ10" i="27"/>
  <c r="BH10" i="27"/>
  <c r="AZ16" i="27"/>
  <c r="BI16" i="27"/>
  <c r="BE16" i="27"/>
  <c r="BD16" i="27"/>
  <c r="BC16" i="27"/>
  <c r="BB16" i="27"/>
  <c r="BA16" i="27"/>
  <c r="AY16" i="27"/>
  <c r="AX16" i="27"/>
  <c r="BK16" i="27"/>
  <c r="BK4" i="27"/>
  <c r="AY4" i="27"/>
  <c r="BJ4" i="27"/>
  <c r="AX4" i="27"/>
  <c r="BI4" i="27"/>
  <c r="BH4" i="27"/>
  <c r="BG4" i="27"/>
  <c r="BF4" i="27"/>
  <c r="BE4" i="27"/>
  <c r="BD4" i="27"/>
  <c r="BF38" i="27"/>
  <c r="BI38" i="27"/>
  <c r="BG38" i="27"/>
  <c r="AY38" i="27"/>
  <c r="BK38" i="27"/>
  <c r="BB38" i="27"/>
  <c r="BA38" i="27"/>
  <c r="AZ38" i="27"/>
  <c r="AX38" i="27"/>
  <c r="BJ38" i="27"/>
  <c r="AZ41" i="27"/>
  <c r="BF41" i="27"/>
  <c r="BD41" i="27"/>
  <c r="BC41" i="27"/>
  <c r="AY41" i="27"/>
  <c r="BJ41" i="27"/>
  <c r="BK41" i="27"/>
  <c r="BI41" i="27"/>
  <c r="BH41" i="27"/>
  <c r="BG41" i="27"/>
  <c r="BK78" i="27"/>
  <c r="AY78" i="27"/>
  <c r="BJ78" i="27"/>
  <c r="AX78" i="27"/>
  <c r="BH78" i="27"/>
  <c r="BF78" i="27"/>
  <c r="BC78" i="27"/>
  <c r="BI78" i="27"/>
  <c r="BD78" i="27"/>
  <c r="BG78" i="27"/>
  <c r="BE78" i="27"/>
  <c r="BB78" i="27"/>
  <c r="BA78" i="27"/>
  <c r="AZ78" i="27"/>
  <c r="BE81" i="27"/>
  <c r="BD81" i="27"/>
  <c r="BJ81" i="27"/>
  <c r="BH81" i="27"/>
  <c r="BC81" i="27"/>
  <c r="BI81" i="27"/>
  <c r="BF81" i="27"/>
  <c r="AZ81" i="27"/>
  <c r="BK81" i="27"/>
  <c r="BG81" i="27"/>
  <c r="BB81" i="27"/>
  <c r="BE100" i="27"/>
  <c r="BC100" i="27"/>
  <c r="BB100" i="27"/>
  <c r="BJ100" i="27"/>
  <c r="BH100" i="27"/>
  <c r="BD100" i="27"/>
  <c r="BK100" i="27"/>
  <c r="BF100" i="27"/>
  <c r="BA100" i="27"/>
  <c r="AZ100" i="27"/>
  <c r="AY100" i="27"/>
  <c r="AX100" i="27"/>
  <c r="BK103" i="27"/>
  <c r="AY103" i="27"/>
  <c r="BJ103" i="27"/>
  <c r="AX103" i="27"/>
  <c r="BI103" i="27"/>
  <c r="BH103" i="27"/>
  <c r="BB103" i="27"/>
  <c r="AZ103" i="27"/>
  <c r="BF103" i="27"/>
  <c r="BG103" i="27"/>
  <c r="BE103" i="27"/>
  <c r="BD103" i="27"/>
  <c r="BB3" i="27"/>
  <c r="BE11" i="27"/>
  <c r="BE13" i="27"/>
  <c r="BK19" i="27"/>
  <c r="BI34" i="27"/>
  <c r="BB37" i="27"/>
  <c r="BA41" i="27"/>
  <c r="AX83" i="27"/>
  <c r="BC3" i="27"/>
  <c r="BF11" i="27"/>
  <c r="BG13" i="27"/>
  <c r="BD28" i="27"/>
  <c r="BK34" i="27"/>
  <c r="BC37" i="27"/>
  <c r="BB41" i="27"/>
  <c r="AX44" i="27"/>
  <c r="AX74" i="27"/>
  <c r="BB83" i="27"/>
  <c r="AY99" i="27"/>
  <c r="BA35" i="27"/>
  <c r="BK35" i="27"/>
  <c r="AY35" i="27"/>
  <c r="BJ35" i="27"/>
  <c r="BG35" i="27"/>
  <c r="BD51" i="27"/>
  <c r="BJ51" i="27"/>
  <c r="BH51" i="27"/>
  <c r="BE51" i="27"/>
  <c r="BK51" i="27"/>
  <c r="BF51" i="27"/>
  <c r="BJ54" i="27"/>
  <c r="AX54" i="27"/>
  <c r="BG54" i="27"/>
  <c r="BE54" i="27"/>
  <c r="BB54" i="27"/>
  <c r="BC54" i="27"/>
  <c r="AY54" i="27"/>
  <c r="BD57" i="27"/>
  <c r="BE57" i="27"/>
  <c r="BB57" i="27"/>
  <c r="AY57" i="27"/>
  <c r="BI57" i="27"/>
  <c r="BJ60" i="27"/>
  <c r="AX60" i="27"/>
  <c r="BB60" i="27"/>
  <c r="AZ60" i="27"/>
  <c r="BI60" i="27"/>
  <c r="BH60" i="27"/>
  <c r="BF60" i="27"/>
  <c r="BC60" i="27"/>
  <c r="BD63" i="27"/>
  <c r="AY63" i="27"/>
  <c r="BJ63" i="27"/>
  <c r="BG63" i="27"/>
  <c r="BB63" i="27"/>
  <c r="AZ63" i="27"/>
  <c r="BJ66" i="27"/>
  <c r="AX66" i="27"/>
  <c r="BI66" i="27"/>
  <c r="BG66" i="27"/>
  <c r="BD66" i="27"/>
  <c r="BK66" i="27"/>
  <c r="BE66" i="27"/>
  <c r="BD69" i="27"/>
  <c r="BG69" i="27"/>
  <c r="BE69" i="27"/>
  <c r="BA69" i="27"/>
  <c r="BF69" i="27"/>
  <c r="BB69" i="27"/>
  <c r="AX69" i="27"/>
  <c r="BK72" i="27"/>
  <c r="AY72" i="27"/>
  <c r="BJ72" i="27"/>
  <c r="AX72" i="27"/>
  <c r="BF72" i="27"/>
  <c r="BD72" i="27"/>
  <c r="BA72" i="27"/>
  <c r="AZ72" i="27"/>
  <c r="BE75" i="27"/>
  <c r="BD75" i="27"/>
  <c r="BH75" i="27"/>
  <c r="BF75" i="27"/>
  <c r="BA75" i="27"/>
  <c r="BI75" i="27"/>
  <c r="BE94" i="27"/>
  <c r="BC94" i="27"/>
  <c r="BB94" i="27"/>
  <c r="AX94" i="27"/>
  <c r="BK94" i="27"/>
  <c r="BH94" i="27"/>
  <c r="BI94" i="27"/>
  <c r="BD94" i="27"/>
  <c r="BK97" i="27"/>
  <c r="AY97" i="27"/>
  <c r="BI97" i="27"/>
  <c r="BH97" i="27"/>
  <c r="BD97" i="27"/>
  <c r="BB97" i="27"/>
  <c r="AX97" i="27"/>
  <c r="BJ97" i="27"/>
  <c r="BE97" i="27"/>
  <c r="BC5" i="27"/>
  <c r="AZ21" i="27"/>
  <c r="BA24" i="27"/>
  <c r="BI27" i="27"/>
  <c r="BA30" i="27"/>
  <c r="AZ35" i="27"/>
  <c r="BC36" i="27"/>
  <c r="AX39" i="27"/>
  <c r="BB51" i="27"/>
  <c r="BD54" i="27"/>
  <c r="BC57" i="27"/>
  <c r="BG60" i="27"/>
  <c r="BK63" i="27"/>
  <c r="BE72" i="27"/>
  <c r="AY76" i="27"/>
  <c r="BD89" i="27"/>
  <c r="BC97" i="27"/>
  <c r="BE101" i="27"/>
  <c r="BC108" i="27"/>
  <c r="BD20" i="27"/>
  <c r="BA20" i="27"/>
  <c r="BJ23" i="27"/>
  <c r="AX23" i="27"/>
  <c r="BG23" i="27"/>
  <c r="BG26" i="27"/>
  <c r="BE26" i="27"/>
  <c r="BH26" i="27"/>
  <c r="BC26" i="27"/>
  <c r="BA29" i="27"/>
  <c r="BK29" i="27"/>
  <c r="AY29" i="27"/>
  <c r="BH29" i="27"/>
  <c r="BE29" i="27"/>
  <c r="BG32" i="27"/>
  <c r="BE32" i="27"/>
  <c r="BJ32" i="27"/>
  <c r="BF32" i="27"/>
  <c r="BD45" i="27"/>
  <c r="BB45" i="27"/>
  <c r="AZ45" i="27"/>
  <c r="BJ45" i="27"/>
  <c r="BG45" i="27"/>
  <c r="BJ48" i="27"/>
  <c r="AX48" i="27"/>
  <c r="AZ48" i="27"/>
  <c r="BK48" i="27"/>
  <c r="BG48" i="27"/>
  <c r="BA48" i="27"/>
  <c r="BK85" i="27"/>
  <c r="BI85" i="27"/>
  <c r="BH85" i="27"/>
  <c r="AX85" i="27"/>
  <c r="BJ85" i="27"/>
  <c r="BE85" i="27"/>
  <c r="BF85" i="27"/>
  <c r="BB85" i="27"/>
  <c r="BE88" i="27"/>
  <c r="BC88" i="27"/>
  <c r="BB88" i="27"/>
  <c r="BA88" i="27"/>
  <c r="AY88" i="27"/>
  <c r="BK88" i="27"/>
  <c r="BJ88" i="27"/>
  <c r="BH88" i="27"/>
  <c r="BD88" i="27"/>
  <c r="BK91" i="27"/>
  <c r="AY91" i="27"/>
  <c r="BI91" i="27"/>
  <c r="BH91" i="27"/>
  <c r="BG91" i="27"/>
  <c r="BE91" i="27"/>
  <c r="BB91" i="27"/>
  <c r="BJ91" i="27"/>
  <c r="BC91" i="27"/>
  <c r="BI104" i="27"/>
  <c r="BH104" i="27"/>
  <c r="BG104" i="27"/>
  <c r="BF104" i="27"/>
  <c r="BD104" i="27"/>
  <c r="BB104" i="27"/>
  <c r="AY104" i="27"/>
  <c r="BC104" i="27"/>
  <c r="AZ104" i="27"/>
  <c r="BC107" i="27"/>
  <c r="BB107" i="27"/>
  <c r="BA107" i="27"/>
  <c r="AZ107" i="27"/>
  <c r="AX107" i="27"/>
  <c r="BI107" i="27"/>
  <c r="BH107" i="27"/>
  <c r="BF107" i="27"/>
  <c r="AY107" i="27"/>
  <c r="AX2" i="27"/>
  <c r="BJ2" i="27"/>
  <c r="BD5" i="27"/>
  <c r="BB6" i="27"/>
  <c r="BJ9" i="27"/>
  <c r="AX12" i="27"/>
  <c r="AX15" i="27"/>
  <c r="AZ18" i="27"/>
  <c r="AZ20" i="27"/>
  <c r="BA21" i="27"/>
  <c r="BB23" i="27"/>
  <c r="BB24" i="27"/>
  <c r="BF26" i="27"/>
  <c r="AX29" i="27"/>
  <c r="BB30" i="27"/>
  <c r="BI32" i="27"/>
  <c r="BB35" i="27"/>
  <c r="AY43" i="27"/>
  <c r="BI45" i="27"/>
  <c r="BE48" i="27"/>
  <c r="BC51" i="27"/>
  <c r="BF54" i="27"/>
  <c r="BF57" i="27"/>
  <c r="BK60" i="27"/>
  <c r="AY69" i="27"/>
  <c r="BG72" i="27"/>
  <c r="BC85" i="27"/>
  <c r="BF89" i="27"/>
  <c r="BD91" i="27"/>
  <c r="BF97" i="27"/>
  <c r="BE108" i="27"/>
  <c r="BK36" i="27"/>
  <c r="AY36" i="27"/>
  <c r="BI36" i="27"/>
  <c r="BG36" i="27"/>
  <c r="BD39" i="27"/>
  <c r="BH39" i="27"/>
  <c r="BF39" i="27"/>
  <c r="AZ39" i="27"/>
  <c r="BC76" i="27"/>
  <c r="BB76" i="27"/>
  <c r="BH76" i="27"/>
  <c r="BF76" i="27"/>
  <c r="BA76" i="27"/>
  <c r="AZ76" i="27"/>
  <c r="AX76" i="27"/>
  <c r="BI79" i="27"/>
  <c r="BH79" i="27"/>
  <c r="BJ79" i="27"/>
  <c r="BF79" i="27"/>
  <c r="BC79" i="27"/>
  <c r="AY79" i="27"/>
  <c r="BK79" i="27"/>
  <c r="BC82" i="27"/>
  <c r="BB82" i="27"/>
  <c r="BJ82" i="27"/>
  <c r="BH82" i="27"/>
  <c r="BE82" i="27"/>
  <c r="BK82" i="27"/>
  <c r="BF82" i="27"/>
  <c r="BI98" i="27"/>
  <c r="BG98" i="27"/>
  <c r="BF98" i="27"/>
  <c r="BE98" i="27"/>
  <c r="BC98" i="27"/>
  <c r="AZ98" i="27"/>
  <c r="AY98" i="27"/>
  <c r="BC101" i="27"/>
  <c r="BA101" i="27"/>
  <c r="AZ101" i="27"/>
  <c r="BK101" i="27"/>
  <c r="BI101" i="27"/>
  <c r="BF101" i="27"/>
  <c r="AY101" i="27"/>
  <c r="BF5" i="27"/>
  <c r="BD21" i="27"/>
  <c r="BD24" i="27"/>
  <c r="BD30" i="27"/>
  <c r="BD35" i="27"/>
  <c r="BF36" i="27"/>
  <c r="BB39" i="27"/>
  <c r="AX46" i="27"/>
  <c r="BI51" i="27"/>
  <c r="BI54" i="27"/>
  <c r="BH57" i="27"/>
  <c r="AZ66" i="27"/>
  <c r="BC69" i="27"/>
  <c r="BI72" i="27"/>
  <c r="BG76" i="27"/>
  <c r="AY82" i="27"/>
  <c r="BH89" i="27"/>
  <c r="AX92" i="27"/>
  <c r="AX98" i="27"/>
  <c r="BJ101" i="27"/>
  <c r="BG108" i="27"/>
  <c r="BE33" i="27"/>
  <c r="BC33" i="27"/>
  <c r="BJ33" i="27"/>
  <c r="BG33" i="27"/>
  <c r="BB52" i="27"/>
  <c r="BI52" i="27"/>
  <c r="BG52" i="27"/>
  <c r="BD52" i="27"/>
  <c r="BJ52" i="27"/>
  <c r="BH55" i="27"/>
  <c r="BF55" i="27"/>
  <c r="BD55" i="27"/>
  <c r="BA55" i="27"/>
  <c r="BG55" i="27"/>
  <c r="BB55" i="27"/>
  <c r="BB58" i="27"/>
  <c r="BD58" i="27"/>
  <c r="BA58" i="27"/>
  <c r="BK58" i="27"/>
  <c r="AX58" i="27"/>
  <c r="BC58" i="27"/>
  <c r="AY58" i="27"/>
  <c r="BH61" i="27"/>
  <c r="BA61" i="27"/>
  <c r="AY61" i="27"/>
  <c r="BI61" i="27"/>
  <c r="BJ61" i="27"/>
  <c r="BE61" i="27"/>
  <c r="BB64" i="27"/>
  <c r="BK64" i="27"/>
  <c r="AX64" i="27"/>
  <c r="BI64" i="27"/>
  <c r="BF64" i="27"/>
  <c r="BE64" i="27"/>
  <c r="BC64" i="27"/>
  <c r="AY64" i="27"/>
  <c r="BH67" i="27"/>
  <c r="BI67" i="27"/>
  <c r="BF67" i="27"/>
  <c r="BC67" i="27"/>
  <c r="AY67" i="27"/>
  <c r="BJ67" i="27"/>
  <c r="BB70" i="27"/>
  <c r="BF70" i="27"/>
  <c r="BD70" i="27"/>
  <c r="AZ70" i="27"/>
  <c r="BI70" i="27"/>
  <c r="BG70" i="27"/>
  <c r="BA70" i="27"/>
  <c r="BI73" i="27"/>
  <c r="BH73" i="27"/>
  <c r="BF73" i="27"/>
  <c r="BD73" i="27"/>
  <c r="BA73" i="27"/>
  <c r="BE73" i="27"/>
  <c r="BB73" i="27"/>
  <c r="AX73" i="27"/>
  <c r="BC95" i="27"/>
  <c r="BA95" i="27"/>
  <c r="AZ95" i="27"/>
  <c r="AY95" i="27"/>
  <c r="BI95" i="27"/>
  <c r="AX95" i="27"/>
  <c r="BJ95" i="27"/>
  <c r="BA2" i="27"/>
  <c r="BG5" i="27"/>
  <c r="BE6" i="27"/>
  <c r="BE20" i="27"/>
  <c r="BE23" i="27"/>
  <c r="BK26" i="27"/>
  <c r="BC29" i="27"/>
  <c r="AY33" i="27"/>
  <c r="BE35" i="27"/>
  <c r="BH36" i="27"/>
  <c r="BC39" i="27"/>
  <c r="BI48" i="27"/>
  <c r="AX52" i="27"/>
  <c r="BK54" i="27"/>
  <c r="BJ57" i="27"/>
  <c r="BB61" i="27"/>
  <c r="BG64" i="27"/>
  <c r="BA66" i="27"/>
  <c r="BK67" i="27"/>
  <c r="BH69" i="27"/>
  <c r="AY73" i="27"/>
  <c r="AX75" i="27"/>
  <c r="BI76" i="27"/>
  <c r="AZ82" i="27"/>
  <c r="AY94" i="27"/>
  <c r="BK95" i="27"/>
  <c r="BA98" i="27"/>
  <c r="BE104" i="27"/>
  <c r="BB21" i="27"/>
  <c r="BK21" i="27"/>
  <c r="AY21" i="27"/>
  <c r="BH24" i="27"/>
  <c r="BE24" i="27"/>
  <c r="BE27" i="27"/>
  <c r="BC27" i="27"/>
  <c r="BH27" i="27"/>
  <c r="BD27" i="27"/>
  <c r="BK30" i="27"/>
  <c r="AY30" i="27"/>
  <c r="BI30" i="27"/>
  <c r="BH30" i="27"/>
  <c r="BE30" i="27"/>
  <c r="BB46" i="27"/>
  <c r="BA46" i="27"/>
  <c r="AY46" i="27"/>
  <c r="BK46" i="27"/>
  <c r="BH46" i="27"/>
  <c r="BH49" i="27"/>
  <c r="AY49" i="27"/>
  <c r="BJ49" i="27"/>
  <c r="BF49" i="27"/>
  <c r="BC49" i="27"/>
  <c r="AZ49" i="27"/>
  <c r="BI86" i="27"/>
  <c r="BG86" i="27"/>
  <c r="BF86" i="27"/>
  <c r="AY86" i="27"/>
  <c r="BH86" i="27"/>
  <c r="AX86" i="27"/>
  <c r="BJ86" i="27"/>
  <c r="BC89" i="27"/>
  <c r="BA89" i="27"/>
  <c r="AZ89" i="27"/>
  <c r="BE89" i="27"/>
  <c r="BB89" i="27"/>
  <c r="BI89" i="27"/>
  <c r="BI92" i="27"/>
  <c r="BG92" i="27"/>
  <c r="BF92" i="27"/>
  <c r="BK92" i="27"/>
  <c r="BH92" i="27"/>
  <c r="BC92" i="27"/>
  <c r="AY92" i="27"/>
  <c r="BG105" i="27"/>
  <c r="BF105" i="27"/>
  <c r="BE105" i="27"/>
  <c r="BD105" i="27"/>
  <c r="BJ105" i="27"/>
  <c r="BH105" i="27"/>
  <c r="BA105" i="27"/>
  <c r="BK105" i="27"/>
  <c r="BB105" i="27"/>
  <c r="BA108" i="27"/>
  <c r="AZ108" i="27"/>
  <c r="BK108" i="27"/>
  <c r="AY108" i="27"/>
  <c r="BJ108" i="27"/>
  <c r="AX108" i="27"/>
  <c r="BD108" i="27"/>
  <c r="BB108" i="27"/>
  <c r="BH108" i="27"/>
  <c r="BH5" i="27"/>
  <c r="BF21" i="27"/>
  <c r="BG24" i="27"/>
  <c r="AX27" i="27"/>
  <c r="BG30" i="27"/>
  <c r="BF35" i="27"/>
  <c r="BJ36" i="27"/>
  <c r="BE39" i="27"/>
  <c r="BC46" i="27"/>
  <c r="AX49" i="27"/>
  <c r="BK57" i="27"/>
  <c r="AX63" i="27"/>
  <c r="BB66" i="27"/>
  <c r="BI69" i="27"/>
  <c r="AY75" i="27"/>
  <c r="BJ76" i="27"/>
  <c r="BA82" i="27"/>
  <c r="BA86" i="27"/>
  <c r="BK89" i="27"/>
  <c r="BA92" i="27"/>
  <c r="AZ94" i="27"/>
  <c r="BB98" i="27"/>
  <c r="BB9" i="27"/>
  <c r="BK9" i="27"/>
  <c r="AY9" i="27"/>
  <c r="BH12" i="27"/>
  <c r="BE12" i="27"/>
  <c r="BB15" i="27"/>
  <c r="BK15" i="27"/>
  <c r="AY15" i="27"/>
  <c r="BH18" i="27"/>
  <c r="BE18" i="27"/>
  <c r="BH43" i="27"/>
  <c r="BD43" i="27"/>
  <c r="BB43" i="27"/>
  <c r="BG43" i="27"/>
  <c r="BC43" i="27"/>
  <c r="BC9" i="27"/>
  <c r="BC12" i="27"/>
  <c r="BE15" i="27"/>
  <c r="BF18" i="27"/>
  <c r="BG20" i="27"/>
  <c r="BG21" i="27"/>
  <c r="BH23" i="27"/>
  <c r="BI24" i="27"/>
  <c r="AY27" i="27"/>
  <c r="BF29" i="27"/>
  <c r="BJ30" i="27"/>
  <c r="AY32" i="27"/>
  <c r="BA33" i="27"/>
  <c r="BH35" i="27"/>
  <c r="BG39" i="27"/>
  <c r="BI43" i="27"/>
  <c r="AX45" i="27"/>
  <c r="BD46" i="27"/>
  <c r="BA49" i="27"/>
  <c r="AZ52" i="27"/>
  <c r="AY55" i="27"/>
  <c r="AZ58" i="27"/>
  <c r="BD61" i="27"/>
  <c r="BA63" i="27"/>
  <c r="BJ64" i="27"/>
  <c r="BC66" i="27"/>
  <c r="BJ69" i="27"/>
  <c r="BC73" i="27"/>
  <c r="AZ75" i="27"/>
  <c r="BK76" i="27"/>
  <c r="AX79" i="27"/>
  <c r="BD82" i="27"/>
  <c r="BB86" i="27"/>
  <c r="AZ88" i="27"/>
  <c r="BB92" i="27"/>
  <c r="BA94" i="27"/>
  <c r="BD98" i="27"/>
  <c r="BK104" i="27"/>
  <c r="AW83" i="27"/>
  <c r="AV44" i="27"/>
  <c r="AV32" i="27"/>
  <c r="AV49" i="27"/>
  <c r="AW2" i="27"/>
  <c r="AW103" i="27"/>
  <c r="AV41" i="27"/>
  <c r="AV35" i="27"/>
  <c r="AV18" i="27"/>
  <c r="AV5" i="27"/>
  <c r="AV97" i="27"/>
  <c r="AV103" i="27"/>
  <c r="AV75" i="27"/>
  <c r="AV84" i="27"/>
  <c r="AV93" i="27"/>
  <c r="BP44" i="27" l="1"/>
  <c r="BT22" i="27"/>
  <c r="BT24" i="27" s="1"/>
  <c r="BS22" i="27"/>
  <c r="BS24" i="27" s="1"/>
  <c r="BS21" i="27"/>
  <c r="BT21" i="27"/>
  <c r="BP29" i="27"/>
  <c r="DU20" i="21"/>
  <c r="DU13" i="21"/>
  <c r="DP20" i="21"/>
  <c r="DP27" i="21"/>
  <c r="DP34" i="21" s="1"/>
  <c r="DP13" i="21"/>
  <c r="DP6" i="21"/>
  <c r="DG340" i="21"/>
  <c r="DF340" i="21"/>
  <c r="DG339" i="21"/>
  <c r="DF339" i="21"/>
  <c r="DG338" i="21"/>
  <c r="DF338" i="21"/>
  <c r="DG337" i="21"/>
  <c r="DF337" i="21"/>
  <c r="DG336" i="21"/>
  <c r="DF336" i="21"/>
  <c r="DG335" i="21"/>
  <c r="DF335" i="21"/>
  <c r="DG334" i="21"/>
  <c r="DF334" i="21"/>
  <c r="DG333" i="21"/>
  <c r="DF333" i="21"/>
  <c r="DG332" i="21"/>
  <c r="DF332" i="21"/>
  <c r="DG331" i="21"/>
  <c r="DF331" i="21"/>
  <c r="DG330" i="21"/>
  <c r="DF330" i="21"/>
  <c r="DG329" i="21"/>
  <c r="DF329" i="21"/>
  <c r="DG328" i="21"/>
  <c r="DF328" i="21"/>
  <c r="DG327" i="21"/>
  <c r="DF327" i="21"/>
  <c r="DG326" i="21"/>
  <c r="DF326" i="21"/>
  <c r="DG325" i="21"/>
  <c r="DF325" i="21"/>
  <c r="DG324" i="21"/>
  <c r="DF324" i="21"/>
  <c r="DG323" i="21"/>
  <c r="DF323" i="21"/>
  <c r="DF322" i="21"/>
  <c r="DG321" i="21"/>
  <c r="DF321" i="21"/>
  <c r="DG320" i="21"/>
  <c r="DF320" i="21"/>
  <c r="DF319" i="21"/>
  <c r="DG318" i="21"/>
  <c r="DF318" i="21"/>
  <c r="DG317" i="21"/>
  <c r="DF317" i="21"/>
  <c r="DG316" i="21"/>
  <c r="DF316" i="21"/>
  <c r="DG315" i="21"/>
  <c r="DF315" i="21"/>
  <c r="DG314" i="21"/>
  <c r="DF314" i="21"/>
  <c r="DG313" i="21"/>
  <c r="DF313" i="21"/>
  <c r="DG312" i="21"/>
  <c r="DF312" i="21"/>
  <c r="DG311" i="21"/>
  <c r="DF311" i="21"/>
  <c r="DG310" i="21"/>
  <c r="DF310" i="21"/>
  <c r="DG309" i="21"/>
  <c r="DF309" i="21"/>
  <c r="DG308" i="21"/>
  <c r="DF308" i="21"/>
  <c r="DG307" i="21"/>
  <c r="DF307" i="21"/>
  <c r="DG306" i="21"/>
  <c r="DF306" i="21"/>
  <c r="DG305" i="21"/>
  <c r="DF305" i="21"/>
  <c r="DG304" i="21"/>
  <c r="DF304" i="21"/>
  <c r="DG303" i="21"/>
  <c r="DF303" i="21"/>
  <c r="DG302" i="21"/>
  <c r="DF302" i="21"/>
  <c r="DG301" i="21"/>
  <c r="DF301" i="21"/>
  <c r="DG300" i="21"/>
  <c r="DF300" i="21"/>
  <c r="DG299" i="21"/>
  <c r="DF299" i="21"/>
  <c r="DG298" i="21"/>
  <c r="DF298" i="21"/>
  <c r="DG297" i="21"/>
  <c r="DF297" i="21"/>
  <c r="DG296" i="21"/>
  <c r="DF296" i="21"/>
  <c r="DF295" i="21"/>
  <c r="DG294" i="21"/>
  <c r="DF294" i="21"/>
  <c r="DG293" i="21"/>
  <c r="DF293" i="21"/>
  <c r="DG292" i="21"/>
  <c r="DF292" i="21"/>
  <c r="DG291" i="21"/>
  <c r="DF291" i="21"/>
  <c r="DG290" i="21"/>
  <c r="DF290" i="21"/>
  <c r="DG289" i="21"/>
  <c r="DF289" i="21"/>
  <c r="DG288" i="21"/>
  <c r="DF288" i="21"/>
  <c r="DG287" i="21"/>
  <c r="DF287" i="21"/>
  <c r="DG286" i="21"/>
  <c r="DF286" i="21"/>
  <c r="DF285" i="21"/>
  <c r="DG284" i="21"/>
  <c r="DF284" i="21"/>
  <c r="DG283" i="21"/>
  <c r="DF283" i="21"/>
  <c r="DG282" i="21"/>
  <c r="DF282" i="21"/>
  <c r="DG281" i="21"/>
  <c r="DF281" i="21"/>
  <c r="DG280" i="21"/>
  <c r="DF280" i="21"/>
  <c r="DG279" i="21"/>
  <c r="DF279" i="21"/>
  <c r="DG278" i="21"/>
  <c r="DF278" i="21"/>
  <c r="DG277" i="21"/>
  <c r="DF277" i="21"/>
  <c r="DG276" i="21"/>
  <c r="DF276" i="21"/>
  <c r="DG275" i="21"/>
  <c r="DF275" i="21"/>
  <c r="DG274" i="21"/>
  <c r="DF274" i="21"/>
  <c r="DG273" i="21"/>
  <c r="DF273" i="21"/>
  <c r="DG272" i="21"/>
  <c r="DF272" i="21"/>
  <c r="DG271" i="21"/>
  <c r="DF271" i="21"/>
  <c r="DG270" i="21"/>
  <c r="DF270" i="21"/>
  <c r="DG269" i="21"/>
  <c r="DF269" i="21"/>
  <c r="DG268" i="21"/>
  <c r="DF268" i="21"/>
  <c r="DG267" i="21"/>
  <c r="DF267" i="21"/>
  <c r="DG266" i="21"/>
  <c r="DF266" i="21"/>
  <c r="DG265" i="21"/>
  <c r="DF265" i="21"/>
  <c r="DG264" i="21"/>
  <c r="DF264" i="21"/>
  <c r="DG263" i="21"/>
  <c r="DF263" i="21"/>
  <c r="DG262" i="21"/>
  <c r="DF262" i="21"/>
  <c r="DG261" i="21"/>
  <c r="DF261" i="21"/>
  <c r="DG260" i="21"/>
  <c r="DF260" i="21"/>
  <c r="DG259" i="21"/>
  <c r="DF259" i="21"/>
  <c r="DG258" i="21"/>
  <c r="DF258" i="21"/>
  <c r="DG257" i="21"/>
  <c r="DF257" i="21"/>
  <c r="DG256" i="21"/>
  <c r="DF256" i="21"/>
  <c r="DG255" i="21"/>
  <c r="DF255" i="21"/>
  <c r="DG254" i="21"/>
  <c r="DF254" i="21"/>
  <c r="DG253" i="21"/>
  <c r="DF253" i="21"/>
  <c r="DG252" i="21"/>
  <c r="DF252" i="21"/>
  <c r="DG251" i="21"/>
  <c r="DF251" i="21"/>
  <c r="DG250" i="21"/>
  <c r="DF250" i="21"/>
  <c r="DG249" i="21"/>
  <c r="DF249" i="21"/>
  <c r="DG248" i="21"/>
  <c r="DF248" i="21"/>
  <c r="DG247" i="21"/>
  <c r="DF247" i="21"/>
  <c r="DG246" i="21"/>
  <c r="DF246" i="21"/>
  <c r="DG245" i="21"/>
  <c r="DF245" i="21"/>
  <c r="DG244" i="21"/>
  <c r="DF244" i="21"/>
  <c r="DG243" i="21"/>
  <c r="DF243" i="21"/>
  <c r="DG242" i="21"/>
  <c r="DF242" i="21"/>
  <c r="DG241" i="21"/>
  <c r="DF241" i="21"/>
  <c r="DG240" i="21"/>
  <c r="DF240" i="21"/>
  <c r="DF239" i="21"/>
  <c r="DG238" i="21"/>
  <c r="DF238" i="21"/>
  <c r="DG237" i="21"/>
  <c r="DF237" i="21"/>
  <c r="DG236" i="21"/>
  <c r="DF236" i="21"/>
  <c r="DG235" i="21"/>
  <c r="DF235" i="21"/>
  <c r="DG234" i="21"/>
  <c r="DF234" i="21"/>
  <c r="DG233" i="21"/>
  <c r="DF233" i="21"/>
  <c r="DG232" i="21"/>
  <c r="DF232" i="21"/>
  <c r="DG231" i="21"/>
  <c r="DF231" i="21"/>
  <c r="DG230" i="21"/>
  <c r="DF230" i="21"/>
  <c r="DG229" i="21"/>
  <c r="DF229" i="21"/>
  <c r="DG228" i="21"/>
  <c r="DF228" i="21"/>
  <c r="DG227" i="21"/>
  <c r="DF227" i="21"/>
  <c r="DG226" i="21"/>
  <c r="DF226" i="21"/>
  <c r="DG225" i="21"/>
  <c r="DF225" i="21"/>
  <c r="DG224" i="21"/>
  <c r="DF224" i="21"/>
  <c r="DG223" i="21"/>
  <c r="DF223" i="21"/>
  <c r="DG222" i="21"/>
  <c r="DF222" i="21"/>
  <c r="DG221" i="21"/>
  <c r="DF221" i="21"/>
  <c r="DG220" i="21"/>
  <c r="DF220" i="21"/>
  <c r="DG219" i="21"/>
  <c r="DF219" i="21"/>
  <c r="DG218" i="21"/>
  <c r="DF218" i="21"/>
  <c r="DG217" i="21"/>
  <c r="DF217" i="21"/>
  <c r="DF216" i="21"/>
  <c r="DG215" i="21"/>
  <c r="DF215" i="21"/>
  <c r="DG214" i="21"/>
  <c r="DF214" i="21"/>
  <c r="DG213" i="21"/>
  <c r="DF213" i="21"/>
  <c r="DG212" i="21"/>
  <c r="DF212" i="21"/>
  <c r="DG211" i="21"/>
  <c r="DF211" i="21"/>
  <c r="DG210" i="21"/>
  <c r="DF210" i="21"/>
  <c r="DG209" i="21"/>
  <c r="DF209" i="21"/>
  <c r="DG208" i="21"/>
  <c r="DF208" i="21"/>
  <c r="DG207" i="21"/>
  <c r="DF207" i="21"/>
  <c r="DG205" i="21"/>
  <c r="DF205" i="21"/>
  <c r="DG204" i="21"/>
  <c r="DF204" i="21"/>
  <c r="DG203" i="21"/>
  <c r="DF203" i="21"/>
  <c r="DG199" i="21"/>
  <c r="DF199" i="21"/>
  <c r="DG198" i="21"/>
  <c r="DF198" i="21"/>
  <c r="DF197" i="21"/>
  <c r="DF195" i="21"/>
  <c r="DF194" i="21"/>
  <c r="DG193" i="21"/>
  <c r="DF193" i="21"/>
  <c r="DG192" i="21"/>
  <c r="DF192" i="21"/>
  <c r="DG185" i="21"/>
  <c r="DF185" i="21"/>
  <c r="DG180" i="21"/>
  <c r="DF180" i="21"/>
  <c r="DG179" i="21"/>
  <c r="DF179" i="21"/>
  <c r="DG175" i="21"/>
  <c r="DF175" i="21"/>
  <c r="DG174" i="21"/>
  <c r="DF174" i="21"/>
  <c r="DG173" i="21"/>
  <c r="DF173" i="21"/>
  <c r="DG169" i="21"/>
  <c r="DF169" i="21"/>
  <c r="DG168" i="21"/>
  <c r="DF168" i="21"/>
  <c r="DF164" i="21"/>
  <c r="DF163" i="21"/>
  <c r="DF154" i="21"/>
  <c r="DG150" i="21"/>
  <c r="DF150" i="21"/>
  <c r="DG149" i="21"/>
  <c r="DF149" i="21"/>
  <c r="DG145" i="21"/>
  <c r="DF145" i="21"/>
  <c r="DG144" i="21"/>
  <c r="DF144" i="21"/>
  <c r="DG139" i="21"/>
  <c r="DF139" i="21"/>
  <c r="DG138" i="21"/>
  <c r="DF138" i="21"/>
  <c r="DG137" i="21"/>
  <c r="DF137" i="21"/>
  <c r="DF135" i="21"/>
  <c r="DF134" i="21"/>
  <c r="DF133" i="21"/>
  <c r="DG126" i="21"/>
  <c r="DF126" i="21"/>
  <c r="DG125" i="21"/>
  <c r="DF125" i="21"/>
  <c r="DF121" i="21"/>
  <c r="DG120" i="21"/>
  <c r="DF120" i="21"/>
  <c r="DG119" i="21"/>
  <c r="DF119" i="21"/>
  <c r="DG115" i="21"/>
  <c r="DF115" i="21"/>
  <c r="DG114" i="21"/>
  <c r="DF114" i="21"/>
  <c r="DG109" i="21"/>
  <c r="DF109" i="21"/>
  <c r="DG108" i="21"/>
  <c r="DF108" i="21"/>
  <c r="DF103" i="21"/>
  <c r="DF102" i="21"/>
  <c r="DG100" i="21"/>
  <c r="DF100" i="21"/>
  <c r="DF99" i="21"/>
  <c r="DG98" i="21"/>
  <c r="DF98" i="21"/>
  <c r="DG97" i="21"/>
  <c r="DF97" i="21"/>
  <c r="DG96" i="21"/>
  <c r="DF96" i="21"/>
  <c r="DG95" i="21"/>
  <c r="DF95" i="21"/>
  <c r="DG94" i="21"/>
  <c r="DF94" i="21"/>
  <c r="DG93" i="21"/>
  <c r="DF93" i="21"/>
  <c r="DG92" i="21"/>
  <c r="DF92" i="21"/>
  <c r="DG91" i="21"/>
  <c r="DF91" i="21"/>
  <c r="DG90" i="21"/>
  <c r="DF90" i="21"/>
  <c r="DG89" i="21"/>
  <c r="DF89" i="21"/>
  <c r="DG88" i="21"/>
  <c r="DF88" i="21"/>
  <c r="DG87" i="21"/>
  <c r="DF87" i="21"/>
  <c r="DG86" i="21"/>
  <c r="DF86" i="21"/>
  <c r="DG85" i="21"/>
  <c r="DF85" i="21"/>
  <c r="DG84" i="21"/>
  <c r="DF84" i="21"/>
  <c r="DG83" i="21"/>
  <c r="DF83" i="21"/>
  <c r="DG82" i="21"/>
  <c r="DF82" i="21"/>
  <c r="DG81" i="21"/>
  <c r="DF81" i="21"/>
  <c r="DG80" i="21"/>
  <c r="DF80" i="21"/>
  <c r="DG79" i="21"/>
  <c r="DF79" i="21"/>
  <c r="DG78" i="21"/>
  <c r="DF78" i="21"/>
  <c r="DG77" i="21"/>
  <c r="DF77" i="21"/>
  <c r="DG76" i="21"/>
  <c r="DF76" i="21"/>
  <c r="DG75" i="21"/>
  <c r="DF75" i="21"/>
  <c r="DG74" i="21"/>
  <c r="DF74" i="21"/>
  <c r="DG73" i="21"/>
  <c r="DF73" i="21"/>
  <c r="DG72" i="21"/>
  <c r="DF72" i="21"/>
  <c r="DG71" i="21"/>
  <c r="DF71" i="21"/>
  <c r="DG70" i="21"/>
  <c r="DF70" i="21"/>
  <c r="DG69" i="21"/>
  <c r="DF69" i="21"/>
  <c r="DG68" i="21"/>
  <c r="DF68" i="21"/>
  <c r="DG67" i="21"/>
  <c r="DF67" i="21"/>
  <c r="DG66" i="21"/>
  <c r="DF66" i="21"/>
  <c r="DG65" i="21"/>
  <c r="DF65" i="21"/>
  <c r="DG64" i="21"/>
  <c r="DF64" i="21"/>
  <c r="DG63" i="21"/>
  <c r="DF63" i="21"/>
  <c r="DG62" i="21"/>
  <c r="DF62" i="21"/>
  <c r="DG61" i="21"/>
  <c r="DF61" i="21"/>
  <c r="DG60" i="21"/>
  <c r="DF60" i="21"/>
  <c r="DG59" i="21"/>
  <c r="DF59" i="21"/>
  <c r="DG58" i="21"/>
  <c r="DF58" i="21"/>
  <c r="DG57" i="21"/>
  <c r="DF57" i="21"/>
  <c r="DG56" i="21"/>
  <c r="DF56" i="21"/>
  <c r="DG55" i="21"/>
  <c r="DF55" i="21"/>
  <c r="DG54" i="21"/>
  <c r="DF54" i="21"/>
  <c r="DG53" i="21"/>
  <c r="DF53" i="21"/>
  <c r="DG52" i="21"/>
  <c r="DF52" i="21"/>
  <c r="DG51" i="21"/>
  <c r="DF51" i="21"/>
  <c r="DG50" i="21"/>
  <c r="DF50" i="21"/>
  <c r="DG49" i="21"/>
  <c r="DF49" i="21"/>
  <c r="DG48" i="21"/>
  <c r="DF48" i="21"/>
  <c r="DG47" i="21"/>
  <c r="DF47" i="21"/>
  <c r="DG46" i="21"/>
  <c r="DF46" i="21"/>
  <c r="DG45" i="21"/>
  <c r="DF45" i="21"/>
  <c r="DG44" i="21"/>
  <c r="DF44" i="21"/>
  <c r="DG43" i="21"/>
  <c r="DF43" i="21"/>
  <c r="DG42" i="21"/>
  <c r="DF42" i="21"/>
  <c r="DG41" i="21"/>
  <c r="DF41" i="21"/>
  <c r="DG40" i="21"/>
  <c r="DF40" i="21"/>
  <c r="DG39" i="21"/>
  <c r="DF39" i="21"/>
  <c r="DG38" i="21"/>
  <c r="DF38" i="21"/>
  <c r="DG37" i="21"/>
  <c r="DF37" i="21"/>
  <c r="DG36" i="21"/>
  <c r="DF36" i="21"/>
  <c r="DG35" i="21"/>
  <c r="DF35" i="21"/>
  <c r="DG34" i="21"/>
  <c r="DF34" i="21"/>
  <c r="DG33" i="21"/>
  <c r="DF33" i="21"/>
  <c r="DG32" i="21"/>
  <c r="DF32" i="21"/>
  <c r="DG31" i="21"/>
  <c r="DF31" i="21"/>
  <c r="DG30" i="21"/>
  <c r="DF30" i="21"/>
  <c r="DG29" i="21"/>
  <c r="DF29" i="21"/>
  <c r="DG28" i="21"/>
  <c r="DF28" i="21"/>
  <c r="DG27" i="21"/>
  <c r="DF27" i="21"/>
  <c r="DG26" i="21"/>
  <c r="DF26" i="21"/>
  <c r="DG25" i="21"/>
  <c r="DF25" i="21"/>
  <c r="DG24" i="21"/>
  <c r="DF24" i="21"/>
  <c r="DG23" i="21"/>
  <c r="DF23" i="21"/>
  <c r="DG22" i="21"/>
  <c r="DF22" i="21"/>
  <c r="DG21" i="21"/>
  <c r="DF21" i="21"/>
  <c r="DG20" i="21"/>
  <c r="DF20" i="21"/>
  <c r="DG19" i="21"/>
  <c r="DF19" i="21"/>
  <c r="DG18" i="21"/>
  <c r="DF18" i="21"/>
  <c r="DG17" i="21"/>
  <c r="DF17" i="21"/>
  <c r="DG16" i="21"/>
  <c r="DF16" i="21"/>
  <c r="DG15" i="21"/>
  <c r="DF15" i="21"/>
  <c r="DG14" i="21"/>
  <c r="DF14" i="21"/>
  <c r="DG13" i="21"/>
  <c r="DF13" i="21"/>
  <c r="DG12" i="21"/>
  <c r="DF12" i="21"/>
  <c r="DG11" i="21"/>
  <c r="DF11" i="21"/>
  <c r="DG10" i="21"/>
  <c r="DF10" i="21"/>
  <c r="DG9" i="21"/>
  <c r="DF9" i="21"/>
  <c r="DG8" i="21"/>
  <c r="DF8" i="21"/>
  <c r="DG7" i="21"/>
  <c r="DF7" i="21"/>
  <c r="DG6" i="21"/>
  <c r="DF6" i="21"/>
  <c r="DG5" i="21"/>
  <c r="DF5" i="21"/>
  <c r="DG4" i="21"/>
  <c r="DF4" i="21"/>
  <c r="DG3" i="21"/>
  <c r="DF3" i="21"/>
  <c r="DG2" i="21"/>
  <c r="DF2" i="21"/>
  <c r="DJ7" i="21"/>
  <c r="DJ6" i="21"/>
  <c r="DJ5" i="21"/>
  <c r="DJ4" i="21"/>
  <c r="DE340" i="21"/>
  <c r="DD340" i="21"/>
  <c r="DE339" i="21"/>
  <c r="DD339" i="21"/>
  <c r="DE338" i="21"/>
  <c r="DD338" i="21"/>
  <c r="DE337" i="21"/>
  <c r="DD337" i="21"/>
  <c r="DE336" i="21"/>
  <c r="DD336" i="21"/>
  <c r="DE335" i="21"/>
  <c r="DD335" i="21"/>
  <c r="DE334" i="21"/>
  <c r="DD334" i="21"/>
  <c r="DE333" i="21"/>
  <c r="DD333" i="21"/>
  <c r="DE332" i="21"/>
  <c r="DD332" i="21"/>
  <c r="DE331" i="21"/>
  <c r="DD331" i="21"/>
  <c r="DE330" i="21"/>
  <c r="DD330" i="21"/>
  <c r="DE329" i="21"/>
  <c r="DD329" i="21"/>
  <c r="DE328" i="21"/>
  <c r="DD328" i="21"/>
  <c r="DE327" i="21"/>
  <c r="DD327" i="21"/>
  <c r="DE326" i="21"/>
  <c r="DD326" i="21"/>
  <c r="DE325" i="21"/>
  <c r="DD325" i="21"/>
  <c r="DE324" i="21"/>
  <c r="DD324" i="21"/>
  <c r="DE323" i="21"/>
  <c r="DD323" i="21"/>
  <c r="DE322" i="21"/>
  <c r="DD322" i="21"/>
  <c r="DE321" i="21"/>
  <c r="DD321" i="21"/>
  <c r="DE320" i="21"/>
  <c r="DD320" i="21"/>
  <c r="DE319" i="21"/>
  <c r="DD319" i="21"/>
  <c r="DE318" i="21"/>
  <c r="DD318" i="21"/>
  <c r="DE317" i="21"/>
  <c r="DD317" i="21"/>
  <c r="DE316" i="21"/>
  <c r="DD316" i="21"/>
  <c r="DE315" i="21"/>
  <c r="DD315" i="21"/>
  <c r="DE314" i="21"/>
  <c r="DD314" i="21"/>
  <c r="DE313" i="21"/>
  <c r="DD313" i="21"/>
  <c r="DE312" i="21"/>
  <c r="DD312" i="21"/>
  <c r="DE311" i="21"/>
  <c r="DD311" i="21"/>
  <c r="DE310" i="21"/>
  <c r="DD310" i="21"/>
  <c r="DE309" i="21"/>
  <c r="DD309" i="21"/>
  <c r="DE308" i="21"/>
  <c r="DD308" i="21"/>
  <c r="DE307" i="21"/>
  <c r="DD307" i="21"/>
  <c r="DE306" i="21"/>
  <c r="DD306" i="21"/>
  <c r="DE305" i="21"/>
  <c r="DD305" i="21"/>
  <c r="DE304" i="21"/>
  <c r="DD304" i="21"/>
  <c r="DE303" i="21"/>
  <c r="DD303" i="21"/>
  <c r="DE302" i="21"/>
  <c r="DD302" i="21"/>
  <c r="DE301" i="21"/>
  <c r="DD301" i="21"/>
  <c r="DE300" i="21"/>
  <c r="DD300" i="21"/>
  <c r="DE299" i="21"/>
  <c r="DD299" i="21"/>
  <c r="DE298" i="21"/>
  <c r="DD298" i="21"/>
  <c r="DE297" i="21"/>
  <c r="DD297" i="21"/>
  <c r="DE296" i="21"/>
  <c r="DD296" i="21"/>
  <c r="DE295" i="21"/>
  <c r="DD295" i="21"/>
  <c r="DE294" i="21"/>
  <c r="DD294" i="21"/>
  <c r="DE293" i="21"/>
  <c r="DD293" i="21"/>
  <c r="DE292" i="21"/>
  <c r="DD292" i="21"/>
  <c r="DE291" i="21"/>
  <c r="DD291" i="21"/>
  <c r="DE290" i="21"/>
  <c r="DD290" i="21"/>
  <c r="DE289" i="21"/>
  <c r="DD289" i="21"/>
  <c r="DE288" i="21"/>
  <c r="DD288" i="21"/>
  <c r="DE287" i="21"/>
  <c r="DD287" i="21"/>
  <c r="DE286" i="21"/>
  <c r="DD286" i="21"/>
  <c r="DE285" i="21"/>
  <c r="DD285" i="21"/>
  <c r="DE284" i="21"/>
  <c r="DD284" i="21"/>
  <c r="DE283" i="21"/>
  <c r="DD283" i="21"/>
  <c r="DE282" i="21"/>
  <c r="DD282" i="21"/>
  <c r="DE281" i="21"/>
  <c r="DD281" i="21"/>
  <c r="DE280" i="21"/>
  <c r="DD280" i="21"/>
  <c r="DE279" i="21"/>
  <c r="DD279" i="21"/>
  <c r="DE278" i="21"/>
  <c r="DD278" i="21"/>
  <c r="DE277" i="21"/>
  <c r="DD277" i="21"/>
  <c r="DE276" i="21"/>
  <c r="DD276" i="21"/>
  <c r="DE275" i="21"/>
  <c r="DD275" i="21"/>
  <c r="DE274" i="21"/>
  <c r="DD274" i="21"/>
  <c r="DE273" i="21"/>
  <c r="DD273" i="21"/>
  <c r="DD272" i="21"/>
  <c r="DE271" i="21"/>
  <c r="DD271" i="21"/>
  <c r="DE270" i="21"/>
  <c r="DD270" i="21"/>
  <c r="DE269" i="21"/>
  <c r="DD269" i="21"/>
  <c r="DE268" i="21"/>
  <c r="DD268" i="21"/>
  <c r="DE267" i="21"/>
  <c r="DD267" i="21"/>
  <c r="DE266" i="21"/>
  <c r="DD266" i="21"/>
  <c r="DE265" i="21"/>
  <c r="DD265" i="21"/>
  <c r="DE264" i="21"/>
  <c r="DD264" i="21"/>
  <c r="DE263" i="21"/>
  <c r="DD263" i="21"/>
  <c r="DE262" i="21"/>
  <c r="DD262" i="21"/>
  <c r="DE261" i="21"/>
  <c r="DD261" i="21"/>
  <c r="DE260" i="21"/>
  <c r="DD260" i="21"/>
  <c r="DD259" i="21"/>
  <c r="DE258" i="21"/>
  <c r="DD258" i="21"/>
  <c r="DE257" i="21"/>
  <c r="DD257" i="21"/>
  <c r="DE256" i="21"/>
  <c r="DD256" i="21"/>
  <c r="DE255" i="21"/>
  <c r="DD255" i="21"/>
  <c r="DE254" i="21"/>
  <c r="DD254" i="21"/>
  <c r="DE253" i="21"/>
  <c r="DD253" i="21"/>
  <c r="DE252" i="21"/>
  <c r="DD252" i="21"/>
  <c r="DE251" i="21"/>
  <c r="DD251" i="21"/>
  <c r="DE250" i="21"/>
  <c r="DD250" i="21"/>
  <c r="DE249" i="21"/>
  <c r="DD249" i="21"/>
  <c r="DE248" i="21"/>
  <c r="DD248" i="21"/>
  <c r="DE247" i="21"/>
  <c r="DD247" i="21"/>
  <c r="DE246" i="21"/>
  <c r="DD246" i="21"/>
  <c r="DE245" i="21"/>
  <c r="DD245" i="21"/>
  <c r="DE244" i="21"/>
  <c r="DD244" i="21"/>
  <c r="DE243" i="21"/>
  <c r="DD243" i="21"/>
  <c r="DE242" i="21"/>
  <c r="DD242" i="21"/>
  <c r="DE241" i="21"/>
  <c r="DD241" i="21"/>
  <c r="DE240" i="21"/>
  <c r="DD240" i="21"/>
  <c r="DE239" i="21"/>
  <c r="DD239" i="21"/>
  <c r="DE238" i="21"/>
  <c r="DD238" i="21"/>
  <c r="DE237" i="21"/>
  <c r="DD237" i="21"/>
  <c r="DE236" i="21"/>
  <c r="DD236" i="21"/>
  <c r="DE235" i="21"/>
  <c r="DD235" i="21"/>
  <c r="DE234" i="21"/>
  <c r="DD234" i="21"/>
  <c r="DE233" i="21"/>
  <c r="DD233" i="21"/>
  <c r="DE232" i="21"/>
  <c r="DD232" i="21"/>
  <c r="DE231" i="21"/>
  <c r="DD231" i="21"/>
  <c r="DE230" i="21"/>
  <c r="DD230" i="21"/>
  <c r="DE229" i="21"/>
  <c r="DD229" i="21"/>
  <c r="DE228" i="21"/>
  <c r="DD228" i="21"/>
  <c r="DE227" i="21"/>
  <c r="DD227" i="21"/>
  <c r="DE226" i="21"/>
  <c r="DD226" i="21"/>
  <c r="DE225" i="21"/>
  <c r="DD225" i="21"/>
  <c r="DE224" i="21"/>
  <c r="DD224" i="21"/>
  <c r="DE223" i="21"/>
  <c r="DD223" i="21"/>
  <c r="DE222" i="21"/>
  <c r="DD222" i="21"/>
  <c r="DE221" i="21"/>
  <c r="DD221" i="21"/>
  <c r="DE220" i="21"/>
  <c r="DD220" i="21"/>
  <c r="DE219" i="21"/>
  <c r="DD219" i="21"/>
  <c r="DD218" i="21"/>
  <c r="DE217" i="21"/>
  <c r="DD217" i="21"/>
  <c r="DE216" i="21"/>
  <c r="DD216" i="21"/>
  <c r="DE215" i="21"/>
  <c r="DD215" i="21"/>
  <c r="DE214" i="21"/>
  <c r="DD214" i="21"/>
  <c r="DE213" i="21"/>
  <c r="DD213" i="21"/>
  <c r="DE212" i="21"/>
  <c r="DD212" i="21"/>
  <c r="DE211" i="21"/>
  <c r="DD211" i="21"/>
  <c r="DE210" i="21"/>
  <c r="DD210" i="21"/>
  <c r="DE209" i="21"/>
  <c r="DD209" i="21"/>
  <c r="DE208" i="21"/>
  <c r="DD208" i="21"/>
  <c r="DE207" i="21"/>
  <c r="DD207" i="21"/>
  <c r="DE204" i="21"/>
  <c r="DD204" i="21"/>
  <c r="DE203" i="21"/>
  <c r="DD203" i="21"/>
  <c r="DE199" i="21"/>
  <c r="DD197" i="21"/>
  <c r="DE196" i="21"/>
  <c r="DD196" i="21"/>
  <c r="DE195" i="21"/>
  <c r="DE190" i="21"/>
  <c r="DD190" i="21"/>
  <c r="DE189" i="21"/>
  <c r="DE185" i="21"/>
  <c r="DD185" i="21"/>
  <c r="DE184" i="21"/>
  <c r="DD184" i="21"/>
  <c r="DE183" i="21"/>
  <c r="DE180" i="21"/>
  <c r="DD180" i="21"/>
  <c r="DE179" i="21"/>
  <c r="DD179" i="21"/>
  <c r="DE178" i="21"/>
  <c r="DD178" i="21"/>
  <c r="DE174" i="21"/>
  <c r="DD174" i="21"/>
  <c r="DE173" i="21"/>
  <c r="DD173" i="21"/>
  <c r="DE172" i="21"/>
  <c r="DD172" i="21"/>
  <c r="DE171" i="21"/>
  <c r="DE169" i="21"/>
  <c r="DE166" i="21"/>
  <c r="DE165" i="21"/>
  <c r="DE160" i="21"/>
  <c r="DD160" i="21"/>
  <c r="DE159" i="21"/>
  <c r="DE155" i="21"/>
  <c r="DD155" i="21"/>
  <c r="DE154" i="21"/>
  <c r="DD154" i="21"/>
  <c r="DE153" i="21"/>
  <c r="DE150" i="21"/>
  <c r="DD150" i="21"/>
  <c r="DE149" i="21"/>
  <c r="DD149" i="21"/>
  <c r="DE148" i="21"/>
  <c r="DD148" i="21"/>
  <c r="DE147" i="21"/>
  <c r="DE145" i="21"/>
  <c r="DE144" i="21"/>
  <c r="DD144" i="21"/>
  <c r="DD138" i="21"/>
  <c r="DE137" i="21"/>
  <c r="DD137" i="21"/>
  <c r="DE136" i="21"/>
  <c r="DD136" i="21"/>
  <c r="DE135" i="21"/>
  <c r="DE131" i="21"/>
  <c r="DE130" i="21"/>
  <c r="DD130" i="21"/>
  <c r="DE129" i="21"/>
  <c r="DE125" i="21"/>
  <c r="DD125" i="21"/>
  <c r="DE124" i="21"/>
  <c r="DD124" i="21"/>
  <c r="DE123" i="21"/>
  <c r="DE120" i="21"/>
  <c r="DD120" i="21"/>
  <c r="DD119" i="21"/>
  <c r="DE118" i="21"/>
  <c r="DD118" i="21"/>
  <c r="DD114" i="21"/>
  <c r="DE111" i="21"/>
  <c r="DD111" i="21"/>
  <c r="DD106" i="21"/>
  <c r="DE105" i="21"/>
  <c r="DD105" i="21"/>
  <c r="DE104" i="21"/>
  <c r="DD104" i="21"/>
  <c r="DD103" i="21"/>
  <c r="DE99" i="21"/>
  <c r="DD99" i="21"/>
  <c r="DE98" i="21"/>
  <c r="DD98" i="21"/>
  <c r="DE97" i="21"/>
  <c r="DD97" i="21"/>
  <c r="DE96" i="21"/>
  <c r="DD96" i="21"/>
  <c r="DE95" i="21"/>
  <c r="DD95" i="21"/>
  <c r="DE94" i="21"/>
  <c r="DD94" i="21"/>
  <c r="DE93" i="21"/>
  <c r="DD93" i="21"/>
  <c r="DE92" i="21"/>
  <c r="DD92" i="21"/>
  <c r="DE91" i="21"/>
  <c r="DD91" i="21"/>
  <c r="DE90" i="21"/>
  <c r="DD90" i="21"/>
  <c r="DE89" i="21"/>
  <c r="DD89" i="21"/>
  <c r="DE88" i="21"/>
  <c r="DD88" i="21"/>
  <c r="DE87" i="21"/>
  <c r="DD87" i="21"/>
  <c r="DE86" i="21"/>
  <c r="DD86" i="21"/>
  <c r="DE85" i="21"/>
  <c r="DD85" i="21"/>
  <c r="DE84" i="21"/>
  <c r="DD84" i="21"/>
  <c r="DE83" i="21"/>
  <c r="DD83" i="21"/>
  <c r="DE82" i="21"/>
  <c r="DD82" i="21"/>
  <c r="DE81" i="21"/>
  <c r="DD81" i="21"/>
  <c r="DE80" i="21"/>
  <c r="DD80" i="21"/>
  <c r="DE79" i="21"/>
  <c r="DD79" i="21"/>
  <c r="DE78" i="21"/>
  <c r="DD78" i="21"/>
  <c r="DE77" i="21"/>
  <c r="DD77" i="21"/>
  <c r="DE76" i="21"/>
  <c r="DD76" i="21"/>
  <c r="DE75" i="21"/>
  <c r="DD75" i="21"/>
  <c r="DE74" i="21"/>
  <c r="DD74" i="21"/>
  <c r="DE73" i="21"/>
  <c r="DD73" i="21"/>
  <c r="DE72" i="21"/>
  <c r="DD72" i="21"/>
  <c r="DE71" i="21"/>
  <c r="DD71" i="21"/>
  <c r="DE70" i="21"/>
  <c r="DD70" i="21"/>
  <c r="DE69" i="21"/>
  <c r="DD69" i="21"/>
  <c r="DE68" i="21"/>
  <c r="DD68" i="21"/>
  <c r="DE67" i="21"/>
  <c r="DD67" i="21"/>
  <c r="DE66" i="21"/>
  <c r="DD66" i="21"/>
  <c r="DE65" i="21"/>
  <c r="DD65" i="21"/>
  <c r="DE64" i="21"/>
  <c r="DD64" i="21"/>
  <c r="DE63" i="21"/>
  <c r="DD63" i="21"/>
  <c r="DE62" i="21"/>
  <c r="DD62" i="21"/>
  <c r="DE61" i="21"/>
  <c r="DD61" i="21"/>
  <c r="DE60" i="21"/>
  <c r="DD60" i="21"/>
  <c r="DE59" i="21"/>
  <c r="DD59" i="21"/>
  <c r="DE58" i="21"/>
  <c r="DD58" i="21"/>
  <c r="DE57" i="21"/>
  <c r="DD57" i="21"/>
  <c r="DE56" i="21"/>
  <c r="DD56" i="21"/>
  <c r="DE55" i="21"/>
  <c r="DD55" i="21"/>
  <c r="DE54" i="21"/>
  <c r="DD54" i="21"/>
  <c r="DE53" i="21"/>
  <c r="DD53" i="21"/>
  <c r="DE52" i="21"/>
  <c r="DD52" i="21"/>
  <c r="DE51" i="21"/>
  <c r="DD51" i="21"/>
  <c r="DE50" i="21"/>
  <c r="DD50" i="21"/>
  <c r="DE49" i="21"/>
  <c r="DD49" i="21"/>
  <c r="DE48" i="21"/>
  <c r="DD48" i="21"/>
  <c r="DE47" i="21"/>
  <c r="DD47" i="21"/>
  <c r="DE46" i="21"/>
  <c r="DD46" i="21"/>
  <c r="DE45" i="21"/>
  <c r="DD45" i="21"/>
  <c r="DE44" i="21"/>
  <c r="DD44" i="21"/>
  <c r="DE43" i="21"/>
  <c r="DD43" i="21"/>
  <c r="DE42" i="21"/>
  <c r="DD42" i="21"/>
  <c r="DE41" i="21"/>
  <c r="DD41" i="21"/>
  <c r="DE40" i="21"/>
  <c r="DD40" i="21"/>
  <c r="DE39" i="21"/>
  <c r="DD39" i="21"/>
  <c r="DE38" i="21"/>
  <c r="DD38" i="21"/>
  <c r="DE37" i="21"/>
  <c r="DD37" i="21"/>
  <c r="DE36" i="21"/>
  <c r="DD36" i="21"/>
  <c r="DE35" i="21"/>
  <c r="DD35" i="21"/>
  <c r="DE34" i="21"/>
  <c r="DD34" i="21"/>
  <c r="DE33" i="21"/>
  <c r="DD33" i="21"/>
  <c r="DE32" i="21"/>
  <c r="DD32" i="21"/>
  <c r="DE31" i="21"/>
  <c r="DD31" i="21"/>
  <c r="DE30" i="21"/>
  <c r="DD30" i="21"/>
  <c r="DE29" i="21"/>
  <c r="DD29" i="21"/>
  <c r="DE28" i="21"/>
  <c r="DD28" i="21"/>
  <c r="DE27" i="21"/>
  <c r="DD27" i="21"/>
  <c r="DE26" i="21"/>
  <c r="DD26" i="21"/>
  <c r="DE25" i="21"/>
  <c r="DD25" i="21"/>
  <c r="DE24" i="21"/>
  <c r="DD24" i="21"/>
  <c r="DE23" i="21"/>
  <c r="DD23" i="21"/>
  <c r="DE22" i="21"/>
  <c r="DD22" i="21"/>
  <c r="DE21" i="21"/>
  <c r="DD21" i="21"/>
  <c r="DE20" i="21"/>
  <c r="DD20" i="21"/>
  <c r="DE19" i="21"/>
  <c r="DD19" i="21"/>
  <c r="DE18" i="21"/>
  <c r="DD18" i="21"/>
  <c r="DE17" i="21"/>
  <c r="DD17" i="21"/>
  <c r="DE16" i="21"/>
  <c r="DD16" i="21"/>
  <c r="DE15" i="21"/>
  <c r="DD15" i="21"/>
  <c r="DE14" i="21"/>
  <c r="DD14" i="21"/>
  <c r="DE13" i="21"/>
  <c r="DD13" i="21"/>
  <c r="DE12" i="21"/>
  <c r="DD12" i="21"/>
  <c r="DE11" i="21"/>
  <c r="DD11" i="21"/>
  <c r="DE10" i="21"/>
  <c r="DD10" i="21"/>
  <c r="DE9" i="21"/>
  <c r="DD9" i="21"/>
  <c r="DE8" i="21"/>
  <c r="DD8" i="21"/>
  <c r="DE7" i="21"/>
  <c r="DD7" i="21"/>
  <c r="DE6" i="21"/>
  <c r="DD6" i="21"/>
  <c r="DE5" i="21"/>
  <c r="DD5" i="21"/>
  <c r="DE4" i="21"/>
  <c r="DD4" i="21"/>
  <c r="DE3" i="21"/>
  <c r="DD3" i="21"/>
  <c r="DA98" i="21"/>
  <c r="DA97" i="21"/>
  <c r="DA96" i="21"/>
  <c r="DA95" i="21"/>
  <c r="DA94" i="21"/>
  <c r="DA93" i="21"/>
  <c r="DA92" i="21"/>
  <c r="DA91" i="21"/>
  <c r="DA90" i="21"/>
  <c r="DA89" i="21"/>
  <c r="DA88" i="21"/>
  <c r="DA87" i="21"/>
  <c r="DA86" i="21"/>
  <c r="DA85" i="21"/>
  <c r="DA84" i="21"/>
  <c r="DA83" i="21"/>
  <c r="DA82" i="21"/>
  <c r="DA81" i="21"/>
  <c r="DA80" i="21"/>
  <c r="DA79" i="21"/>
  <c r="DA78" i="21"/>
  <c r="DA77" i="21"/>
  <c r="DA76" i="21"/>
  <c r="DA75" i="21"/>
  <c r="DA74" i="21"/>
  <c r="DA73" i="21"/>
  <c r="DA72" i="21"/>
  <c r="DA71" i="21"/>
  <c r="DA70" i="21"/>
  <c r="DA69" i="21"/>
  <c r="DA68" i="21"/>
  <c r="DA67" i="21"/>
  <c r="DA66" i="21"/>
  <c r="DA65" i="21"/>
  <c r="DA64" i="21"/>
  <c r="DA63" i="21"/>
  <c r="DA62" i="21"/>
  <c r="DA61" i="21"/>
  <c r="DA60" i="21"/>
  <c r="DA59" i="21"/>
  <c r="DA58" i="21"/>
  <c r="DA57" i="21"/>
  <c r="DA56" i="21"/>
  <c r="DA55" i="21"/>
  <c r="DA54" i="21"/>
  <c r="DA53" i="21"/>
  <c r="DA52" i="21"/>
  <c r="DA51" i="21"/>
  <c r="DA50" i="21"/>
  <c r="DA49" i="21"/>
  <c r="DA48" i="21"/>
  <c r="DA47" i="21"/>
  <c r="DA46" i="21"/>
  <c r="DA45" i="21"/>
  <c r="DA44" i="21"/>
  <c r="DA43" i="21"/>
  <c r="DA42" i="21"/>
  <c r="DA41" i="21"/>
  <c r="DA40" i="21"/>
  <c r="DA39" i="21"/>
  <c r="DA38" i="21"/>
  <c r="DA37" i="21"/>
  <c r="DA36" i="21"/>
  <c r="DA35" i="21"/>
  <c r="DA34" i="21"/>
  <c r="DA33" i="21"/>
  <c r="DA32" i="21"/>
  <c r="DA31" i="21"/>
  <c r="DA30" i="21"/>
  <c r="DA29" i="21"/>
  <c r="DA28" i="21"/>
  <c r="DA27" i="21"/>
  <c r="DA26" i="21"/>
  <c r="DA25" i="21"/>
  <c r="DA24" i="21"/>
  <c r="DA23" i="21"/>
  <c r="DA22" i="21"/>
  <c r="DA21" i="21"/>
  <c r="DA20" i="21"/>
  <c r="DA19" i="21"/>
  <c r="DA18" i="21"/>
  <c r="DA17" i="21"/>
  <c r="DA16" i="21"/>
  <c r="DA15" i="21"/>
  <c r="DA14" i="21"/>
  <c r="DA13" i="21"/>
  <c r="DA12" i="21"/>
  <c r="DA11" i="21"/>
  <c r="DA10" i="21"/>
  <c r="DA9" i="21"/>
  <c r="DA8" i="21"/>
  <c r="DA7" i="21"/>
  <c r="DA6" i="21"/>
  <c r="DA5" i="21"/>
  <c r="DA4" i="21"/>
  <c r="DA3" i="21"/>
  <c r="DA2" i="21"/>
  <c r="CX98" i="21"/>
  <c r="CX97" i="21"/>
  <c r="CX96" i="21"/>
  <c r="CX95" i="21"/>
  <c r="CX94" i="21"/>
  <c r="CX93" i="21"/>
  <c r="CX92" i="21"/>
  <c r="DC92" i="21" s="1"/>
  <c r="CX91" i="21"/>
  <c r="DC91" i="21" s="1"/>
  <c r="CX90" i="21"/>
  <c r="DC90" i="21" s="1"/>
  <c r="CX89" i="21"/>
  <c r="CX88" i="21"/>
  <c r="DC88" i="21" s="1"/>
  <c r="CX87" i="21"/>
  <c r="DC87" i="21" s="1"/>
  <c r="CX86" i="21"/>
  <c r="CX85" i="21"/>
  <c r="CX84" i="21"/>
  <c r="CX83" i="21"/>
  <c r="CX82" i="21"/>
  <c r="CX81" i="21"/>
  <c r="CX80" i="21"/>
  <c r="DC80" i="21" s="1"/>
  <c r="CX79" i="21"/>
  <c r="DC79" i="21" s="1"/>
  <c r="CX78" i="21"/>
  <c r="DC78" i="21" s="1"/>
  <c r="CX77" i="21"/>
  <c r="CX76" i="21"/>
  <c r="DC76" i="21" s="1"/>
  <c r="CX75" i="21"/>
  <c r="DC75" i="21" s="1"/>
  <c r="CX74" i="21"/>
  <c r="CX73" i="21"/>
  <c r="CX72" i="21"/>
  <c r="CX71" i="21"/>
  <c r="CX70" i="21"/>
  <c r="CX69" i="21"/>
  <c r="CX68" i="21"/>
  <c r="DC68" i="21" s="1"/>
  <c r="CX67" i="21"/>
  <c r="DC67" i="21" s="1"/>
  <c r="CX66" i="21"/>
  <c r="DC66" i="21" s="1"/>
  <c r="CX65" i="21"/>
  <c r="CX64" i="21"/>
  <c r="DC64" i="21" s="1"/>
  <c r="CX63" i="21"/>
  <c r="DC63" i="21" s="1"/>
  <c r="CX62" i="21"/>
  <c r="CX61" i="21"/>
  <c r="CX60" i="21"/>
  <c r="CX59" i="21"/>
  <c r="CX58" i="21"/>
  <c r="CX57" i="21"/>
  <c r="CX56" i="21"/>
  <c r="DC56" i="21" s="1"/>
  <c r="CX55" i="21"/>
  <c r="DC55" i="21" s="1"/>
  <c r="CX54" i="21"/>
  <c r="DC54" i="21" s="1"/>
  <c r="CX53" i="21"/>
  <c r="CX52" i="21"/>
  <c r="DC52" i="21" s="1"/>
  <c r="CX51" i="21"/>
  <c r="DC51" i="21" s="1"/>
  <c r="CX50" i="21"/>
  <c r="CX49" i="21"/>
  <c r="CX48" i="21"/>
  <c r="CX47" i="21"/>
  <c r="CX46" i="21"/>
  <c r="CX45" i="21"/>
  <c r="CX44" i="21"/>
  <c r="DC44" i="21" s="1"/>
  <c r="CX43" i="21"/>
  <c r="DC43" i="21" s="1"/>
  <c r="CX42" i="21"/>
  <c r="DC42" i="21" s="1"/>
  <c r="CX41" i="21"/>
  <c r="CX40" i="21"/>
  <c r="DC40" i="21" s="1"/>
  <c r="CX39" i="21"/>
  <c r="DC39" i="21" s="1"/>
  <c r="CX38" i="21"/>
  <c r="CX37" i="21"/>
  <c r="CX36" i="21"/>
  <c r="CX35" i="21"/>
  <c r="CX34" i="21"/>
  <c r="CX33" i="21"/>
  <c r="CX32" i="21"/>
  <c r="DC32" i="21" s="1"/>
  <c r="CX31" i="21"/>
  <c r="DC31" i="21" s="1"/>
  <c r="CX30" i="21"/>
  <c r="DC30" i="21" s="1"/>
  <c r="CX29" i="21"/>
  <c r="CX28" i="21"/>
  <c r="DC28" i="21" s="1"/>
  <c r="CX27" i="21"/>
  <c r="DC27" i="21" s="1"/>
  <c r="CX26" i="21"/>
  <c r="CX25" i="21"/>
  <c r="CX24" i="21"/>
  <c r="CX23" i="21"/>
  <c r="CX22" i="21"/>
  <c r="CX21" i="21"/>
  <c r="CX20" i="21"/>
  <c r="DC20" i="21" s="1"/>
  <c r="CX19" i="21"/>
  <c r="DC19" i="21" s="1"/>
  <c r="CX18" i="21"/>
  <c r="DC18" i="21" s="1"/>
  <c r="CX17" i="21"/>
  <c r="CX16" i="21"/>
  <c r="DC16" i="21" s="1"/>
  <c r="CX15" i="21"/>
  <c r="DC15" i="21" s="1"/>
  <c r="CX14" i="21"/>
  <c r="CX13" i="21"/>
  <c r="CX12" i="21"/>
  <c r="CX11" i="21"/>
  <c r="CX10" i="21"/>
  <c r="CX9" i="21"/>
  <c r="CX8" i="21"/>
  <c r="DC8" i="21" s="1"/>
  <c r="CX7" i="21"/>
  <c r="CX6" i="21"/>
  <c r="DC6" i="21" s="1"/>
  <c r="CX5" i="21"/>
  <c r="DC5" i="21" s="1"/>
  <c r="CX4" i="21"/>
  <c r="CX3" i="21"/>
  <c r="DC3" i="21" s="1"/>
  <c r="CX2" i="21"/>
  <c r="DD2" i="21"/>
  <c r="DO18" i="21" s="1"/>
  <c r="DE2" i="21"/>
  <c r="DT18" i="21" s="1"/>
  <c r="CW340" i="21" a="1"/>
  <c r="CW340" i="21" s="1"/>
  <c r="CV340" i="21" a="1"/>
  <c r="CV340" i="21" s="1"/>
  <c r="CW339" i="21" a="1"/>
  <c r="CW339" i="21" s="1"/>
  <c r="CV339" i="21"/>
  <c r="DA339" i="21" s="1" a="1"/>
  <c r="DA339" i="21" s="1"/>
  <c r="CV339" i="21" a="1"/>
  <c r="CW338" i="21" a="1"/>
  <c r="CW338" i="21" s="1"/>
  <c r="CV338" i="21" a="1"/>
  <c r="CV338" i="21" s="1"/>
  <c r="DA338" i="21" s="1" a="1"/>
  <c r="DA338" i="21" s="1"/>
  <c r="CW337" i="21" a="1"/>
  <c r="CW337" i="21" s="1"/>
  <c r="CV337" i="21" a="1"/>
  <c r="CV337" i="21" s="1"/>
  <c r="DA337" i="21" s="1" a="1"/>
  <c r="DA337" i="21" s="1"/>
  <c r="CW336" i="21" a="1"/>
  <c r="CW336" i="21" s="1"/>
  <c r="CV336" i="21" a="1"/>
  <c r="CV336" i="21" s="1"/>
  <c r="DA336" i="21" s="1" a="1"/>
  <c r="DA336" i="21" s="1"/>
  <c r="CW335" i="21" a="1"/>
  <c r="CW335" i="21" s="1"/>
  <c r="CV335" i="21"/>
  <c r="CV335" i="21" a="1"/>
  <c r="CW334" i="21" a="1"/>
  <c r="CW334" i="21" s="1"/>
  <c r="CV334" i="21" a="1"/>
  <c r="CV334" i="21" s="1"/>
  <c r="CW333" i="21" a="1"/>
  <c r="CW333" i="21" s="1"/>
  <c r="CV333" i="21" a="1"/>
  <c r="CV333" i="21" s="1"/>
  <c r="DA333" i="21" s="1" a="1"/>
  <c r="DA333" i="21" s="1"/>
  <c r="CW332" i="21"/>
  <c r="CW332" i="21" a="1"/>
  <c r="CV332" i="21" a="1"/>
  <c r="CV332" i="21" s="1"/>
  <c r="DA332" i="21" s="1" a="1"/>
  <c r="DA332" i="21" s="1"/>
  <c r="CW331" i="21" a="1"/>
  <c r="CW331" i="21" s="1"/>
  <c r="CV331" i="21" a="1"/>
  <c r="CV331" i="21" s="1"/>
  <c r="CW330" i="21" a="1"/>
  <c r="CW330" i="21" s="1"/>
  <c r="CV330" i="21"/>
  <c r="DA330" i="21" s="1" a="1"/>
  <c r="DA330" i="21" s="1"/>
  <c r="CV330" i="21" a="1"/>
  <c r="CW329" i="21" a="1"/>
  <c r="CW329" i="21" s="1"/>
  <c r="CV329" i="21" a="1"/>
  <c r="CV329" i="21" s="1"/>
  <c r="DA329" i="21" s="1" a="1"/>
  <c r="DA329" i="21" s="1"/>
  <c r="CW328" i="21" a="1"/>
  <c r="CW328" i="21" s="1"/>
  <c r="CV328" i="21" a="1"/>
  <c r="CV328" i="21" s="1"/>
  <c r="CW327" i="21" a="1"/>
  <c r="CW327" i="21" s="1"/>
  <c r="CV327" i="21"/>
  <c r="DA327" i="21" s="1" a="1"/>
  <c r="DA327" i="21" s="1"/>
  <c r="CV327" i="21" a="1"/>
  <c r="CW326" i="21" a="1"/>
  <c r="CW326" i="21" s="1"/>
  <c r="CV326" i="21"/>
  <c r="DA326" i="21" s="1" a="1"/>
  <c r="DA326" i="21" s="1"/>
  <c r="CV326" i="21" a="1"/>
  <c r="CW325" i="21" a="1"/>
  <c r="CW325" i="21" s="1"/>
  <c r="CV325" i="21" a="1"/>
  <c r="CV325" i="21" s="1"/>
  <c r="DA325" i="21" s="1" a="1"/>
  <c r="DA325" i="21" s="1"/>
  <c r="CW324" i="21" a="1"/>
  <c r="CW324" i="21" s="1"/>
  <c r="CV324" i="21" a="1"/>
  <c r="CV324" i="21" s="1"/>
  <c r="DA324" i="21" s="1" a="1"/>
  <c r="DA324" i="21" s="1"/>
  <c r="CW323" i="21" a="1"/>
  <c r="CW323" i="21" s="1"/>
  <c r="CV323" i="21"/>
  <c r="CV323" i="21" a="1"/>
  <c r="CW322" i="21" a="1"/>
  <c r="CW322" i="21" s="1"/>
  <c r="CV322" i="21" a="1"/>
  <c r="CV322" i="21" s="1"/>
  <c r="CW321" i="21" a="1"/>
  <c r="CW321" i="21" s="1"/>
  <c r="CV321" i="21" a="1"/>
  <c r="CV321" i="21" s="1"/>
  <c r="DA321" i="21" s="1" a="1"/>
  <c r="DA321" i="21" s="1"/>
  <c r="CW320" i="21"/>
  <c r="CW320" i="21" a="1"/>
  <c r="CV320" i="21" a="1"/>
  <c r="CV320" i="21" s="1"/>
  <c r="DA320" i="21" s="1" a="1"/>
  <c r="DA320" i="21" s="1"/>
  <c r="CW319" i="21" a="1"/>
  <c r="CW319" i="21" s="1"/>
  <c r="CV319" i="21" a="1"/>
  <c r="CV319" i="21" s="1"/>
  <c r="CW318" i="21" a="1"/>
  <c r="CW318" i="21" s="1"/>
  <c r="CV318" i="21"/>
  <c r="DA318" i="21" s="1" a="1"/>
  <c r="DA318" i="21" s="1"/>
  <c r="CV318" i="21" a="1"/>
  <c r="CW317" i="21" a="1"/>
  <c r="CW317" i="21" s="1"/>
  <c r="CV317" i="21" a="1"/>
  <c r="CV317" i="21" s="1"/>
  <c r="DA317" i="21" s="1" a="1"/>
  <c r="DA317" i="21" s="1"/>
  <c r="CW316" i="21" a="1"/>
  <c r="CW316" i="21" s="1"/>
  <c r="CV316" i="21" a="1"/>
  <c r="CV316" i="21" s="1"/>
  <c r="CW315" i="21" a="1"/>
  <c r="CW315" i="21" s="1"/>
  <c r="CV315" i="21"/>
  <c r="DA315" i="21" s="1" a="1"/>
  <c r="DA315" i="21" s="1"/>
  <c r="CV315" i="21" a="1"/>
  <c r="CW314" i="21" a="1"/>
  <c r="CW314" i="21" s="1"/>
  <c r="CV314" i="21"/>
  <c r="DA314" i="21" s="1" a="1"/>
  <c r="DA314" i="21" s="1"/>
  <c r="CV314" i="21" a="1"/>
  <c r="CW313" i="21" a="1"/>
  <c r="CW313" i="21" s="1"/>
  <c r="CV313" i="21" a="1"/>
  <c r="CV313" i="21" s="1"/>
  <c r="CW312" i="21" a="1"/>
  <c r="CW312" i="21" s="1"/>
  <c r="CV312" i="21" a="1"/>
  <c r="CV312" i="21" s="1"/>
  <c r="DA312" i="21" s="1" a="1"/>
  <c r="DA312" i="21" s="1"/>
  <c r="CW311" i="21" a="1"/>
  <c r="CW311" i="21" s="1"/>
  <c r="CV311" i="21"/>
  <c r="CV311" i="21" a="1"/>
  <c r="CW310" i="21" a="1"/>
  <c r="CW310" i="21" s="1"/>
  <c r="CV310" i="21" a="1"/>
  <c r="CV310" i="21" s="1"/>
  <c r="DA310" i="21" s="1" a="1"/>
  <c r="DA310" i="21" s="1"/>
  <c r="CW309" i="21" a="1"/>
  <c r="CW309" i="21" s="1"/>
  <c r="CV309" i="21" a="1"/>
  <c r="CV309" i="21" s="1"/>
  <c r="DA309" i="21" s="1" a="1"/>
  <c r="DA309" i="21" s="1"/>
  <c r="CW308" i="21"/>
  <c r="CW308" i="21" a="1"/>
  <c r="CV308" i="21" a="1"/>
  <c r="CV308" i="21" s="1"/>
  <c r="DA308" i="21" s="1" a="1"/>
  <c r="DA308" i="21" s="1"/>
  <c r="CW307" i="21" a="1"/>
  <c r="CW307" i="21" s="1"/>
  <c r="CV307" i="21" a="1"/>
  <c r="CV307" i="21" s="1"/>
  <c r="CW306" i="21" a="1"/>
  <c r="CW306" i="21" s="1"/>
  <c r="CV306" i="21" a="1"/>
  <c r="CV306" i="21" s="1"/>
  <c r="DA306" i="21" s="1" a="1"/>
  <c r="DA306" i="21" s="1"/>
  <c r="CW305" i="21"/>
  <c r="CW305" i="21" a="1"/>
  <c r="CV305" i="21" a="1"/>
  <c r="CV305" i="21" s="1"/>
  <c r="DA305" i="21" s="1" a="1"/>
  <c r="DA305" i="21" s="1"/>
  <c r="CW304" i="21" a="1"/>
  <c r="CW304" i="21" s="1"/>
  <c r="CV304" i="21" a="1"/>
  <c r="CV304" i="21" s="1"/>
  <c r="CW303" i="21" a="1"/>
  <c r="CW303" i="21" s="1"/>
  <c r="CV303" i="21"/>
  <c r="DA303" i="21" s="1" a="1"/>
  <c r="DA303" i="21" s="1"/>
  <c r="CV303" i="21" a="1"/>
  <c r="CW302" i="21" a="1"/>
  <c r="CW302" i="21" s="1"/>
  <c r="CV302" i="21" a="1"/>
  <c r="CV302" i="21" s="1"/>
  <c r="DA302" i="21" s="1" a="1"/>
  <c r="DA302" i="21" s="1"/>
  <c r="CW301" i="21" a="1"/>
  <c r="CW301" i="21" s="1"/>
  <c r="CV301" i="21" a="1"/>
  <c r="CV301" i="21" s="1"/>
  <c r="CW300" i="21" a="1"/>
  <c r="CW300" i="21" s="1"/>
  <c r="CV300" i="21" a="1"/>
  <c r="CV300" i="21" s="1"/>
  <c r="DA300" i="21" s="1" a="1"/>
  <c r="DA300" i="21" s="1"/>
  <c r="CW299" i="21"/>
  <c r="CW299" i="21" a="1"/>
  <c r="CV299" i="21"/>
  <c r="CV299" i="21" a="1"/>
  <c r="CW298" i="21" a="1"/>
  <c r="CW298" i="21" s="1"/>
  <c r="CV298" i="21" a="1"/>
  <c r="CV298" i="21" s="1"/>
  <c r="CW297" i="21" a="1"/>
  <c r="CW297" i="21" s="1"/>
  <c r="CV297" i="21" a="1"/>
  <c r="CV297" i="21" s="1"/>
  <c r="DA297" i="21" s="1" a="1"/>
  <c r="DA297" i="21" s="1"/>
  <c r="CW296" i="21"/>
  <c r="CW296" i="21" a="1"/>
  <c r="CV296" i="21" a="1"/>
  <c r="CV296" i="21" s="1"/>
  <c r="DA296" i="21" s="1" a="1"/>
  <c r="DA296" i="21" s="1"/>
  <c r="CW295" i="21" a="1"/>
  <c r="CW295" i="21" s="1"/>
  <c r="CV295" i="21" a="1"/>
  <c r="CV295" i="21" s="1"/>
  <c r="CW294" i="21" a="1"/>
  <c r="CW294" i="21" s="1"/>
  <c r="CV294" i="21" a="1"/>
  <c r="CV294" i="21" s="1"/>
  <c r="DA294" i="21" s="1" a="1"/>
  <c r="DA294" i="21" s="1"/>
  <c r="CW293" i="21" a="1"/>
  <c r="CW293" i="21" s="1"/>
  <c r="CV293" i="21" a="1"/>
  <c r="CV293" i="21" s="1"/>
  <c r="DA293" i="21" s="1" a="1"/>
  <c r="DA293" i="21" s="1"/>
  <c r="CW292" i="21" a="1"/>
  <c r="CW292" i="21" s="1"/>
  <c r="CV292" i="21" a="1"/>
  <c r="CV292" i="21" s="1"/>
  <c r="CW291" i="21" a="1"/>
  <c r="CW291" i="21" s="1"/>
  <c r="CV291" i="21"/>
  <c r="DA291" i="21" s="1" a="1"/>
  <c r="DA291" i="21" s="1"/>
  <c r="CV291" i="21" a="1"/>
  <c r="CW290" i="21" a="1"/>
  <c r="CW290" i="21" s="1"/>
  <c r="CV290" i="21" a="1"/>
  <c r="CV290" i="21" s="1"/>
  <c r="DA290" i="21" s="1" a="1"/>
  <c r="DA290" i="21" s="1"/>
  <c r="CW289" i="21" a="1"/>
  <c r="CW289" i="21" s="1"/>
  <c r="CV289" i="21" a="1"/>
  <c r="CV289" i="21" s="1"/>
  <c r="DA289" i="21" s="1" a="1"/>
  <c r="DA289" i="21" s="1"/>
  <c r="CW288" i="21" a="1"/>
  <c r="CW288" i="21" s="1"/>
  <c r="CV288" i="21" a="1"/>
  <c r="CV288" i="21" s="1"/>
  <c r="DA288" i="21" s="1" a="1"/>
  <c r="DA288" i="21" s="1"/>
  <c r="CW287" i="21"/>
  <c r="CW287" i="21" a="1"/>
  <c r="CV287" i="21"/>
  <c r="CV287" i="21" a="1"/>
  <c r="CW286" i="21" a="1"/>
  <c r="CW286" i="21" s="1"/>
  <c r="CV286" i="21" a="1"/>
  <c r="CV286" i="21" s="1"/>
  <c r="CW285" i="21" a="1"/>
  <c r="CW285" i="21" s="1"/>
  <c r="CV285" i="21" a="1"/>
  <c r="CV285" i="21" s="1"/>
  <c r="DA285" i="21" s="1" a="1"/>
  <c r="DA285" i="21" s="1"/>
  <c r="CW284" i="21"/>
  <c r="CW284" i="21" a="1"/>
  <c r="CV284" i="21" a="1"/>
  <c r="CV284" i="21" s="1"/>
  <c r="DA284" i="21" s="1" a="1"/>
  <c r="DA284" i="21" s="1"/>
  <c r="CW283" i="21" a="1"/>
  <c r="CW283" i="21" s="1"/>
  <c r="CV283" i="21" a="1"/>
  <c r="CV283" i="21" s="1"/>
  <c r="CW282" i="21" a="1"/>
  <c r="CW282" i="21" s="1"/>
  <c r="CV282" i="21"/>
  <c r="DA282" i="21" s="1" a="1"/>
  <c r="DA282" i="21" s="1"/>
  <c r="CV282" i="21" a="1"/>
  <c r="CW281" i="21" a="1"/>
  <c r="CW281" i="21" s="1"/>
  <c r="CV281" i="21" a="1"/>
  <c r="CV281" i="21" s="1"/>
  <c r="DA281" i="21" s="1" a="1"/>
  <c r="DA281" i="21" s="1"/>
  <c r="CW280" i="21" a="1"/>
  <c r="CW280" i="21" s="1"/>
  <c r="CV280" i="21" a="1"/>
  <c r="CV280" i="21" s="1"/>
  <c r="CW279" i="21" a="1"/>
  <c r="CW279" i="21" s="1"/>
  <c r="CV279" i="21"/>
  <c r="DA279" i="21" s="1" a="1"/>
  <c r="DA279" i="21" s="1"/>
  <c r="CV279" i="21" a="1"/>
  <c r="CW278" i="21" a="1"/>
  <c r="CW278" i="21" s="1"/>
  <c r="CV278" i="21"/>
  <c r="DA278" i="21" s="1" a="1"/>
  <c r="DA278" i="21" s="1"/>
  <c r="CV278" i="21" a="1"/>
  <c r="CW277" i="21" a="1"/>
  <c r="CW277" i="21" s="1"/>
  <c r="CV277" i="21" a="1"/>
  <c r="CV277" i="21" s="1"/>
  <c r="CW276" i="21" a="1"/>
  <c r="CW276" i="21" s="1"/>
  <c r="CV276" i="21" a="1"/>
  <c r="CV276" i="21" s="1"/>
  <c r="DA276" i="21" s="1" a="1"/>
  <c r="DA276" i="21" s="1"/>
  <c r="CW275" i="21" a="1"/>
  <c r="CW275" i="21" s="1"/>
  <c r="CV275" i="21"/>
  <c r="CV275" i="21" a="1"/>
  <c r="CW274" i="21" a="1"/>
  <c r="CW274" i="21" s="1"/>
  <c r="CV274" i="21" a="1"/>
  <c r="CV274" i="21" s="1"/>
  <c r="CW273" i="21" a="1"/>
  <c r="CW273" i="21" s="1"/>
  <c r="CV273" i="21" a="1"/>
  <c r="CV273" i="21" s="1"/>
  <c r="DA273" i="21" s="1" a="1"/>
  <c r="DA273" i="21" s="1"/>
  <c r="CW272" i="21"/>
  <c r="CW272" i="21" a="1"/>
  <c r="CV272" i="21" a="1"/>
  <c r="CV272" i="21" s="1"/>
  <c r="DA272" i="21" s="1" a="1"/>
  <c r="DA272" i="21" s="1"/>
  <c r="CW271" i="21" a="1"/>
  <c r="CW271" i="21" s="1"/>
  <c r="CV271" i="21" a="1"/>
  <c r="CV271" i="21" s="1"/>
  <c r="CW270" i="21" a="1"/>
  <c r="CW270" i="21" s="1"/>
  <c r="CV270" i="21"/>
  <c r="DA270" i="21" s="1" a="1"/>
  <c r="DA270" i="21" s="1"/>
  <c r="CV270" i="21" a="1"/>
  <c r="CW269" i="21" a="1"/>
  <c r="CW269" i="21" s="1"/>
  <c r="CV269" i="21" a="1"/>
  <c r="CV269" i="21" s="1"/>
  <c r="DA269" i="21" s="1" a="1"/>
  <c r="DA269" i="21" s="1"/>
  <c r="CW268" i="21" a="1"/>
  <c r="CW268" i="21" s="1"/>
  <c r="CV268" i="21" a="1"/>
  <c r="CV268" i="21" s="1"/>
  <c r="CW267" i="21" a="1"/>
  <c r="CW267" i="21" s="1"/>
  <c r="CV267" i="21"/>
  <c r="DA267" i="21" s="1" a="1"/>
  <c r="DA267" i="21" s="1"/>
  <c r="CV267" i="21" a="1"/>
  <c r="CW266" i="21" a="1"/>
  <c r="CW266" i="21" s="1"/>
  <c r="CV266" i="21"/>
  <c r="DA266" i="21" s="1" a="1"/>
  <c r="DA266" i="21" s="1"/>
  <c r="CV266" i="21" a="1"/>
  <c r="CW265" i="21" a="1"/>
  <c r="CW265" i="21" s="1"/>
  <c r="CV265" i="21" a="1"/>
  <c r="CV265" i="21" s="1"/>
  <c r="DA265" i="21" s="1" a="1"/>
  <c r="DA265" i="21" s="1"/>
  <c r="CW264" i="21" a="1"/>
  <c r="CW264" i="21" s="1"/>
  <c r="CV264" i="21" a="1"/>
  <c r="CV264" i="21" s="1"/>
  <c r="DA264" i="21" s="1" a="1"/>
  <c r="DA264" i="21" s="1"/>
  <c r="CW263" i="21" a="1"/>
  <c r="CW263" i="21" s="1"/>
  <c r="CV263" i="21"/>
  <c r="CV263" i="21" a="1"/>
  <c r="CW262" i="21" a="1"/>
  <c r="CW262" i="21" s="1"/>
  <c r="CV262" i="21" a="1"/>
  <c r="CV262" i="21" s="1"/>
  <c r="DA262" i="21" s="1" a="1"/>
  <c r="DA262" i="21" s="1"/>
  <c r="CW261" i="21" a="1"/>
  <c r="CW261" i="21" s="1"/>
  <c r="CV261" i="21" a="1"/>
  <c r="CV261" i="21" s="1"/>
  <c r="DA261" i="21" s="1" a="1"/>
  <c r="DA261" i="21" s="1"/>
  <c r="CW260" i="21"/>
  <c r="CW260" i="21" a="1"/>
  <c r="CV260" i="21" a="1"/>
  <c r="CV260" i="21" s="1"/>
  <c r="DA260" i="21" s="1" a="1"/>
  <c r="DA260" i="21" s="1"/>
  <c r="CW259" i="21" a="1"/>
  <c r="CW259" i="21" s="1"/>
  <c r="CV259" i="21" a="1"/>
  <c r="CV259" i="21" s="1"/>
  <c r="CW258" i="21" a="1"/>
  <c r="CW258" i="21" s="1"/>
  <c r="CV258" i="21" a="1"/>
  <c r="CV258" i="21" s="1"/>
  <c r="DA258" i="21" s="1" a="1"/>
  <c r="DA258" i="21" s="1"/>
  <c r="CW257" i="21"/>
  <c r="CW257" i="21" a="1"/>
  <c r="CV257" i="21" a="1"/>
  <c r="CV257" i="21" s="1"/>
  <c r="DA257" i="21" s="1" a="1"/>
  <c r="DA257" i="21" s="1"/>
  <c r="CW256" i="21" a="1"/>
  <c r="CW256" i="21" s="1"/>
  <c r="CV256" i="21" a="1"/>
  <c r="CV256" i="21" s="1"/>
  <c r="CW255" i="21" a="1"/>
  <c r="CW255" i="21" s="1"/>
  <c r="CV255" i="21"/>
  <c r="DA255" i="21" s="1" a="1"/>
  <c r="DA255" i="21" s="1"/>
  <c r="CV255" i="21" a="1"/>
  <c r="CW254" i="21" a="1"/>
  <c r="CW254" i="21" s="1"/>
  <c r="CV254" i="21" a="1"/>
  <c r="CV254" i="21" s="1"/>
  <c r="DA254" i="21" s="1" a="1"/>
  <c r="DA254" i="21" s="1"/>
  <c r="CW253" i="21" a="1"/>
  <c r="CW253" i="21" s="1"/>
  <c r="CV253" i="21" a="1"/>
  <c r="CV253" i="21" s="1"/>
  <c r="CW252" i="21" a="1"/>
  <c r="CW252" i="21" s="1"/>
  <c r="CV252" i="21" a="1"/>
  <c r="CV252" i="21" s="1"/>
  <c r="DA252" i="21" s="1" a="1"/>
  <c r="DA252" i="21" s="1"/>
  <c r="CW251" i="21"/>
  <c r="CW251" i="21" a="1"/>
  <c r="CV251" i="21"/>
  <c r="CV251" i="21" a="1"/>
  <c r="CW250" i="21" a="1"/>
  <c r="CW250" i="21" s="1"/>
  <c r="CV250" i="21" a="1"/>
  <c r="CV250" i="21" s="1"/>
  <c r="DA250" i="21" s="1" a="1"/>
  <c r="DA250" i="21" s="1"/>
  <c r="CW249" i="21" a="1"/>
  <c r="CW249" i="21" s="1"/>
  <c r="CV249" i="21" a="1"/>
  <c r="CV249" i="21" s="1"/>
  <c r="DA249" i="21" s="1" a="1"/>
  <c r="DA249" i="21" s="1"/>
  <c r="CW248" i="21"/>
  <c r="CW248" i="21" a="1"/>
  <c r="CV248" i="21" a="1"/>
  <c r="CV248" i="21" s="1"/>
  <c r="DA248" i="21" s="1" a="1"/>
  <c r="DA248" i="21" s="1"/>
  <c r="CW247" i="21" a="1"/>
  <c r="CW247" i="21" s="1"/>
  <c r="CV247" i="21" a="1"/>
  <c r="CV247" i="21" s="1"/>
  <c r="CW246" i="21" a="1"/>
  <c r="CW246" i="21" s="1"/>
  <c r="CV246" i="21" a="1"/>
  <c r="CV246" i="21" s="1"/>
  <c r="DA246" i="21" s="1" a="1"/>
  <c r="DA246" i="21" s="1"/>
  <c r="CW245" i="21" a="1"/>
  <c r="CW245" i="21" s="1"/>
  <c r="CV245" i="21" a="1"/>
  <c r="CV245" i="21" s="1"/>
  <c r="DA245" i="21" s="1" a="1"/>
  <c r="DA245" i="21" s="1"/>
  <c r="CW244" i="21" a="1"/>
  <c r="CW244" i="21" s="1"/>
  <c r="CV244" i="21" a="1"/>
  <c r="CV244" i="21" s="1"/>
  <c r="CW243" i="21" a="1"/>
  <c r="CW243" i="21" s="1"/>
  <c r="CV243" i="21"/>
  <c r="DA243" i="21" s="1" a="1"/>
  <c r="DA243" i="21" s="1"/>
  <c r="CV243" i="21" a="1"/>
  <c r="CW242" i="21" a="1"/>
  <c r="CW242" i="21" s="1"/>
  <c r="CV242" i="21" a="1"/>
  <c r="CV242" i="21" s="1"/>
  <c r="DA242" i="21" s="1" a="1"/>
  <c r="DA242" i="21" s="1"/>
  <c r="CW241" i="21" a="1"/>
  <c r="CW241" i="21" s="1"/>
  <c r="CV241" i="21" a="1"/>
  <c r="CV241" i="21" s="1"/>
  <c r="DA241" i="21" s="1" a="1"/>
  <c r="DA241" i="21" s="1"/>
  <c r="CW240" i="21" a="1"/>
  <c r="CW240" i="21" s="1"/>
  <c r="CV240" i="21" a="1"/>
  <c r="CV240" i="21" s="1"/>
  <c r="DA240" i="21" s="1" a="1"/>
  <c r="DA240" i="21" s="1"/>
  <c r="CW239" i="21"/>
  <c r="CW239" i="21" a="1"/>
  <c r="CV239" i="21"/>
  <c r="CV239" i="21" a="1"/>
  <c r="CW238" i="21" a="1"/>
  <c r="CW238" i="21" s="1"/>
  <c r="CV238" i="21" a="1"/>
  <c r="CV238" i="21" s="1"/>
  <c r="CW237" i="21" a="1"/>
  <c r="CW237" i="21" s="1"/>
  <c r="CV237" i="21" a="1"/>
  <c r="CV237" i="21" s="1"/>
  <c r="DA237" i="21" s="1" a="1"/>
  <c r="DA237" i="21" s="1"/>
  <c r="CW236" i="21"/>
  <c r="CW236" i="21" a="1"/>
  <c r="CV236" i="21" a="1"/>
  <c r="CV236" i="21" s="1"/>
  <c r="DA236" i="21" s="1" a="1"/>
  <c r="DA236" i="21" s="1"/>
  <c r="CW235" i="21" a="1"/>
  <c r="CW235" i="21" s="1"/>
  <c r="CV235" i="21" a="1"/>
  <c r="CV235" i="21" s="1"/>
  <c r="CW234" i="21" a="1"/>
  <c r="CW234" i="21" s="1"/>
  <c r="CV234" i="21"/>
  <c r="DA234" i="21" s="1" a="1"/>
  <c r="DA234" i="21" s="1"/>
  <c r="CV234" i="21" a="1"/>
  <c r="CW233" i="21" a="1"/>
  <c r="CW233" i="21" s="1"/>
  <c r="CV233" i="21" a="1"/>
  <c r="CV233" i="21" s="1"/>
  <c r="DA233" i="21" s="1" a="1"/>
  <c r="DA233" i="21" s="1"/>
  <c r="CW232" i="21" a="1"/>
  <c r="CW232" i="21" s="1"/>
  <c r="CV232" i="21" a="1"/>
  <c r="CV232" i="21" s="1"/>
  <c r="CW231" i="21" a="1"/>
  <c r="CW231" i="21" s="1"/>
  <c r="CV231" i="21"/>
  <c r="CV231" i="21" a="1"/>
  <c r="CW230" i="21" a="1"/>
  <c r="CW230" i="21" s="1"/>
  <c r="CV230" i="21"/>
  <c r="DA230" i="21" s="1" a="1"/>
  <c r="DA230" i="21" s="1"/>
  <c r="CV230" i="21" a="1"/>
  <c r="CW229" i="21" a="1"/>
  <c r="CW229" i="21" s="1"/>
  <c r="CV229" i="21" a="1"/>
  <c r="CV229" i="21" s="1"/>
  <c r="CW228" i="21" a="1"/>
  <c r="CW228" i="21" s="1"/>
  <c r="CV228" i="21" a="1"/>
  <c r="CV228" i="21" s="1"/>
  <c r="CW227" i="21" a="1"/>
  <c r="CW227" i="21" s="1"/>
  <c r="CV227" i="21"/>
  <c r="CV227" i="21" a="1"/>
  <c r="CW226" i="21" a="1"/>
  <c r="CW226" i="21" s="1"/>
  <c r="CV226" i="21" a="1"/>
  <c r="CV226" i="21" s="1"/>
  <c r="CW225" i="21" a="1"/>
  <c r="CW225" i="21" s="1"/>
  <c r="CV225" i="21" a="1"/>
  <c r="CV225" i="21" s="1"/>
  <c r="DA225" i="21" s="1" a="1"/>
  <c r="DA225" i="21" s="1"/>
  <c r="CW224" i="21"/>
  <c r="CW224" i="21" a="1"/>
  <c r="CV224" i="21" a="1"/>
  <c r="CV224" i="21" s="1"/>
  <c r="DA224" i="21" s="1" a="1"/>
  <c r="DA224" i="21" s="1"/>
  <c r="CW223" i="21" a="1"/>
  <c r="CW223" i="21" s="1"/>
  <c r="CV223" i="21" a="1"/>
  <c r="CV223" i="21" s="1"/>
  <c r="CW222" i="21" a="1"/>
  <c r="CW222" i="21" s="1"/>
  <c r="CV222" i="21"/>
  <c r="CV222" i="21" a="1"/>
  <c r="CW221" i="21" a="1"/>
  <c r="CW221" i="21" s="1"/>
  <c r="CV221" i="21" a="1"/>
  <c r="CV221" i="21" s="1"/>
  <c r="DA221" i="21" s="1" a="1"/>
  <c r="DA221" i="21" s="1"/>
  <c r="CW220" i="21" a="1"/>
  <c r="CW220" i="21" s="1"/>
  <c r="CV220" i="21" a="1"/>
  <c r="CV220" i="21" s="1"/>
  <c r="CW219" i="21" a="1"/>
  <c r="CW219" i="21" s="1"/>
  <c r="CV219" i="21"/>
  <c r="DA219" i="21" s="1" a="1"/>
  <c r="DA219" i="21" s="1"/>
  <c r="CV219" i="21" a="1"/>
  <c r="CW218" i="21" a="1"/>
  <c r="CW218" i="21" s="1"/>
  <c r="CV218" i="21"/>
  <c r="DA218" i="21" s="1" a="1"/>
  <c r="DA218" i="21" s="1"/>
  <c r="CV218" i="21" a="1"/>
  <c r="CW217" i="21" a="1"/>
  <c r="CW217" i="21" s="1"/>
  <c r="CV217" i="21" a="1"/>
  <c r="CV217" i="21" s="1"/>
  <c r="CW216" i="21" a="1"/>
  <c r="CW216" i="21" s="1"/>
  <c r="CV216" i="21" a="1"/>
  <c r="CV216" i="21" s="1"/>
  <c r="CW215" i="21" a="1"/>
  <c r="CW215" i="21" s="1"/>
  <c r="CV215" i="21"/>
  <c r="CV215" i="21" a="1"/>
  <c r="CW214" i="21" a="1"/>
  <c r="CW214" i="21" s="1"/>
  <c r="CV214" i="21" a="1"/>
  <c r="CV214" i="21" s="1"/>
  <c r="DA214" i="21" s="1" a="1"/>
  <c r="DA214" i="21" s="1"/>
  <c r="CW213" i="21" a="1"/>
  <c r="CW213" i="21" s="1"/>
  <c r="CV213" i="21" a="1"/>
  <c r="CV213" i="21" s="1"/>
  <c r="DA213" i="21" s="1" a="1"/>
  <c r="DA213" i="21" s="1"/>
  <c r="CW212" i="21"/>
  <c r="CW212" i="21" a="1"/>
  <c r="CV212" i="21" a="1"/>
  <c r="CV212" i="21" s="1"/>
  <c r="DA212" i="21" s="1" a="1"/>
  <c r="DA212" i="21" s="1"/>
  <c r="CW211" i="21" a="1"/>
  <c r="CW211" i="21" s="1"/>
  <c r="CV211" i="21" a="1"/>
  <c r="CV211" i="21" s="1"/>
  <c r="CW210" i="21" a="1"/>
  <c r="CW210" i="21" s="1"/>
  <c r="CV210" i="21" a="1"/>
  <c r="CV210" i="21" s="1"/>
  <c r="DA210" i="21" s="1" a="1"/>
  <c r="DA210" i="21" s="1"/>
  <c r="CW209" i="21"/>
  <c r="CW209" i="21" a="1"/>
  <c r="CV209" i="21" a="1"/>
  <c r="CV209" i="21" s="1"/>
  <c r="DA209" i="21" s="1" a="1"/>
  <c r="DA209" i="21" s="1"/>
  <c r="CW208" i="21" a="1"/>
  <c r="CW208" i="21" s="1"/>
  <c r="CV208" i="21" a="1"/>
  <c r="CV208" i="21" s="1"/>
  <c r="CW207" i="21" a="1"/>
  <c r="CW207" i="21" s="1"/>
  <c r="CV207" i="21"/>
  <c r="DA207" i="21" s="1" a="1"/>
  <c r="DA207" i="21" s="1"/>
  <c r="CV207" i="21" a="1"/>
  <c r="CW206" i="21" a="1"/>
  <c r="CW206" i="21" s="1"/>
  <c r="CV206" i="21" a="1"/>
  <c r="CV206" i="21" s="1"/>
  <c r="CW205" i="21" a="1"/>
  <c r="CW205" i="21" s="1"/>
  <c r="DE205" i="21" s="1"/>
  <c r="CV205" i="21" a="1"/>
  <c r="CV205" i="21" s="1"/>
  <c r="CW204" i="21" a="1"/>
  <c r="CW204" i="21" s="1"/>
  <c r="CV204" i="21" a="1"/>
  <c r="CV204" i="21" s="1"/>
  <c r="CW203" i="21" a="1"/>
  <c r="CW203" i="21" s="1"/>
  <c r="CV203" i="21"/>
  <c r="CV203" i="21" a="1"/>
  <c r="CW202" i="21" a="1"/>
  <c r="CW202" i="21" s="1"/>
  <c r="CV202" i="21" a="1"/>
  <c r="CV202" i="21" s="1"/>
  <c r="CW201" i="21" a="1"/>
  <c r="CW201" i="21" s="1"/>
  <c r="CV201" i="21" a="1"/>
  <c r="CV201" i="21" s="1"/>
  <c r="CW200" i="21"/>
  <c r="DE200" i="21" s="1"/>
  <c r="CW200" i="21" a="1"/>
  <c r="CV200" i="21" a="1"/>
  <c r="CV200" i="21" s="1"/>
  <c r="CW199" i="21" a="1"/>
  <c r="CW199" i="21" s="1"/>
  <c r="DD199" i="21" s="1"/>
  <c r="CV199" i="21" a="1"/>
  <c r="CV199" i="21" s="1"/>
  <c r="CW198" i="21" a="1"/>
  <c r="CW198" i="21" s="1"/>
  <c r="DD198" i="21" s="1"/>
  <c r="CV198" i="21" a="1"/>
  <c r="CV198" i="21" s="1"/>
  <c r="CW197" i="21" a="1"/>
  <c r="CW197" i="21" s="1"/>
  <c r="DG197" i="21" s="1"/>
  <c r="CV197" i="21" a="1"/>
  <c r="CV197" i="21" s="1"/>
  <c r="CW196" i="21" a="1"/>
  <c r="CW196" i="21" s="1"/>
  <c r="CV196" i="21" a="1"/>
  <c r="CV196" i="21" s="1"/>
  <c r="CW195" i="21" a="1"/>
  <c r="CW195" i="21" s="1"/>
  <c r="DD195" i="21" s="1"/>
  <c r="CV195" i="21"/>
  <c r="CV195" i="21" a="1"/>
  <c r="CW194" i="21" a="1"/>
  <c r="CW194" i="21" s="1"/>
  <c r="DE194" i="21" s="1"/>
  <c r="CV194" i="21" a="1"/>
  <c r="CV194" i="21" s="1"/>
  <c r="CW193" i="21" a="1"/>
  <c r="CW193" i="21" s="1"/>
  <c r="DE193" i="21" s="1"/>
  <c r="CV193" i="21" a="1"/>
  <c r="CV193" i="21" s="1"/>
  <c r="CW192" i="21" a="1"/>
  <c r="CW192" i="21" s="1"/>
  <c r="CV192" i="21" a="1"/>
  <c r="CV192" i="21" s="1"/>
  <c r="CW191" i="21" a="1"/>
  <c r="CW191" i="21" s="1"/>
  <c r="CV191" i="21"/>
  <c r="CV191" i="21" a="1"/>
  <c r="CW190" i="21" a="1"/>
  <c r="CW190" i="21" s="1"/>
  <c r="DG190" i="21" s="1"/>
  <c r="CV190" i="21" a="1"/>
  <c r="CV190" i="21" s="1"/>
  <c r="CW189" i="21" a="1"/>
  <c r="CW189" i="21" s="1"/>
  <c r="DD189" i="21" s="1"/>
  <c r="CV189" i="21" a="1"/>
  <c r="CV189" i="21" s="1"/>
  <c r="CW188" i="21" a="1"/>
  <c r="CW188" i="21" s="1"/>
  <c r="CV188" i="21" a="1"/>
  <c r="CV188" i="21" s="1"/>
  <c r="CW187" i="21" a="1"/>
  <c r="CW187" i="21" s="1"/>
  <c r="CV187" i="21" a="1"/>
  <c r="CV187" i="21" s="1"/>
  <c r="CW186" i="21" a="1"/>
  <c r="CW186" i="21" s="1"/>
  <c r="CV186" i="21"/>
  <c r="CV186" i="21" a="1"/>
  <c r="CW185" i="21" a="1"/>
  <c r="CW185" i="21" s="1"/>
  <c r="CV185" i="21" a="1"/>
  <c r="CV185" i="21" s="1"/>
  <c r="CW184" i="21" a="1"/>
  <c r="CW184" i="21" s="1"/>
  <c r="DG184" i="21" s="1"/>
  <c r="CV184" i="21" a="1"/>
  <c r="CV184" i="21" s="1"/>
  <c r="CW183" i="21" a="1"/>
  <c r="CW183" i="21" s="1"/>
  <c r="DD183" i="21" s="1"/>
  <c r="CV183" i="21" a="1"/>
  <c r="CV183" i="21" s="1"/>
  <c r="CW182" i="21" a="1"/>
  <c r="CW182" i="21" s="1"/>
  <c r="CV182" i="21"/>
  <c r="CV182" i="21" a="1"/>
  <c r="CW181" i="21" a="1"/>
  <c r="CW181" i="21" s="1"/>
  <c r="CV181" i="21" a="1"/>
  <c r="CV181" i="21" s="1"/>
  <c r="CW180" i="21" a="1"/>
  <c r="CW180" i="21" s="1"/>
  <c r="CV180" i="21" a="1"/>
  <c r="CV180" i="21" s="1"/>
  <c r="CW179" i="21" a="1"/>
  <c r="CW179" i="21" s="1"/>
  <c r="CV179" i="21" a="1"/>
  <c r="CV179" i="21" s="1"/>
  <c r="CW178" i="21" a="1"/>
  <c r="CW178" i="21" s="1"/>
  <c r="DG178" i="21" s="1"/>
  <c r="CV178" i="21" a="1"/>
  <c r="CV178" i="21" s="1"/>
  <c r="CW177" i="21" a="1"/>
  <c r="CW177" i="21" s="1"/>
  <c r="DE177" i="21" s="1"/>
  <c r="CV177" i="21" a="1"/>
  <c r="CV177" i="21" s="1"/>
  <c r="CW176" i="21"/>
  <c r="CW176" i="21" a="1"/>
  <c r="CV176" i="21" a="1"/>
  <c r="CV176" i="21" s="1"/>
  <c r="CW175" i="21" a="1"/>
  <c r="CW175" i="21" s="1"/>
  <c r="DE175" i="21" s="1"/>
  <c r="CV175" i="21" a="1"/>
  <c r="CV175" i="21" s="1"/>
  <c r="CW174" i="21" a="1"/>
  <c r="CW174" i="21" s="1"/>
  <c r="CV174" i="21" a="1"/>
  <c r="CV174" i="21" s="1"/>
  <c r="CW173" i="21" a="1"/>
  <c r="CW173" i="21" s="1"/>
  <c r="CV173" i="21" a="1"/>
  <c r="CV173" i="21" s="1"/>
  <c r="CW172" i="21" a="1"/>
  <c r="CW172" i="21" s="1"/>
  <c r="CV172" i="21" a="1"/>
  <c r="CV172" i="21" s="1"/>
  <c r="CW171" i="21" a="1"/>
  <c r="CW171" i="21" s="1"/>
  <c r="CV171" i="21"/>
  <c r="CV171" i="21" a="1"/>
  <c r="CW170" i="21" a="1"/>
  <c r="CW170" i="21" s="1"/>
  <c r="DE170" i="21" s="1"/>
  <c r="CV170" i="21" a="1"/>
  <c r="CV170" i="21" s="1"/>
  <c r="CW169" i="21" a="1"/>
  <c r="CW169" i="21" s="1"/>
  <c r="DD169" i="21" s="1"/>
  <c r="CV169" i="21" a="1"/>
  <c r="CV169" i="21" s="1"/>
  <c r="CW168" i="21" a="1"/>
  <c r="CW168" i="21" s="1"/>
  <c r="DD168" i="21" s="1"/>
  <c r="CV168" i="21" a="1"/>
  <c r="CV168" i="21" s="1"/>
  <c r="CW167" i="21" a="1"/>
  <c r="CW167" i="21" s="1"/>
  <c r="DD167" i="21" s="1"/>
  <c r="CV167" i="21"/>
  <c r="CV167" i="21" a="1"/>
  <c r="CW166" i="21" a="1"/>
  <c r="CW166" i="21" s="1"/>
  <c r="CV166" i="21" a="1"/>
  <c r="CV166" i="21" s="1"/>
  <c r="CW165" i="21" a="1"/>
  <c r="CW165" i="21" s="1"/>
  <c r="DD165" i="21" s="1"/>
  <c r="CV165" i="21" a="1"/>
  <c r="CV165" i="21" s="1"/>
  <c r="CW164" i="21"/>
  <c r="DE164" i="21" s="1"/>
  <c r="CW164" i="21" a="1"/>
  <c r="CV164" i="21" a="1"/>
  <c r="CV164" i="21" s="1"/>
  <c r="CW163" i="21" a="1"/>
  <c r="CW163" i="21" s="1"/>
  <c r="DE163" i="21" s="1"/>
  <c r="CV163" i="21" a="1"/>
  <c r="CV163" i="21" s="1"/>
  <c r="CW162" i="21" a="1"/>
  <c r="CW162" i="21" s="1"/>
  <c r="CV162" i="21" a="1"/>
  <c r="CV162" i="21" s="1"/>
  <c r="CW161" i="21"/>
  <c r="DG161" i="21" s="1"/>
  <c r="CW161" i="21" a="1"/>
  <c r="CV161" i="21" a="1"/>
  <c r="CV161" i="21" s="1"/>
  <c r="CW160" i="21" a="1"/>
  <c r="CW160" i="21" s="1"/>
  <c r="DG160" i="21" s="1"/>
  <c r="CV160" i="21" a="1"/>
  <c r="CV160" i="21" s="1"/>
  <c r="CW159" i="21" a="1"/>
  <c r="CW159" i="21" s="1"/>
  <c r="DD159" i="21" s="1"/>
  <c r="CV159" i="21" a="1"/>
  <c r="CV159" i="21" s="1"/>
  <c r="CW158" i="21" a="1"/>
  <c r="CW158" i="21" s="1"/>
  <c r="DE158" i="21" s="1"/>
  <c r="CV158" i="21" a="1"/>
  <c r="CV158" i="21" s="1"/>
  <c r="CW157" i="21" a="1"/>
  <c r="CW157" i="21" s="1"/>
  <c r="CV157" i="21" a="1"/>
  <c r="CV157" i="21" s="1"/>
  <c r="CW156" i="21" a="1"/>
  <c r="CW156" i="21" s="1"/>
  <c r="DG156" i="21" s="1"/>
  <c r="CV156" i="21" a="1"/>
  <c r="CV156" i="21" s="1"/>
  <c r="CW155" i="21" a="1"/>
  <c r="CW155" i="21" s="1"/>
  <c r="DG155" i="21" s="1"/>
  <c r="CV155" i="21" a="1"/>
  <c r="CV155" i="21" s="1"/>
  <c r="CW154" i="21" a="1"/>
  <c r="CW154" i="21" s="1"/>
  <c r="DG154" i="21" s="1"/>
  <c r="CV154" i="21" a="1"/>
  <c r="CV154" i="21" s="1"/>
  <c r="CW153" i="21" a="1"/>
  <c r="CW153" i="21" s="1"/>
  <c r="DD153" i="21" s="1"/>
  <c r="CV153" i="21" a="1"/>
  <c r="CV153" i="21" s="1"/>
  <c r="CW152" i="21" a="1"/>
  <c r="CW152" i="21" s="1"/>
  <c r="CV152" i="21" a="1"/>
  <c r="CV152" i="21" s="1"/>
  <c r="CW151" i="21" a="1"/>
  <c r="CW151" i="21" s="1"/>
  <c r="CV151" i="21" a="1"/>
  <c r="CV151" i="21" s="1"/>
  <c r="CW150" i="21" a="1"/>
  <c r="CW150" i="21" s="1"/>
  <c r="CV150" i="21" a="1"/>
  <c r="CV150" i="21" s="1"/>
  <c r="CW149" i="21" a="1"/>
  <c r="CW149" i="21" s="1"/>
  <c r="CV149" i="21" a="1"/>
  <c r="CV149" i="21" s="1"/>
  <c r="CW148" i="21" a="1"/>
  <c r="CW148" i="21" s="1"/>
  <c r="DG148" i="21" s="1"/>
  <c r="CV148" i="21" a="1"/>
  <c r="CV148" i="21" s="1"/>
  <c r="CW147" i="21" a="1"/>
  <c r="CW147" i="21" s="1"/>
  <c r="CV147" i="21" a="1"/>
  <c r="CV147" i="21" s="1"/>
  <c r="CW146" i="21" a="1"/>
  <c r="CW146" i="21" s="1"/>
  <c r="CV146" i="21" a="1"/>
  <c r="CV146" i="21" s="1"/>
  <c r="CW145" i="21" a="1"/>
  <c r="CW145" i="21" s="1"/>
  <c r="DD145" i="21" s="1"/>
  <c r="CV145" i="21" a="1"/>
  <c r="CV145" i="21" s="1"/>
  <c r="CW144" i="21" a="1"/>
  <c r="CW144" i="21" s="1"/>
  <c r="CV144" i="21" a="1"/>
  <c r="CV144" i="21" s="1"/>
  <c r="CW143" i="21" a="1"/>
  <c r="CW143" i="21" s="1"/>
  <c r="DE143" i="21" s="1"/>
  <c r="CV143" i="21" a="1"/>
  <c r="CV143" i="21" s="1"/>
  <c r="CW142" i="21" a="1"/>
  <c r="CW142" i="21" s="1"/>
  <c r="CV142" i="21" a="1"/>
  <c r="CV142" i="21" s="1"/>
  <c r="CW141" i="21" a="1"/>
  <c r="CW141" i="21" s="1"/>
  <c r="DE141" i="21" s="1"/>
  <c r="CV141" i="21" a="1"/>
  <c r="CV141" i="21" s="1"/>
  <c r="CW140" i="21" a="1"/>
  <c r="CW140" i="21" s="1"/>
  <c r="CV140" i="21" a="1"/>
  <c r="CV140" i="21" s="1"/>
  <c r="CW139" i="21" a="1"/>
  <c r="CW139" i="21" s="1"/>
  <c r="DE139" i="21" s="1"/>
  <c r="CV139" i="21" a="1"/>
  <c r="CV139" i="21" s="1"/>
  <c r="CW138" i="21" a="1"/>
  <c r="CW138" i="21" s="1"/>
  <c r="DE138" i="21" s="1"/>
  <c r="CV138" i="21" a="1"/>
  <c r="CV138" i="21" s="1"/>
  <c r="CW137" i="21" a="1"/>
  <c r="CW137" i="21" s="1"/>
  <c r="CV137" i="21" a="1"/>
  <c r="CV137" i="21" s="1"/>
  <c r="CW136" i="21" a="1"/>
  <c r="CW136" i="21" s="1"/>
  <c r="CV136" i="21" a="1"/>
  <c r="CV136" i="21" s="1"/>
  <c r="CW135" i="21" a="1"/>
  <c r="CW135" i="21" s="1"/>
  <c r="DD135" i="21" s="1"/>
  <c r="CV135" i="21"/>
  <c r="CV135" i="21" a="1"/>
  <c r="CW134" i="21" a="1"/>
  <c r="CW134" i="21" s="1"/>
  <c r="DE134" i="21" s="1"/>
  <c r="CV134" i="21" a="1"/>
  <c r="CV134" i="21" s="1"/>
  <c r="CW133" i="21" a="1"/>
  <c r="CW133" i="21" s="1"/>
  <c r="DE133" i="21" s="1"/>
  <c r="CV133" i="21" a="1"/>
  <c r="CV133" i="21" s="1"/>
  <c r="CW132" i="21" a="1"/>
  <c r="CW132" i="21" s="1"/>
  <c r="CV132" i="21" a="1"/>
  <c r="CV132" i="21" s="1"/>
  <c r="CW131" i="21" a="1"/>
  <c r="CW131" i="21" s="1"/>
  <c r="DD131" i="21" s="1"/>
  <c r="CV131" i="21"/>
  <c r="CV131" i="21" a="1"/>
  <c r="CW130" i="21" a="1"/>
  <c r="CW130" i="21" s="1"/>
  <c r="DG130" i="21" s="1"/>
  <c r="CV130" i="21" a="1"/>
  <c r="CV130" i="21" s="1"/>
  <c r="CW129" i="21" a="1"/>
  <c r="CW129" i="21" s="1"/>
  <c r="DD129" i="21" s="1"/>
  <c r="CV129" i="21" a="1"/>
  <c r="CV129" i="21" s="1"/>
  <c r="CW128" i="21" a="1"/>
  <c r="CW128" i="21" s="1"/>
  <c r="CV128" i="21" a="1"/>
  <c r="CV128" i="21" s="1"/>
  <c r="CW127" i="21" a="1"/>
  <c r="CW127" i="21" s="1"/>
  <c r="CV127" i="21" a="1"/>
  <c r="CV127" i="21" s="1"/>
  <c r="CW126" i="21" a="1"/>
  <c r="CW126" i="21" s="1"/>
  <c r="CV126" i="21"/>
  <c r="CV126" i="21" a="1"/>
  <c r="CW125" i="21" a="1"/>
  <c r="CW125" i="21" s="1"/>
  <c r="CV125" i="21" a="1"/>
  <c r="CV125" i="21" s="1"/>
  <c r="CW124" i="21" a="1"/>
  <c r="CW124" i="21" s="1"/>
  <c r="DG124" i="21" s="1"/>
  <c r="CV124" i="21" a="1"/>
  <c r="CV124" i="21" s="1"/>
  <c r="CW123" i="21" a="1"/>
  <c r="CW123" i="21" s="1"/>
  <c r="DD123" i="21" s="1"/>
  <c r="CV123" i="21" a="1"/>
  <c r="CV123" i="21" s="1"/>
  <c r="CW122" i="21" a="1"/>
  <c r="CW122" i="21" s="1"/>
  <c r="CV122" i="21" a="1"/>
  <c r="CV122" i="21" s="1"/>
  <c r="CW121" i="21" a="1"/>
  <c r="CW121" i="21" s="1"/>
  <c r="CV121" i="21" a="1"/>
  <c r="CV121" i="21" s="1"/>
  <c r="CW120" i="21" a="1"/>
  <c r="CW120" i="21" s="1"/>
  <c r="CV120" i="21" a="1"/>
  <c r="CV120" i="21" s="1"/>
  <c r="CW119" i="21" a="1"/>
  <c r="CW119" i="21" s="1"/>
  <c r="CV119" i="21" a="1"/>
  <c r="CV119" i="21" s="1"/>
  <c r="CW118" i="21" a="1"/>
  <c r="CW118" i="21" s="1"/>
  <c r="DG118" i="21" s="1"/>
  <c r="CV118" i="21" a="1"/>
  <c r="CV118" i="21" s="1"/>
  <c r="CW117" i="21" a="1"/>
  <c r="CW117" i="21" s="1"/>
  <c r="DE117" i="21" s="1"/>
  <c r="CV117" i="21" a="1"/>
  <c r="CV117" i="21" s="1"/>
  <c r="CW116" i="21" a="1"/>
  <c r="CW116" i="21" s="1"/>
  <c r="CV116" i="21" a="1"/>
  <c r="CV116" i="21" s="1"/>
  <c r="CW115" i="21" a="1"/>
  <c r="CW115" i="21" s="1"/>
  <c r="DE115" i="21" s="1"/>
  <c r="CV115" i="21" a="1"/>
  <c r="CV115" i="21" s="1"/>
  <c r="CW114" i="21" a="1"/>
  <c r="CW114" i="21" s="1"/>
  <c r="DE114" i="21" s="1"/>
  <c r="CV114" i="21" a="1"/>
  <c r="CV114" i="21" s="1"/>
  <c r="CW113" i="21" a="1"/>
  <c r="CW113" i="21" s="1"/>
  <c r="DE113" i="21" s="1"/>
  <c r="CV113" i="21" a="1"/>
  <c r="CV113" i="21" s="1"/>
  <c r="CW112" i="21" a="1"/>
  <c r="CW112" i="21" s="1"/>
  <c r="CV112" i="21" a="1"/>
  <c r="CV112" i="21" s="1"/>
  <c r="CW111" i="21" a="1"/>
  <c r="CW111" i="21" s="1"/>
  <c r="CV111" i="21"/>
  <c r="CV111" i="21" a="1"/>
  <c r="CW110" i="21" a="1"/>
  <c r="CW110" i="21" s="1"/>
  <c r="DE110" i="21" s="1"/>
  <c r="CV110" i="21" a="1"/>
  <c r="CV110" i="21" s="1"/>
  <c r="CW109" i="21" a="1"/>
  <c r="CW109" i="21" s="1"/>
  <c r="DE109" i="21" s="1"/>
  <c r="CV109" i="21" a="1"/>
  <c r="CV109" i="21" s="1"/>
  <c r="CW108" i="21" a="1"/>
  <c r="CW108" i="21" s="1"/>
  <c r="DE108" i="21" s="1"/>
  <c r="CV108" i="21" a="1"/>
  <c r="CV108" i="21" s="1"/>
  <c r="CW107" i="21" a="1"/>
  <c r="CW107" i="21" s="1"/>
  <c r="CV107" i="21" a="1"/>
  <c r="CV107" i="21" s="1"/>
  <c r="CW106" i="21" a="1"/>
  <c r="CW106" i="21" s="1"/>
  <c r="DE106" i="21" s="1"/>
  <c r="CV106" i="21" a="1"/>
  <c r="CV106" i="21" s="1"/>
  <c r="CW105" i="21" a="1"/>
  <c r="CW105" i="21" s="1"/>
  <c r="CV105" i="21" a="1"/>
  <c r="CV105" i="21" s="1"/>
  <c r="CW104" i="21"/>
  <c r="DG104" i="21" s="1"/>
  <c r="CW104" i="21" a="1"/>
  <c r="CV104" i="21" a="1"/>
  <c r="CV104" i="21" s="1"/>
  <c r="CW103" i="21" a="1"/>
  <c r="CW103" i="21" s="1"/>
  <c r="DE103" i="21" s="1"/>
  <c r="CV103" i="21" a="1"/>
  <c r="CV103" i="21" s="1"/>
  <c r="CW102" i="21" a="1"/>
  <c r="CW102" i="21" s="1"/>
  <c r="DG102" i="21" s="1"/>
  <c r="CV102" i="21" a="1"/>
  <c r="CV102" i="21" s="1"/>
  <c r="CW101" i="21" a="1"/>
  <c r="CW101" i="21" s="1"/>
  <c r="DG101" i="21" s="1"/>
  <c r="CV101" i="21" a="1"/>
  <c r="CV101" i="21" s="1"/>
  <c r="CW100" i="21" a="1"/>
  <c r="CW100" i="21" s="1"/>
  <c r="DE100" i="21" s="1"/>
  <c r="CV100" i="21" a="1"/>
  <c r="CV100" i="21" s="1"/>
  <c r="CW99" i="21" a="1"/>
  <c r="CW99" i="21" s="1"/>
  <c r="DG99" i="21" s="1"/>
  <c r="CV99" i="21"/>
  <c r="CV99" i="21" a="1"/>
  <c r="CW98" i="21" a="1"/>
  <c r="CW98" i="21" s="1"/>
  <c r="CW97" i="21" a="1"/>
  <c r="CW97" i="21" s="1"/>
  <c r="CW96" i="21" a="1"/>
  <c r="CW96" i="21" s="1"/>
  <c r="CW95" i="21"/>
  <c r="CW95" i="21" a="1"/>
  <c r="CW94" i="21" a="1"/>
  <c r="CW94" i="21" s="1"/>
  <c r="CW93" i="21" a="1"/>
  <c r="CW93" i="21" s="1"/>
  <c r="CW92" i="21"/>
  <c r="CW92" i="21" a="1"/>
  <c r="CW91" i="21" a="1"/>
  <c r="CW91" i="21" s="1"/>
  <c r="CW90" i="21" a="1"/>
  <c r="CW90" i="21" s="1"/>
  <c r="CW89" i="21" a="1"/>
  <c r="CW89" i="21" s="1"/>
  <c r="CW88" i="21" a="1"/>
  <c r="CW88" i="21" s="1"/>
  <c r="CW87" i="21" a="1"/>
  <c r="CW87" i="21" s="1"/>
  <c r="CW86" i="21" a="1"/>
  <c r="CW86" i="21" s="1"/>
  <c r="CW85" i="21" a="1"/>
  <c r="CW85" i="21" s="1"/>
  <c r="CW84" i="21" a="1"/>
  <c r="CW84" i="21" s="1"/>
  <c r="CW83" i="21" a="1"/>
  <c r="CW83" i="21" s="1"/>
  <c r="CW82" i="21"/>
  <c r="CW82" i="21" a="1"/>
  <c r="CW81" i="21" a="1"/>
  <c r="CW81" i="21" s="1"/>
  <c r="CW80" i="21" a="1"/>
  <c r="CW80" i="21" s="1"/>
  <c r="CW79" i="21" a="1"/>
  <c r="CW79" i="21" s="1"/>
  <c r="CW78" i="21" a="1"/>
  <c r="CW78" i="21" s="1"/>
  <c r="CW77" i="21" a="1"/>
  <c r="CW77" i="21" s="1"/>
  <c r="CW76" i="21"/>
  <c r="CW76" i="21" a="1"/>
  <c r="CW75" i="21" a="1"/>
  <c r="CW75" i="21" s="1"/>
  <c r="CW74" i="21" a="1"/>
  <c r="CW74" i="21" s="1"/>
  <c r="CW73" i="21" a="1"/>
  <c r="CW73" i="21" s="1"/>
  <c r="CW72" i="21" a="1"/>
  <c r="CW72" i="21" s="1"/>
  <c r="CW71" i="21" a="1"/>
  <c r="CW71" i="21" s="1"/>
  <c r="CW70" i="21" a="1"/>
  <c r="CW70" i="21" s="1"/>
  <c r="CW69" i="21" a="1"/>
  <c r="CW69" i="21" s="1"/>
  <c r="CW68" i="21" a="1"/>
  <c r="CW68" i="21" s="1"/>
  <c r="CW67" i="21" a="1"/>
  <c r="CW67" i="21" s="1"/>
  <c r="CW66" i="21" a="1"/>
  <c r="CW66" i="21" s="1"/>
  <c r="CW65" i="21" a="1"/>
  <c r="CW65" i="21" s="1"/>
  <c r="CW64" i="21"/>
  <c r="CW64" i="21" a="1"/>
  <c r="CW63" i="21" a="1"/>
  <c r="CW63" i="21" s="1"/>
  <c r="CW62" i="21" a="1"/>
  <c r="CW62" i="21" s="1"/>
  <c r="CW61" i="21" a="1"/>
  <c r="CW61" i="21" s="1"/>
  <c r="CW60" i="21" a="1"/>
  <c r="CW60" i="21" s="1"/>
  <c r="CW59" i="21" a="1"/>
  <c r="CW59" i="21" s="1"/>
  <c r="CW58" i="21"/>
  <c r="CW58" i="21" a="1"/>
  <c r="CW57" i="21" a="1"/>
  <c r="CW57" i="21" s="1"/>
  <c r="CW56" i="21" a="1"/>
  <c r="CW56" i="21" s="1"/>
  <c r="CW55" i="21" a="1"/>
  <c r="CW55" i="21" s="1"/>
  <c r="CW54" i="21" a="1"/>
  <c r="CW54" i="21" s="1"/>
  <c r="CW53" i="21" a="1"/>
  <c r="CW53" i="21" s="1"/>
  <c r="CW52" i="21" a="1"/>
  <c r="CW52" i="21" s="1"/>
  <c r="CW51" i="21" a="1"/>
  <c r="CW51" i="21" s="1"/>
  <c r="CW50" i="21" a="1"/>
  <c r="CW50" i="21" s="1"/>
  <c r="CW49" i="21" a="1"/>
  <c r="CW49" i="21" s="1"/>
  <c r="CW48" i="21" a="1"/>
  <c r="CW48" i="21" s="1"/>
  <c r="CW47" i="21" a="1"/>
  <c r="CW47" i="21" s="1"/>
  <c r="CW46" i="21"/>
  <c r="CW46" i="21" a="1"/>
  <c r="CW45" i="21" a="1"/>
  <c r="CW45" i="21" s="1"/>
  <c r="CW44" i="21" a="1"/>
  <c r="CW44" i="21" s="1"/>
  <c r="CW43" i="21" a="1"/>
  <c r="CW43" i="21" s="1"/>
  <c r="CW42" i="21" a="1"/>
  <c r="CW42" i="21" s="1"/>
  <c r="CW41" i="21" a="1"/>
  <c r="CW41" i="21" s="1"/>
  <c r="CW40" i="21"/>
  <c r="CW40" i="21" a="1"/>
  <c r="CW39" i="21" a="1"/>
  <c r="CW39" i="21" s="1"/>
  <c r="CW38" i="21" a="1"/>
  <c r="CW38" i="21" s="1"/>
  <c r="CW37" i="21" a="1"/>
  <c r="CW37" i="21" s="1"/>
  <c r="CW36" i="21" a="1"/>
  <c r="CW36" i="21" s="1"/>
  <c r="CW35" i="21" a="1"/>
  <c r="CW35" i="21" s="1"/>
  <c r="CW34" i="21" a="1"/>
  <c r="CW34" i="21" s="1"/>
  <c r="CW33" i="21" a="1"/>
  <c r="CW33" i="21" s="1"/>
  <c r="CW32" i="21" a="1"/>
  <c r="CW32" i="21" s="1"/>
  <c r="CW31" i="21" a="1"/>
  <c r="CW31" i="21" s="1"/>
  <c r="CW30" i="21" a="1"/>
  <c r="CW30" i="21" s="1"/>
  <c r="CW29" i="21" a="1"/>
  <c r="CW29" i="21" s="1"/>
  <c r="CW28" i="21"/>
  <c r="CW28" i="21" a="1"/>
  <c r="CW27" i="21" a="1"/>
  <c r="CW27" i="21" s="1"/>
  <c r="CW26" i="21" a="1"/>
  <c r="CW26" i="21" s="1"/>
  <c r="CW25" i="21" a="1"/>
  <c r="CW25" i="21" s="1"/>
  <c r="CW24" i="21" a="1"/>
  <c r="CW24" i="21" s="1"/>
  <c r="CW23" i="21" a="1"/>
  <c r="CW23" i="21" s="1"/>
  <c r="CW22" i="21"/>
  <c r="CW22" i="21" a="1"/>
  <c r="CW21" i="21" a="1"/>
  <c r="CW21" i="21" s="1"/>
  <c r="CW20" i="21" a="1"/>
  <c r="CW20" i="21" s="1"/>
  <c r="CW19" i="21" a="1"/>
  <c r="CW19" i="21" s="1"/>
  <c r="CW18" i="21" a="1"/>
  <c r="CW18" i="21" s="1"/>
  <c r="CW17" i="21" a="1"/>
  <c r="CW17" i="21" s="1"/>
  <c r="CW16" i="21" a="1"/>
  <c r="CW16" i="21" s="1"/>
  <c r="CW15" i="21" a="1"/>
  <c r="CW15" i="21" s="1"/>
  <c r="CW14" i="21" a="1"/>
  <c r="CW14" i="21" s="1"/>
  <c r="CW13" i="21" a="1"/>
  <c r="CW13" i="21" s="1"/>
  <c r="CW12" i="21" a="1"/>
  <c r="CW12" i="21" s="1"/>
  <c r="CW11" i="21" a="1"/>
  <c r="CW11" i="21" s="1"/>
  <c r="CW10" i="21"/>
  <c r="CW10" i="21" a="1"/>
  <c r="CW9" i="21" a="1"/>
  <c r="CW9" i="21" s="1"/>
  <c r="CW8" i="21" a="1"/>
  <c r="CW8" i="21" s="1"/>
  <c r="CW7" i="21" a="1"/>
  <c r="CW7" i="21" s="1"/>
  <c r="CW6" i="21" a="1"/>
  <c r="CW6" i="21" s="1"/>
  <c r="CW5" i="21" a="1"/>
  <c r="CW5" i="21" s="1"/>
  <c r="CW4" i="21"/>
  <c r="CW4" i="21" a="1"/>
  <c r="CW3" i="21" a="1"/>
  <c r="CW3" i="21" s="1"/>
  <c r="CW2" i="21" a="1"/>
  <c r="CW2" i="21"/>
  <c r="DJ49" i="21"/>
  <c r="DK49" i="21" s="1"/>
  <c r="DL49" i="21" s="1"/>
  <c r="DJ48" i="21"/>
  <c r="DK48" i="21" s="1"/>
  <c r="DL48" i="21" s="1"/>
  <c r="DJ47" i="21"/>
  <c r="DK47" i="21" s="1"/>
  <c r="DL47" i="21" s="1"/>
  <c r="DJ46" i="21"/>
  <c r="DK46" i="21" s="1"/>
  <c r="DL46" i="21" s="1"/>
  <c r="DK39" i="21"/>
  <c r="CY340" i="21"/>
  <c r="DB340" i="21" s="1"/>
  <c r="CX340" i="21"/>
  <c r="DC340" i="21" s="1"/>
  <c r="DA340" i="21" a="1"/>
  <c r="DA340" i="21" s="1"/>
  <c r="CY339" i="21"/>
  <c r="DB339" i="21" s="1"/>
  <c r="CX339" i="21"/>
  <c r="DC339" i="21" s="1"/>
  <c r="CY338" i="21"/>
  <c r="DB338" i="21" s="1"/>
  <c r="CX338" i="21"/>
  <c r="DC338" i="21" s="1"/>
  <c r="CY337" i="21"/>
  <c r="DB337" i="21" s="1"/>
  <c r="CX337" i="21"/>
  <c r="DC337" i="21" s="1"/>
  <c r="CY336" i="21"/>
  <c r="DB336" i="21" s="1"/>
  <c r="CX336" i="21"/>
  <c r="DC336" i="21" s="1"/>
  <c r="CY335" i="21"/>
  <c r="DB335" i="21" s="1"/>
  <c r="CX335" i="21"/>
  <c r="DC335" i="21" s="1"/>
  <c r="DA335" i="21" a="1"/>
  <c r="DA335" i="21" s="1"/>
  <c r="CY334" i="21"/>
  <c r="DB334" i="21" s="1"/>
  <c r="CX334" i="21"/>
  <c r="DC334" i="21" s="1"/>
  <c r="DA334" i="21" a="1"/>
  <c r="DA334" i="21" s="1"/>
  <c r="CY333" i="21"/>
  <c r="DB333" i="21" s="1"/>
  <c r="CX333" i="21"/>
  <c r="DC333" i="21" s="1"/>
  <c r="CY332" i="21"/>
  <c r="DB332" i="21" s="1"/>
  <c r="CX332" i="21"/>
  <c r="DC332" i="21" s="1"/>
  <c r="CY331" i="21"/>
  <c r="DB331" i="21" s="1"/>
  <c r="CX331" i="21"/>
  <c r="DC331" i="21" s="1"/>
  <c r="DA331" i="21" a="1"/>
  <c r="DA331" i="21" s="1"/>
  <c r="CY330" i="21"/>
  <c r="DB330" i="21" s="1"/>
  <c r="CX330" i="21"/>
  <c r="DC330" i="21" s="1"/>
  <c r="CY329" i="21"/>
  <c r="DB329" i="21" s="1"/>
  <c r="CX329" i="21"/>
  <c r="DC329" i="21" s="1"/>
  <c r="CY328" i="21"/>
  <c r="DB328" i="21" s="1"/>
  <c r="CX328" i="21"/>
  <c r="DC328" i="21" s="1"/>
  <c r="DA328" i="21" a="1"/>
  <c r="DA328" i="21" s="1"/>
  <c r="CY327" i="21"/>
  <c r="DB327" i="21" s="1"/>
  <c r="CX327" i="21"/>
  <c r="DC327" i="21" s="1"/>
  <c r="CY326" i="21"/>
  <c r="DB326" i="21" s="1"/>
  <c r="CX326" i="21"/>
  <c r="DC326" i="21" s="1"/>
  <c r="CY325" i="21"/>
  <c r="DB325" i="21" s="1"/>
  <c r="CX325" i="21"/>
  <c r="DC325" i="21" s="1"/>
  <c r="CY324" i="21"/>
  <c r="DB324" i="21" s="1"/>
  <c r="CX324" i="21"/>
  <c r="DC324" i="21" s="1"/>
  <c r="CY323" i="21"/>
  <c r="DB323" i="21" s="1"/>
  <c r="CX323" i="21"/>
  <c r="DC323" i="21" s="1"/>
  <c r="DA323" i="21" a="1"/>
  <c r="DA323" i="21" s="1"/>
  <c r="CY322" i="21"/>
  <c r="DB322" i="21" s="1"/>
  <c r="CX322" i="21"/>
  <c r="DC322" i="21" s="1"/>
  <c r="DA322" i="21" a="1"/>
  <c r="DA322" i="21" s="1"/>
  <c r="CY321" i="21"/>
  <c r="DB321" i="21" s="1"/>
  <c r="CX321" i="21"/>
  <c r="DC321" i="21" s="1"/>
  <c r="CY320" i="21"/>
  <c r="DB320" i="21" s="1"/>
  <c r="CX320" i="21"/>
  <c r="DC320" i="21" s="1"/>
  <c r="CY319" i="21"/>
  <c r="DB319" i="21" s="1"/>
  <c r="CX319" i="21"/>
  <c r="DA319" i="21" a="1"/>
  <c r="DA319" i="21" s="1"/>
  <c r="CY318" i="21"/>
  <c r="DB318" i="21" s="1"/>
  <c r="CX318" i="21"/>
  <c r="DC318" i="21" s="1"/>
  <c r="CY317" i="21"/>
  <c r="DB317" i="21" s="1"/>
  <c r="CX317" i="21"/>
  <c r="DC317" i="21" s="1"/>
  <c r="CY316" i="21"/>
  <c r="DB316" i="21" s="1"/>
  <c r="CX316" i="21"/>
  <c r="DC316" i="21" s="1"/>
  <c r="DA316" i="21" a="1"/>
  <c r="DA316" i="21" s="1"/>
  <c r="CY315" i="21"/>
  <c r="DB315" i="21" s="1"/>
  <c r="CX315" i="21"/>
  <c r="DC315" i="21" s="1"/>
  <c r="CY314" i="21"/>
  <c r="DB314" i="21" s="1"/>
  <c r="CX314" i="21"/>
  <c r="DC314" i="21" s="1"/>
  <c r="CY313" i="21"/>
  <c r="DB313" i="21" s="1"/>
  <c r="CX313" i="21"/>
  <c r="DC313" i="21" s="1"/>
  <c r="DA313" i="21" a="1"/>
  <c r="DA313" i="21" s="1"/>
  <c r="CY312" i="21"/>
  <c r="DB312" i="21" s="1"/>
  <c r="CX312" i="21"/>
  <c r="DC312" i="21" s="1"/>
  <c r="CY311" i="21"/>
  <c r="DB311" i="21" s="1"/>
  <c r="CX311" i="21"/>
  <c r="DC311" i="21" s="1"/>
  <c r="DA311" i="21" a="1"/>
  <c r="DA311" i="21" s="1"/>
  <c r="CY310" i="21"/>
  <c r="DB310" i="21" s="1"/>
  <c r="CX310" i="21"/>
  <c r="DC310" i="21" s="1"/>
  <c r="CY309" i="21"/>
  <c r="DB309" i="21" s="1"/>
  <c r="CX309" i="21"/>
  <c r="DC309" i="21" s="1"/>
  <c r="CY308" i="21"/>
  <c r="DB308" i="21" s="1"/>
  <c r="CX308" i="21"/>
  <c r="DC308" i="21" s="1"/>
  <c r="CY307" i="21"/>
  <c r="DB307" i="21" s="1"/>
  <c r="CX307" i="21"/>
  <c r="DC307" i="21" s="1"/>
  <c r="DA307" i="21" a="1"/>
  <c r="DA307" i="21" s="1"/>
  <c r="CY306" i="21"/>
  <c r="DB306" i="21" s="1"/>
  <c r="CX306" i="21"/>
  <c r="DC306" i="21" s="1"/>
  <c r="CY305" i="21"/>
  <c r="DB305" i="21" s="1"/>
  <c r="CX305" i="21"/>
  <c r="DC305" i="21" s="1"/>
  <c r="CY304" i="21"/>
  <c r="DB304" i="21" s="1"/>
  <c r="CX304" i="21"/>
  <c r="DC304" i="21" s="1"/>
  <c r="DA304" i="21" a="1"/>
  <c r="DA304" i="21" s="1"/>
  <c r="CY303" i="21"/>
  <c r="DB303" i="21" s="1"/>
  <c r="CX303" i="21"/>
  <c r="DC303" i="21" s="1"/>
  <c r="CY302" i="21"/>
  <c r="DB302" i="21" s="1"/>
  <c r="CX302" i="21"/>
  <c r="DC302" i="21" s="1"/>
  <c r="CY301" i="21"/>
  <c r="DB301" i="21" s="1"/>
  <c r="CX301" i="21"/>
  <c r="DC301" i="21" s="1"/>
  <c r="DA301" i="21" a="1"/>
  <c r="DA301" i="21" s="1"/>
  <c r="CY300" i="21"/>
  <c r="DB300" i="21" s="1"/>
  <c r="CX300" i="21"/>
  <c r="DC300" i="21" s="1"/>
  <c r="CY299" i="21"/>
  <c r="DB299" i="21" s="1"/>
  <c r="CX299" i="21"/>
  <c r="DC299" i="21" s="1"/>
  <c r="DA299" i="21" a="1"/>
  <c r="DA299" i="21" s="1"/>
  <c r="CY298" i="21"/>
  <c r="DB298" i="21" s="1"/>
  <c r="CX298" i="21"/>
  <c r="DC298" i="21" s="1"/>
  <c r="DA298" i="21" a="1"/>
  <c r="DA298" i="21" s="1"/>
  <c r="CY297" i="21"/>
  <c r="DB297" i="21" s="1"/>
  <c r="CX297" i="21"/>
  <c r="DC297" i="21" s="1"/>
  <c r="CY296" i="21"/>
  <c r="DB296" i="21" s="1"/>
  <c r="CX296" i="21"/>
  <c r="DC296" i="21" s="1"/>
  <c r="CY295" i="21"/>
  <c r="DB295" i="21" s="1"/>
  <c r="CX295" i="21"/>
  <c r="DC295" i="21" s="1"/>
  <c r="DA295" i="21" a="1"/>
  <c r="DA295" i="21" s="1"/>
  <c r="CY294" i="21"/>
  <c r="DB294" i="21" s="1"/>
  <c r="CX294" i="21"/>
  <c r="DC294" i="21" s="1"/>
  <c r="CY293" i="21"/>
  <c r="DB293" i="21" s="1"/>
  <c r="CX293" i="21"/>
  <c r="DC293" i="21" s="1"/>
  <c r="CY292" i="21"/>
  <c r="DB292" i="21" s="1"/>
  <c r="CX292" i="21"/>
  <c r="DC292" i="21" s="1"/>
  <c r="DA292" i="21" a="1"/>
  <c r="DA292" i="21" s="1"/>
  <c r="CY291" i="21"/>
  <c r="DB291" i="21" s="1"/>
  <c r="CX291" i="21"/>
  <c r="DC291" i="21" s="1"/>
  <c r="CY290" i="21"/>
  <c r="DB290" i="21" s="1"/>
  <c r="CX290" i="21"/>
  <c r="DC290" i="21" s="1"/>
  <c r="CY289" i="21"/>
  <c r="DB289" i="21" s="1"/>
  <c r="CX289" i="21"/>
  <c r="DC289" i="21" s="1"/>
  <c r="CY288" i="21"/>
  <c r="DB288" i="21" s="1"/>
  <c r="CX288" i="21"/>
  <c r="DC288" i="21" s="1"/>
  <c r="CY287" i="21"/>
  <c r="DB287" i="21" s="1"/>
  <c r="CX287" i="21"/>
  <c r="DC287" i="21" s="1"/>
  <c r="DA287" i="21" a="1"/>
  <c r="DA287" i="21" s="1"/>
  <c r="CY286" i="21"/>
  <c r="DB286" i="21" s="1"/>
  <c r="CX286" i="21"/>
  <c r="DC286" i="21" s="1"/>
  <c r="DA286" i="21" a="1"/>
  <c r="DA286" i="21" s="1"/>
  <c r="CY285" i="21"/>
  <c r="DB285" i="21" s="1"/>
  <c r="CX285" i="21"/>
  <c r="CY284" i="21"/>
  <c r="DB284" i="21" s="1"/>
  <c r="CX284" i="21"/>
  <c r="DC284" i="21" s="1"/>
  <c r="CY283" i="21"/>
  <c r="DB283" i="21" s="1"/>
  <c r="CX283" i="21"/>
  <c r="DC283" i="21" s="1"/>
  <c r="DA283" i="21" a="1"/>
  <c r="DA283" i="21" s="1"/>
  <c r="CY282" i="21"/>
  <c r="DB282" i="21" s="1"/>
  <c r="CX282" i="21"/>
  <c r="DC282" i="21" s="1"/>
  <c r="CY281" i="21"/>
  <c r="DB281" i="21" s="1"/>
  <c r="CX281" i="21"/>
  <c r="DC281" i="21" s="1"/>
  <c r="CY280" i="21"/>
  <c r="DB280" i="21" s="1"/>
  <c r="CX280" i="21"/>
  <c r="DC280" i="21" s="1"/>
  <c r="DA280" i="21" a="1"/>
  <c r="DA280" i="21" s="1"/>
  <c r="CY279" i="21"/>
  <c r="DB279" i="21" s="1"/>
  <c r="CX279" i="21"/>
  <c r="DC279" i="21" s="1"/>
  <c r="CY278" i="21"/>
  <c r="DB278" i="21" s="1"/>
  <c r="CX278" i="21"/>
  <c r="DC278" i="21" s="1"/>
  <c r="CY277" i="21"/>
  <c r="DB277" i="21" s="1"/>
  <c r="CX277" i="21"/>
  <c r="DC277" i="21" s="1"/>
  <c r="DA277" i="21" a="1"/>
  <c r="DA277" i="21" s="1"/>
  <c r="CY276" i="21"/>
  <c r="DB276" i="21" s="1"/>
  <c r="CX276" i="21"/>
  <c r="DC276" i="21" s="1"/>
  <c r="CY275" i="21"/>
  <c r="DB275" i="21" s="1"/>
  <c r="CX275" i="21"/>
  <c r="DC275" i="21" s="1"/>
  <c r="DA275" i="21" a="1"/>
  <c r="DA275" i="21" s="1"/>
  <c r="CY274" i="21"/>
  <c r="DB274" i="21" s="1"/>
  <c r="CX274" i="21"/>
  <c r="DC274" i="21" s="1"/>
  <c r="DA274" i="21" a="1"/>
  <c r="DA274" i="21" s="1"/>
  <c r="CY273" i="21"/>
  <c r="DB273" i="21" s="1"/>
  <c r="CX273" i="21"/>
  <c r="DC273" i="21" s="1"/>
  <c r="CY272" i="21"/>
  <c r="DB272" i="21" s="1"/>
  <c r="CX272" i="21"/>
  <c r="DC272" i="21" s="1"/>
  <c r="CY271" i="21"/>
  <c r="DB271" i="21" s="1"/>
  <c r="CX271" i="21"/>
  <c r="DC271" i="21" s="1"/>
  <c r="DA271" i="21" a="1"/>
  <c r="DA271" i="21" s="1"/>
  <c r="CY270" i="21"/>
  <c r="DB270" i="21" s="1"/>
  <c r="CX270" i="21"/>
  <c r="DC270" i="21" s="1"/>
  <c r="CY269" i="21"/>
  <c r="DB269" i="21" s="1"/>
  <c r="CX269" i="21"/>
  <c r="DC269" i="21" s="1"/>
  <c r="CY268" i="21"/>
  <c r="DB268" i="21" s="1"/>
  <c r="CX268" i="21"/>
  <c r="DC268" i="21" s="1"/>
  <c r="DA268" i="21" a="1"/>
  <c r="DA268" i="21" s="1"/>
  <c r="CY267" i="21"/>
  <c r="DB267" i="21" s="1"/>
  <c r="CX267" i="21"/>
  <c r="DC267" i="21" s="1"/>
  <c r="CY266" i="21"/>
  <c r="DB266" i="21" s="1"/>
  <c r="CX266" i="21"/>
  <c r="DC266" i="21" s="1"/>
  <c r="CY265" i="21"/>
  <c r="DB265" i="21" s="1"/>
  <c r="CX265" i="21"/>
  <c r="DC265" i="21" s="1"/>
  <c r="CY264" i="21"/>
  <c r="DB264" i="21" s="1"/>
  <c r="CX264" i="21"/>
  <c r="DC264" i="21" s="1"/>
  <c r="CY263" i="21"/>
  <c r="DB263" i="21" s="1"/>
  <c r="CX263" i="21"/>
  <c r="DC263" i="21" s="1"/>
  <c r="DA263" i="21" a="1"/>
  <c r="DA263" i="21" s="1"/>
  <c r="CY262" i="21"/>
  <c r="DB262" i="21" s="1"/>
  <c r="CX262" i="21"/>
  <c r="DC262" i="21" s="1"/>
  <c r="CY261" i="21"/>
  <c r="DB261" i="21" s="1"/>
  <c r="CX261" i="21"/>
  <c r="DC261" i="21" s="1"/>
  <c r="CY260" i="21"/>
  <c r="DB260" i="21" s="1"/>
  <c r="CX260" i="21"/>
  <c r="DC260" i="21" s="1"/>
  <c r="CY259" i="21"/>
  <c r="DB259" i="21" s="1"/>
  <c r="CX259" i="21"/>
  <c r="DC259" i="21" s="1"/>
  <c r="DA259" i="21" a="1"/>
  <c r="DA259" i="21" s="1"/>
  <c r="CY258" i="21"/>
  <c r="DB258" i="21" s="1"/>
  <c r="CX258" i="21"/>
  <c r="DC258" i="21" s="1"/>
  <c r="CY257" i="21"/>
  <c r="DB257" i="21" s="1"/>
  <c r="CX257" i="21"/>
  <c r="DC257" i="21" s="1"/>
  <c r="CY256" i="21"/>
  <c r="DB256" i="21" s="1"/>
  <c r="CX256" i="21"/>
  <c r="DC256" i="21" s="1"/>
  <c r="DA256" i="21" a="1"/>
  <c r="DA256" i="21" s="1"/>
  <c r="CY255" i="21"/>
  <c r="DB255" i="21" s="1"/>
  <c r="CX255" i="21"/>
  <c r="DC255" i="21" s="1"/>
  <c r="CY254" i="21"/>
  <c r="DB254" i="21" s="1"/>
  <c r="CX254" i="21"/>
  <c r="DC254" i="21" s="1"/>
  <c r="CY253" i="21"/>
  <c r="DB253" i="21" s="1"/>
  <c r="CX253" i="21"/>
  <c r="DC253" i="21" s="1"/>
  <c r="DA253" i="21" a="1"/>
  <c r="DA253" i="21" s="1"/>
  <c r="CY252" i="21"/>
  <c r="DB252" i="21" s="1"/>
  <c r="CX252" i="21"/>
  <c r="DC252" i="21" s="1"/>
  <c r="CY251" i="21"/>
  <c r="DB251" i="21" s="1"/>
  <c r="CX251" i="21"/>
  <c r="DC251" i="21" s="1"/>
  <c r="DA251" i="21" a="1"/>
  <c r="DA251" i="21" s="1"/>
  <c r="CY250" i="21"/>
  <c r="DB250" i="21" s="1"/>
  <c r="CX250" i="21"/>
  <c r="DC250" i="21" s="1"/>
  <c r="CY249" i="21"/>
  <c r="DB249" i="21" s="1"/>
  <c r="CX249" i="21"/>
  <c r="DC249" i="21" s="1"/>
  <c r="CY248" i="21"/>
  <c r="DB248" i="21" s="1"/>
  <c r="CX248" i="21"/>
  <c r="DC248" i="21" s="1"/>
  <c r="CY247" i="21"/>
  <c r="DB247" i="21" s="1"/>
  <c r="CX247" i="21"/>
  <c r="DC247" i="21" s="1"/>
  <c r="DA247" i="21" a="1"/>
  <c r="DA247" i="21" s="1"/>
  <c r="CY246" i="21"/>
  <c r="DB246" i="21" s="1"/>
  <c r="CX246" i="21"/>
  <c r="DC246" i="21" s="1"/>
  <c r="CY245" i="21"/>
  <c r="DB245" i="21" s="1"/>
  <c r="CX245" i="21"/>
  <c r="DC245" i="21" s="1"/>
  <c r="CY244" i="21"/>
  <c r="DB244" i="21" s="1"/>
  <c r="CX244" i="21"/>
  <c r="DC244" i="21" s="1"/>
  <c r="DA244" i="21" a="1"/>
  <c r="DA244" i="21" s="1"/>
  <c r="CY243" i="21"/>
  <c r="DB243" i="21" s="1"/>
  <c r="CX243" i="21"/>
  <c r="DC243" i="21" s="1"/>
  <c r="CY242" i="21"/>
  <c r="DB242" i="21" s="1"/>
  <c r="CX242" i="21"/>
  <c r="DC242" i="21" s="1"/>
  <c r="CY241" i="21"/>
  <c r="DB241" i="21" s="1"/>
  <c r="CX241" i="21"/>
  <c r="DC241" i="21" s="1"/>
  <c r="CY240" i="21"/>
  <c r="DB240" i="21" s="1"/>
  <c r="CX240" i="21"/>
  <c r="DC240" i="21" s="1"/>
  <c r="CY239" i="21"/>
  <c r="DB239" i="21" s="1"/>
  <c r="CX239" i="21"/>
  <c r="DC239" i="21" s="1"/>
  <c r="DA239" i="21" a="1"/>
  <c r="DA239" i="21" s="1"/>
  <c r="CY238" i="21"/>
  <c r="DB238" i="21" s="1"/>
  <c r="CX238" i="21"/>
  <c r="DC238" i="21" s="1"/>
  <c r="DA238" i="21" a="1"/>
  <c r="DA238" i="21" s="1"/>
  <c r="CY237" i="21"/>
  <c r="DB237" i="21" s="1"/>
  <c r="CX237" i="21"/>
  <c r="DC237" i="21" s="1"/>
  <c r="CY236" i="21"/>
  <c r="DB236" i="21" s="1"/>
  <c r="CX236" i="21"/>
  <c r="DC236" i="21" s="1"/>
  <c r="CY235" i="21"/>
  <c r="DB235" i="21" s="1"/>
  <c r="CX235" i="21"/>
  <c r="DC235" i="21" s="1"/>
  <c r="DA235" i="21" a="1"/>
  <c r="DA235" i="21" s="1"/>
  <c r="CY234" i="21"/>
  <c r="DB234" i="21" s="1"/>
  <c r="CX234" i="21"/>
  <c r="DC234" i="21" s="1"/>
  <c r="CY233" i="21"/>
  <c r="DB233" i="21" s="1"/>
  <c r="CX233" i="21"/>
  <c r="DC233" i="21" s="1"/>
  <c r="CY232" i="21"/>
  <c r="DB232" i="21" s="1"/>
  <c r="CX232" i="21"/>
  <c r="DC232" i="21" s="1"/>
  <c r="DA232" i="21" a="1"/>
  <c r="DA232" i="21" s="1"/>
  <c r="CY231" i="21"/>
  <c r="DB231" i="21" s="1"/>
  <c r="CX231" i="21"/>
  <c r="DC231" i="21" s="1"/>
  <c r="DA231" i="21" a="1"/>
  <c r="DA231" i="21" s="1"/>
  <c r="CY230" i="21"/>
  <c r="DB230" i="21" s="1"/>
  <c r="CX230" i="21"/>
  <c r="DC230" i="21" s="1"/>
  <c r="CY229" i="21"/>
  <c r="DB229" i="21" s="1"/>
  <c r="CX229" i="21"/>
  <c r="DC229" i="21" s="1"/>
  <c r="DA229" i="21" a="1"/>
  <c r="DA229" i="21" s="1"/>
  <c r="CY228" i="21"/>
  <c r="DB228" i="21" s="1"/>
  <c r="CX228" i="21"/>
  <c r="DC228" i="21" s="1"/>
  <c r="DA228" i="21" a="1"/>
  <c r="DA228" i="21" s="1"/>
  <c r="CY227" i="21"/>
  <c r="DB227" i="21" s="1"/>
  <c r="CX227" i="21"/>
  <c r="DC227" i="21" s="1"/>
  <c r="DA227" i="21" a="1"/>
  <c r="DA227" i="21" s="1"/>
  <c r="CY226" i="21"/>
  <c r="DB226" i="21" s="1"/>
  <c r="CX226" i="21"/>
  <c r="DC226" i="21" s="1"/>
  <c r="DA226" i="21" a="1"/>
  <c r="DA226" i="21" s="1"/>
  <c r="CY225" i="21"/>
  <c r="DB225" i="21" s="1"/>
  <c r="CX225" i="21"/>
  <c r="DC225" i="21" s="1"/>
  <c r="CY224" i="21"/>
  <c r="DB224" i="21" s="1"/>
  <c r="CX224" i="21"/>
  <c r="DC224" i="21" s="1"/>
  <c r="CY223" i="21"/>
  <c r="DB223" i="21" s="1"/>
  <c r="CX223" i="21"/>
  <c r="DC223" i="21" s="1"/>
  <c r="DA223" i="21" a="1"/>
  <c r="DA223" i="21" s="1"/>
  <c r="CY222" i="21"/>
  <c r="DB222" i="21" s="1"/>
  <c r="CX222" i="21"/>
  <c r="DC222" i="21" s="1"/>
  <c r="DA222" i="21" a="1"/>
  <c r="DA222" i="21" s="1"/>
  <c r="CY221" i="21"/>
  <c r="DB221" i="21" s="1"/>
  <c r="CX221" i="21"/>
  <c r="DC221" i="21" s="1"/>
  <c r="CY220" i="21"/>
  <c r="DB220" i="21" s="1"/>
  <c r="CX220" i="21"/>
  <c r="DC220" i="21" s="1"/>
  <c r="DA220" i="21" a="1"/>
  <c r="DA220" i="21" s="1"/>
  <c r="CY219" i="21"/>
  <c r="DB219" i="21" s="1"/>
  <c r="CX219" i="21"/>
  <c r="DC219" i="21" s="1"/>
  <c r="CY218" i="21"/>
  <c r="DB218" i="21" s="1"/>
  <c r="CX218" i="21"/>
  <c r="DC218" i="21" s="1"/>
  <c r="CY217" i="21"/>
  <c r="DB217" i="21" s="1"/>
  <c r="CX217" i="21"/>
  <c r="DC217" i="21" s="1"/>
  <c r="DA217" i="21" a="1"/>
  <c r="DA217" i="21" s="1"/>
  <c r="CY216" i="21"/>
  <c r="DB216" i="21" s="1"/>
  <c r="CX216" i="21"/>
  <c r="DC216" i="21" s="1"/>
  <c r="DA216" i="21" a="1"/>
  <c r="DA216" i="21" s="1"/>
  <c r="CY215" i="21"/>
  <c r="DB215" i="21" s="1"/>
  <c r="CX215" i="21"/>
  <c r="DC215" i="21" s="1"/>
  <c r="DA215" i="21" a="1"/>
  <c r="DA215" i="21" s="1"/>
  <c r="CY214" i="21"/>
  <c r="DB214" i="21" s="1"/>
  <c r="CX214" i="21"/>
  <c r="DC214" i="21" s="1"/>
  <c r="CY213" i="21"/>
  <c r="DB213" i="21" s="1"/>
  <c r="CX213" i="21"/>
  <c r="DC213" i="21" s="1"/>
  <c r="CY212" i="21"/>
  <c r="DB212" i="21" s="1"/>
  <c r="CX212" i="21"/>
  <c r="DC212" i="21" s="1"/>
  <c r="CY211" i="21"/>
  <c r="DB211" i="21" s="1"/>
  <c r="CX211" i="21"/>
  <c r="DC211" i="21" s="1"/>
  <c r="DA211" i="21" a="1"/>
  <c r="DA211" i="21" s="1"/>
  <c r="CY210" i="21"/>
  <c r="DB210" i="21" s="1"/>
  <c r="CX210" i="21"/>
  <c r="DC210" i="21" s="1"/>
  <c r="CY209" i="21"/>
  <c r="DB209" i="21" s="1"/>
  <c r="CX209" i="21"/>
  <c r="DC209" i="21" s="1"/>
  <c r="CY208" i="21"/>
  <c r="DB208" i="21" s="1"/>
  <c r="CX208" i="21"/>
  <c r="DC208" i="21" s="1"/>
  <c r="DA208" i="21" a="1"/>
  <c r="DA208" i="21" s="1"/>
  <c r="CY207" i="21"/>
  <c r="DB207" i="21" s="1"/>
  <c r="CX207" i="21"/>
  <c r="DC207" i="21" s="1"/>
  <c r="CY206" i="21"/>
  <c r="DB206" i="21" s="1"/>
  <c r="CX206" i="21"/>
  <c r="DC206" i="21" s="1"/>
  <c r="CY205" i="21"/>
  <c r="DB205" i="21" s="1"/>
  <c r="CX205" i="21"/>
  <c r="DC205" i="21" s="1"/>
  <c r="CY204" i="21"/>
  <c r="DB204" i="21" s="1"/>
  <c r="CX204" i="21"/>
  <c r="DC204" i="21" s="1"/>
  <c r="CY203" i="21"/>
  <c r="DB203" i="21" s="1"/>
  <c r="CX203" i="21"/>
  <c r="DC203" i="21" s="1"/>
  <c r="CY202" i="21"/>
  <c r="DB202" i="21" s="1"/>
  <c r="CX202" i="21"/>
  <c r="DC202" i="21" s="1"/>
  <c r="CY201" i="21"/>
  <c r="DB201" i="21" s="1"/>
  <c r="CX201" i="21"/>
  <c r="DC201" i="21" s="1"/>
  <c r="CY200" i="21"/>
  <c r="DB200" i="21" s="1"/>
  <c r="CX200" i="21"/>
  <c r="DC200" i="21" s="1"/>
  <c r="CY199" i="21"/>
  <c r="DB199" i="21" s="1"/>
  <c r="CX199" i="21"/>
  <c r="DC199" i="21" s="1"/>
  <c r="CY198" i="21"/>
  <c r="DB198" i="21" s="1"/>
  <c r="CX198" i="21"/>
  <c r="DC198" i="21" s="1"/>
  <c r="CY197" i="21"/>
  <c r="DB197" i="21" s="1"/>
  <c r="CX197" i="21"/>
  <c r="DC197" i="21" s="1"/>
  <c r="CY196" i="21"/>
  <c r="DB196" i="21" s="1"/>
  <c r="CX196" i="21"/>
  <c r="DC196" i="21" s="1"/>
  <c r="CY195" i="21"/>
  <c r="DB195" i="21" s="1"/>
  <c r="CX195" i="21"/>
  <c r="DC195" i="21" s="1"/>
  <c r="CY194" i="21"/>
  <c r="DB194" i="21" s="1"/>
  <c r="CX194" i="21"/>
  <c r="DC194" i="21" s="1"/>
  <c r="CY193" i="21"/>
  <c r="DB193" i="21" s="1"/>
  <c r="CX193" i="21"/>
  <c r="DC193" i="21" s="1"/>
  <c r="CY192" i="21"/>
  <c r="DB192" i="21" s="1"/>
  <c r="CX192" i="21"/>
  <c r="DC192" i="21" s="1"/>
  <c r="CY191" i="21"/>
  <c r="DB191" i="21" s="1"/>
  <c r="CX191" i="21"/>
  <c r="DC191" i="21" s="1"/>
  <c r="CY190" i="21"/>
  <c r="DB190" i="21" s="1"/>
  <c r="CX190" i="21"/>
  <c r="DC190" i="21" s="1"/>
  <c r="CY189" i="21"/>
  <c r="DB189" i="21" s="1"/>
  <c r="CX189" i="21"/>
  <c r="DC189" i="21" s="1"/>
  <c r="CY188" i="21"/>
  <c r="DB188" i="21" s="1"/>
  <c r="CX188" i="21"/>
  <c r="DC188" i="21" s="1"/>
  <c r="CY187" i="21"/>
  <c r="DB187" i="21" s="1"/>
  <c r="CX187" i="21"/>
  <c r="DC187" i="21" s="1"/>
  <c r="CY186" i="21"/>
  <c r="DB186" i="21" s="1"/>
  <c r="CX186" i="21"/>
  <c r="DC186" i="21" s="1"/>
  <c r="CY185" i="21"/>
  <c r="DB185" i="21" s="1"/>
  <c r="CX185" i="21"/>
  <c r="DC185" i="21" s="1"/>
  <c r="CY184" i="21"/>
  <c r="DB184" i="21" s="1"/>
  <c r="CX184" i="21"/>
  <c r="DC184" i="21" s="1"/>
  <c r="CY183" i="21"/>
  <c r="DB183" i="21" s="1"/>
  <c r="CX183" i="21"/>
  <c r="DC183" i="21" s="1"/>
  <c r="CY182" i="21"/>
  <c r="DB182" i="21" s="1"/>
  <c r="CX182" i="21"/>
  <c r="DC182" i="21" s="1"/>
  <c r="CY181" i="21"/>
  <c r="DB181" i="21" s="1"/>
  <c r="CX181" i="21"/>
  <c r="DC181" i="21" s="1"/>
  <c r="CY180" i="21"/>
  <c r="DB180" i="21" s="1"/>
  <c r="CX180" i="21"/>
  <c r="DC180" i="21" s="1"/>
  <c r="CY179" i="21"/>
  <c r="DB179" i="21" s="1"/>
  <c r="CX179" i="21"/>
  <c r="DC179" i="21" s="1"/>
  <c r="CY178" i="21"/>
  <c r="DB178" i="21" s="1"/>
  <c r="CX178" i="21"/>
  <c r="DC178" i="21" s="1"/>
  <c r="CY177" i="21"/>
  <c r="DB177" i="21" s="1"/>
  <c r="CX177" i="21"/>
  <c r="DC177" i="21" s="1"/>
  <c r="CY176" i="21"/>
  <c r="DB176" i="21" s="1"/>
  <c r="CX176" i="21"/>
  <c r="DC176" i="21" s="1"/>
  <c r="CY175" i="21"/>
  <c r="DB175" i="21" s="1"/>
  <c r="CX175" i="21"/>
  <c r="DC175" i="21" s="1"/>
  <c r="CY174" i="21"/>
  <c r="DB174" i="21" s="1"/>
  <c r="CX174" i="21"/>
  <c r="DC174" i="21" s="1"/>
  <c r="CY173" i="21"/>
  <c r="DB173" i="21" s="1"/>
  <c r="CX173" i="21"/>
  <c r="DC173" i="21" s="1"/>
  <c r="CY172" i="21"/>
  <c r="DB172" i="21" s="1"/>
  <c r="CX172" i="21"/>
  <c r="DC172" i="21" s="1"/>
  <c r="CY171" i="21"/>
  <c r="DB171" i="21" s="1"/>
  <c r="CX171" i="21"/>
  <c r="DC171" i="21" s="1"/>
  <c r="CY170" i="21"/>
  <c r="DB170" i="21" s="1"/>
  <c r="CX170" i="21"/>
  <c r="DC170" i="21" s="1"/>
  <c r="CY169" i="21"/>
  <c r="DB169" i="21" s="1"/>
  <c r="CX169" i="21"/>
  <c r="DC169" i="21" s="1"/>
  <c r="CY168" i="21"/>
  <c r="DB168" i="21" s="1"/>
  <c r="CX168" i="21"/>
  <c r="DC168" i="21" s="1"/>
  <c r="CY167" i="21"/>
  <c r="DB167" i="21" s="1"/>
  <c r="CX167" i="21"/>
  <c r="DC167" i="21" s="1"/>
  <c r="CY166" i="21"/>
  <c r="DB166" i="21" s="1"/>
  <c r="CX166" i="21"/>
  <c r="DC166" i="21" s="1"/>
  <c r="CY165" i="21"/>
  <c r="DB165" i="21" s="1"/>
  <c r="CX165" i="21"/>
  <c r="DC165" i="21" s="1"/>
  <c r="CY164" i="21"/>
  <c r="DB164" i="21" s="1"/>
  <c r="CX164" i="21"/>
  <c r="DC164" i="21" s="1"/>
  <c r="CY163" i="21"/>
  <c r="DB163" i="21" s="1"/>
  <c r="CX163" i="21"/>
  <c r="DC163" i="21" s="1"/>
  <c r="CY162" i="21"/>
  <c r="DB162" i="21" s="1"/>
  <c r="CX162" i="21"/>
  <c r="DC162" i="21" s="1"/>
  <c r="CY161" i="21"/>
  <c r="DB161" i="21" s="1"/>
  <c r="CX161" i="21"/>
  <c r="DC161" i="21" s="1"/>
  <c r="CY160" i="21"/>
  <c r="DB160" i="21" s="1"/>
  <c r="CX160" i="21"/>
  <c r="DC160" i="21" s="1"/>
  <c r="CY159" i="21"/>
  <c r="DB159" i="21" s="1"/>
  <c r="CX159" i="21"/>
  <c r="DC159" i="21" s="1"/>
  <c r="CY158" i="21"/>
  <c r="DB158" i="21" s="1"/>
  <c r="CX158" i="21"/>
  <c r="DC158" i="21" s="1"/>
  <c r="CY157" i="21"/>
  <c r="DB157" i="21" s="1"/>
  <c r="CX157" i="21"/>
  <c r="DC157" i="21" s="1"/>
  <c r="CY156" i="21"/>
  <c r="DB156" i="21" s="1"/>
  <c r="CX156" i="21"/>
  <c r="DC156" i="21" s="1"/>
  <c r="CY155" i="21"/>
  <c r="DB155" i="21" s="1"/>
  <c r="CX155" i="21"/>
  <c r="DC155" i="21" s="1"/>
  <c r="CY154" i="21"/>
  <c r="DB154" i="21" s="1"/>
  <c r="CX154" i="21"/>
  <c r="DC154" i="21" s="1"/>
  <c r="CY153" i="21"/>
  <c r="DB153" i="21" s="1"/>
  <c r="CX153" i="21"/>
  <c r="DC153" i="21" s="1"/>
  <c r="CY152" i="21"/>
  <c r="DB152" i="21" s="1"/>
  <c r="CX152" i="21"/>
  <c r="DC152" i="21" s="1"/>
  <c r="CY151" i="21"/>
  <c r="DB151" i="21" s="1"/>
  <c r="CX151" i="21"/>
  <c r="DC151" i="21" s="1"/>
  <c r="CY150" i="21"/>
  <c r="DB150" i="21" s="1"/>
  <c r="CX150" i="21"/>
  <c r="DC150" i="21" s="1"/>
  <c r="CY149" i="21"/>
  <c r="DB149" i="21" s="1"/>
  <c r="CX149" i="21"/>
  <c r="DC149" i="21" s="1"/>
  <c r="CY148" i="21"/>
  <c r="DB148" i="21" s="1"/>
  <c r="CX148" i="21"/>
  <c r="DC148" i="21" s="1"/>
  <c r="CY147" i="21"/>
  <c r="DB147" i="21" s="1"/>
  <c r="CX147" i="21"/>
  <c r="DC147" i="21" s="1"/>
  <c r="CY146" i="21"/>
  <c r="DB146" i="21" s="1"/>
  <c r="CX146" i="21"/>
  <c r="DC146" i="21" s="1"/>
  <c r="CY145" i="21"/>
  <c r="DB145" i="21" s="1"/>
  <c r="CX145" i="21"/>
  <c r="DC145" i="21" s="1"/>
  <c r="CY144" i="21"/>
  <c r="DB144" i="21" s="1"/>
  <c r="CX144" i="21"/>
  <c r="DC144" i="21" s="1"/>
  <c r="CY143" i="21"/>
  <c r="DB143" i="21" s="1"/>
  <c r="CX143" i="21"/>
  <c r="DC143" i="21" s="1"/>
  <c r="CY142" i="21"/>
  <c r="DB142" i="21" s="1"/>
  <c r="CX142" i="21"/>
  <c r="DC142" i="21" s="1"/>
  <c r="CY141" i="21"/>
  <c r="DB141" i="21" s="1"/>
  <c r="CX141" i="21"/>
  <c r="DC141" i="21" s="1"/>
  <c r="CY140" i="21"/>
  <c r="DB140" i="21" s="1"/>
  <c r="CX140" i="21"/>
  <c r="DC140" i="21" s="1"/>
  <c r="CY139" i="21"/>
  <c r="DB139" i="21" s="1"/>
  <c r="CX139" i="21"/>
  <c r="DC139" i="21" s="1"/>
  <c r="CY138" i="21"/>
  <c r="DB138" i="21" s="1"/>
  <c r="CX138" i="21"/>
  <c r="DC138" i="21" s="1"/>
  <c r="CY137" i="21"/>
  <c r="DB137" i="21" s="1"/>
  <c r="CX137" i="21"/>
  <c r="DC137" i="21" s="1"/>
  <c r="CY136" i="21"/>
  <c r="DB136" i="21" s="1"/>
  <c r="CX136" i="21"/>
  <c r="DC136" i="21" s="1"/>
  <c r="CY135" i="21"/>
  <c r="DB135" i="21" s="1"/>
  <c r="CX135" i="21"/>
  <c r="DC135" i="21" s="1"/>
  <c r="CY134" i="21"/>
  <c r="DB134" i="21" s="1"/>
  <c r="CX134" i="21"/>
  <c r="DC134" i="21" s="1"/>
  <c r="CY133" i="21"/>
  <c r="DB133" i="21" s="1"/>
  <c r="CX133" i="21"/>
  <c r="DC133" i="21" s="1"/>
  <c r="CY132" i="21"/>
  <c r="DB132" i="21" s="1"/>
  <c r="CX132" i="21"/>
  <c r="DC132" i="21" s="1"/>
  <c r="CY131" i="21"/>
  <c r="DB131" i="21" s="1"/>
  <c r="CX131" i="21"/>
  <c r="DC131" i="21" s="1"/>
  <c r="CY130" i="21"/>
  <c r="DB130" i="21" s="1"/>
  <c r="CX130" i="21"/>
  <c r="DC130" i="21" s="1"/>
  <c r="CY129" i="21"/>
  <c r="DB129" i="21" s="1"/>
  <c r="CX129" i="21"/>
  <c r="DC129" i="21" s="1"/>
  <c r="CY128" i="21"/>
  <c r="DB128" i="21" s="1"/>
  <c r="CX128" i="21"/>
  <c r="DC128" i="21" s="1"/>
  <c r="CY127" i="21"/>
  <c r="DB127" i="21" s="1"/>
  <c r="CX127" i="21"/>
  <c r="DC127" i="21" s="1"/>
  <c r="CY126" i="21"/>
  <c r="DB126" i="21" s="1"/>
  <c r="CX126" i="21"/>
  <c r="DC126" i="21" s="1"/>
  <c r="CY125" i="21"/>
  <c r="DB125" i="21" s="1"/>
  <c r="CX125" i="21"/>
  <c r="DC125" i="21" s="1"/>
  <c r="CY124" i="21"/>
  <c r="DB124" i="21" s="1"/>
  <c r="CX124" i="21"/>
  <c r="DC124" i="21" s="1"/>
  <c r="CY123" i="21"/>
  <c r="DB123" i="21" s="1"/>
  <c r="CX123" i="21"/>
  <c r="DC123" i="21" s="1"/>
  <c r="CY122" i="21"/>
  <c r="DB122" i="21" s="1"/>
  <c r="CX122" i="21"/>
  <c r="DC122" i="21" s="1"/>
  <c r="CY121" i="21"/>
  <c r="DB121" i="21" s="1"/>
  <c r="CX121" i="21"/>
  <c r="DC121" i="21" s="1"/>
  <c r="CY120" i="21"/>
  <c r="DB120" i="21" s="1"/>
  <c r="CX120" i="21"/>
  <c r="DC120" i="21" s="1"/>
  <c r="CY119" i="21"/>
  <c r="DB119" i="21" s="1"/>
  <c r="CX119" i="21"/>
  <c r="DC119" i="21" s="1"/>
  <c r="CY118" i="21"/>
  <c r="DB118" i="21" s="1"/>
  <c r="CX118" i="21"/>
  <c r="DC118" i="21" s="1"/>
  <c r="CY117" i="21"/>
  <c r="DB117" i="21" s="1"/>
  <c r="CX117" i="21"/>
  <c r="DC117" i="21" s="1"/>
  <c r="CY116" i="21"/>
  <c r="DB116" i="21" s="1"/>
  <c r="CX116" i="21"/>
  <c r="DC116" i="21" s="1"/>
  <c r="CY115" i="21"/>
  <c r="DB115" i="21" s="1"/>
  <c r="CX115" i="21"/>
  <c r="DC115" i="21" s="1"/>
  <c r="CY114" i="21"/>
  <c r="DB114" i="21" s="1"/>
  <c r="CX114" i="21"/>
  <c r="DC114" i="21" s="1"/>
  <c r="CY113" i="21"/>
  <c r="DB113" i="21" s="1"/>
  <c r="CX113" i="21"/>
  <c r="DC113" i="21" s="1"/>
  <c r="CY112" i="21"/>
  <c r="DB112" i="21" s="1"/>
  <c r="CX112" i="21"/>
  <c r="DC112" i="21" s="1"/>
  <c r="CY111" i="21"/>
  <c r="DB111" i="21" s="1"/>
  <c r="CX111" i="21"/>
  <c r="DC111" i="21" s="1"/>
  <c r="CY110" i="21"/>
  <c r="DB110" i="21" s="1"/>
  <c r="CX110" i="21"/>
  <c r="DC110" i="21" s="1"/>
  <c r="CY109" i="21"/>
  <c r="DB109" i="21" s="1"/>
  <c r="CX109" i="21"/>
  <c r="DC109" i="21" s="1"/>
  <c r="CY108" i="21"/>
  <c r="DB108" i="21" s="1"/>
  <c r="CX108" i="21"/>
  <c r="DC108" i="21" s="1"/>
  <c r="CY107" i="21"/>
  <c r="DB107" i="21" s="1"/>
  <c r="CX107" i="21"/>
  <c r="DC107" i="21" s="1"/>
  <c r="CY106" i="21"/>
  <c r="DB106" i="21" s="1"/>
  <c r="CX106" i="21"/>
  <c r="DC106" i="21" s="1"/>
  <c r="CY105" i="21"/>
  <c r="DB105" i="21" s="1"/>
  <c r="CX105" i="21"/>
  <c r="DC105" i="21" s="1"/>
  <c r="CY104" i="21"/>
  <c r="DB104" i="21" s="1"/>
  <c r="CX104" i="21"/>
  <c r="DC104" i="21" s="1"/>
  <c r="CY103" i="21"/>
  <c r="DB103" i="21" s="1"/>
  <c r="CX103" i="21"/>
  <c r="DC103" i="21" s="1"/>
  <c r="CY102" i="21"/>
  <c r="DB102" i="21" s="1"/>
  <c r="CX102" i="21"/>
  <c r="DC102" i="21" s="1"/>
  <c r="CY101" i="21"/>
  <c r="DB101" i="21" s="1"/>
  <c r="CX101" i="21"/>
  <c r="DC101" i="21" s="1"/>
  <c r="CY100" i="21"/>
  <c r="DB100" i="21" s="1"/>
  <c r="CX100" i="21"/>
  <c r="DC100" i="21" s="1"/>
  <c r="CY99" i="21"/>
  <c r="CX99" i="21"/>
  <c r="CY98" i="21"/>
  <c r="DB98" i="21" s="1"/>
  <c r="DC98" i="21"/>
  <c r="CY97" i="21"/>
  <c r="DB97" i="21" s="1"/>
  <c r="DC97" i="21"/>
  <c r="CY96" i="21"/>
  <c r="DB96" i="21" s="1"/>
  <c r="DC96" i="21"/>
  <c r="CY95" i="21"/>
  <c r="DB95" i="21" s="1"/>
  <c r="DC95" i="21"/>
  <c r="CY94" i="21"/>
  <c r="DB94" i="21" s="1"/>
  <c r="DC94" i="21"/>
  <c r="CY93" i="21"/>
  <c r="DB93" i="21" s="1"/>
  <c r="DC93" i="21"/>
  <c r="CY92" i="21"/>
  <c r="DB92" i="21" s="1"/>
  <c r="CY91" i="21"/>
  <c r="DB91" i="21" s="1"/>
  <c r="CY90" i="21"/>
  <c r="DB90" i="21" s="1"/>
  <c r="CY89" i="21"/>
  <c r="DB89" i="21" s="1"/>
  <c r="DC89" i="21"/>
  <c r="CY88" i="21"/>
  <c r="DB88" i="21" s="1"/>
  <c r="CY87" i="21"/>
  <c r="DB87" i="21" s="1"/>
  <c r="CY86" i="21"/>
  <c r="DB86" i="21" s="1"/>
  <c r="DC86" i="21"/>
  <c r="CY85" i="21"/>
  <c r="DB85" i="21" s="1"/>
  <c r="DC85" i="21"/>
  <c r="CY84" i="21"/>
  <c r="DB84" i="21" s="1"/>
  <c r="DC84" i="21"/>
  <c r="CY83" i="21"/>
  <c r="DB83" i="21" s="1"/>
  <c r="DC83" i="21"/>
  <c r="CY82" i="21"/>
  <c r="DB82" i="21" s="1"/>
  <c r="DC82" i="21"/>
  <c r="CY81" i="21"/>
  <c r="DB81" i="21" s="1"/>
  <c r="DC81" i="21"/>
  <c r="CY80" i="21"/>
  <c r="DB80" i="21" s="1"/>
  <c r="CY79" i="21"/>
  <c r="DB79" i="21" s="1"/>
  <c r="CY78" i="21"/>
  <c r="DB78" i="21" s="1"/>
  <c r="CY77" i="21"/>
  <c r="DB77" i="21" s="1"/>
  <c r="DC77" i="21"/>
  <c r="CY76" i="21"/>
  <c r="DB76" i="21" s="1"/>
  <c r="CY75" i="21"/>
  <c r="DB75" i="21" s="1"/>
  <c r="CY74" i="21"/>
  <c r="DB74" i="21" s="1"/>
  <c r="DC74" i="21"/>
  <c r="CY73" i="21"/>
  <c r="DB73" i="21" s="1"/>
  <c r="DC73" i="21"/>
  <c r="CY72" i="21"/>
  <c r="DB72" i="21" s="1"/>
  <c r="DC72" i="21"/>
  <c r="CY71" i="21"/>
  <c r="DB71" i="21" s="1"/>
  <c r="DC71" i="21"/>
  <c r="CY70" i="21"/>
  <c r="DB70" i="21" s="1"/>
  <c r="DC70" i="21"/>
  <c r="CY69" i="21"/>
  <c r="DB69" i="21" s="1"/>
  <c r="DC69" i="21"/>
  <c r="CY68" i="21"/>
  <c r="DB68" i="21" s="1"/>
  <c r="CY67" i="21"/>
  <c r="DB67" i="21" s="1"/>
  <c r="CY66" i="21"/>
  <c r="DB66" i="21" s="1"/>
  <c r="CY65" i="21"/>
  <c r="DB65" i="21" s="1"/>
  <c r="DC65" i="21"/>
  <c r="CY64" i="21"/>
  <c r="DB64" i="21" s="1"/>
  <c r="CY63" i="21"/>
  <c r="DB63" i="21" s="1"/>
  <c r="CY62" i="21"/>
  <c r="DB62" i="21" s="1"/>
  <c r="DC62" i="21"/>
  <c r="CY61" i="21"/>
  <c r="DB61" i="21" s="1"/>
  <c r="DC61" i="21"/>
  <c r="CY60" i="21"/>
  <c r="DB60" i="21" s="1"/>
  <c r="DC60" i="21"/>
  <c r="CY59" i="21"/>
  <c r="DB59" i="21" s="1"/>
  <c r="DC59" i="21"/>
  <c r="CY58" i="21"/>
  <c r="DB58" i="21" s="1"/>
  <c r="DC58" i="21"/>
  <c r="CY57" i="21"/>
  <c r="DB57" i="21" s="1"/>
  <c r="DC57" i="21"/>
  <c r="CY56" i="21"/>
  <c r="DB56" i="21" s="1"/>
  <c r="CY55" i="21"/>
  <c r="DB55" i="21" s="1"/>
  <c r="CY54" i="21"/>
  <c r="DB54" i="21" s="1"/>
  <c r="CY53" i="21"/>
  <c r="DB53" i="21" s="1"/>
  <c r="DC53" i="21"/>
  <c r="CY52" i="21"/>
  <c r="DB52" i="21" s="1"/>
  <c r="CY51" i="21"/>
  <c r="DB51" i="21" s="1"/>
  <c r="CY50" i="21"/>
  <c r="DB50" i="21" s="1"/>
  <c r="DC50" i="21"/>
  <c r="CY49" i="21"/>
  <c r="DB49" i="21" s="1"/>
  <c r="DC49" i="21"/>
  <c r="CY48" i="21"/>
  <c r="DB48" i="21" s="1"/>
  <c r="DC48" i="21"/>
  <c r="CY47" i="21"/>
  <c r="DB47" i="21" s="1"/>
  <c r="DC47" i="21"/>
  <c r="CY46" i="21"/>
  <c r="DB46" i="21" s="1"/>
  <c r="DC46" i="21"/>
  <c r="CY45" i="21"/>
  <c r="DB45" i="21" s="1"/>
  <c r="DC45" i="21"/>
  <c r="CY44" i="21"/>
  <c r="DB44" i="21" s="1"/>
  <c r="CY43" i="21"/>
  <c r="DB43" i="21" s="1"/>
  <c r="CY42" i="21"/>
  <c r="DB42" i="21" s="1"/>
  <c r="CY41" i="21"/>
  <c r="DB41" i="21" s="1"/>
  <c r="DC41" i="21"/>
  <c r="CY40" i="21"/>
  <c r="DB40" i="21" s="1"/>
  <c r="CY39" i="21"/>
  <c r="DB39" i="21" s="1"/>
  <c r="CY38" i="21"/>
  <c r="DB38" i="21" s="1"/>
  <c r="DC38" i="21"/>
  <c r="CY37" i="21"/>
  <c r="DB37" i="21" s="1"/>
  <c r="DC37" i="21"/>
  <c r="CY36" i="21"/>
  <c r="DB36" i="21" s="1"/>
  <c r="DC36" i="21"/>
  <c r="CY35" i="21"/>
  <c r="DB35" i="21" s="1"/>
  <c r="DC35" i="21"/>
  <c r="CY34" i="21"/>
  <c r="DB34" i="21" s="1"/>
  <c r="DC34" i="21"/>
  <c r="CY33" i="21"/>
  <c r="DB33" i="21" s="1"/>
  <c r="DC33" i="21"/>
  <c r="CY32" i="21"/>
  <c r="DB32" i="21" s="1"/>
  <c r="CY31" i="21"/>
  <c r="DB31" i="21" s="1"/>
  <c r="CY30" i="21"/>
  <c r="DB30" i="21" s="1"/>
  <c r="CY29" i="21"/>
  <c r="DB29" i="21" s="1"/>
  <c r="DC29" i="21"/>
  <c r="CY28" i="21"/>
  <c r="DB28" i="21" s="1"/>
  <c r="CY27" i="21"/>
  <c r="DB27" i="21" s="1"/>
  <c r="CY26" i="21"/>
  <c r="DB26" i="21" s="1"/>
  <c r="DC26" i="21"/>
  <c r="CY25" i="21"/>
  <c r="DB25" i="21" s="1"/>
  <c r="DC25" i="21"/>
  <c r="CY24" i="21"/>
  <c r="DB24" i="21" s="1"/>
  <c r="DC24" i="21"/>
  <c r="CY23" i="21"/>
  <c r="DB23" i="21" s="1"/>
  <c r="DC23" i="21"/>
  <c r="CY22" i="21"/>
  <c r="DB22" i="21" s="1"/>
  <c r="DC22" i="21"/>
  <c r="CY21" i="21"/>
  <c r="DB21" i="21" s="1"/>
  <c r="DC21" i="21"/>
  <c r="CY20" i="21"/>
  <c r="DB20" i="21" s="1"/>
  <c r="CY19" i="21"/>
  <c r="DB19" i="21" s="1"/>
  <c r="CY18" i="21"/>
  <c r="DB18" i="21" s="1"/>
  <c r="CY17" i="21"/>
  <c r="DB17" i="21" s="1"/>
  <c r="DC17" i="21"/>
  <c r="CY16" i="21"/>
  <c r="DB16" i="21" s="1"/>
  <c r="CY15" i="21"/>
  <c r="DB15" i="21" s="1"/>
  <c r="CY14" i="21"/>
  <c r="DB14" i="21" s="1"/>
  <c r="DC14" i="21"/>
  <c r="CY13" i="21"/>
  <c r="DB13" i="21" s="1"/>
  <c r="DC13" i="21"/>
  <c r="CY12" i="21"/>
  <c r="DB12" i="21" s="1"/>
  <c r="DC12" i="21"/>
  <c r="CY11" i="21"/>
  <c r="DB11" i="21" s="1"/>
  <c r="DC11" i="21"/>
  <c r="CY10" i="21"/>
  <c r="DB10" i="21" s="1"/>
  <c r="DC10" i="21"/>
  <c r="CY9" i="21"/>
  <c r="DB9" i="21" s="1"/>
  <c r="DC9" i="21"/>
  <c r="CY8" i="21"/>
  <c r="DB8" i="21" s="1"/>
  <c r="CY7" i="21"/>
  <c r="DB7" i="21" s="1"/>
  <c r="CY6" i="21"/>
  <c r="DB6" i="21" s="1"/>
  <c r="CY5" i="21"/>
  <c r="DB5" i="21" s="1"/>
  <c r="CY4" i="21"/>
  <c r="DB4" i="21" s="1"/>
  <c r="DC4" i="21"/>
  <c r="CY3" i="21"/>
  <c r="DB3" i="21" s="1"/>
  <c r="CY2" i="21"/>
  <c r="DC2" i="21"/>
  <c r="B83" i="5"/>
  <c r="D83" i="5" s="1"/>
  <c r="E83" i="5"/>
  <c r="E82" i="5"/>
  <c r="E81" i="5"/>
  <c r="E80" i="5"/>
  <c r="E79" i="5"/>
  <c r="D79" i="5"/>
  <c r="D82" i="5"/>
  <c r="D81" i="5"/>
  <c r="D80" i="5"/>
  <c r="C82" i="5"/>
  <c r="C81" i="5"/>
  <c r="C80" i="5"/>
  <c r="C79" i="5"/>
  <c r="BT29" i="27" l="1"/>
  <c r="BT42" i="27"/>
  <c r="BT46" i="27" s="1"/>
  <c r="BT25" i="27"/>
  <c r="BS42" i="27"/>
  <c r="BS25" i="27"/>
  <c r="BS29" i="27"/>
  <c r="C83" i="5"/>
  <c r="DT4" i="21"/>
  <c r="DO20" i="21"/>
  <c r="DO4" i="21"/>
  <c r="DU6" i="21"/>
  <c r="DO11" i="21"/>
  <c r="DO25" i="21" s="1"/>
  <c r="DO32" i="21" s="1"/>
  <c r="DT11" i="21"/>
  <c r="DO13" i="21"/>
  <c r="DT6" i="21"/>
  <c r="DT13" i="21"/>
  <c r="DT20" i="21"/>
  <c r="DT27" i="21" s="1"/>
  <c r="DT34" i="21" s="1"/>
  <c r="DO6" i="21"/>
  <c r="DU27" i="21"/>
  <c r="DU34" i="21" s="1"/>
  <c r="DE152" i="21"/>
  <c r="DD152" i="21"/>
  <c r="DG152" i="21"/>
  <c r="DF152" i="21"/>
  <c r="DE116" i="21"/>
  <c r="DD116" i="21"/>
  <c r="DG116" i="21"/>
  <c r="DF116" i="21"/>
  <c r="DG191" i="21"/>
  <c r="DE191" i="21"/>
  <c r="DF191" i="21"/>
  <c r="DD191" i="21"/>
  <c r="DG181" i="21"/>
  <c r="DF181" i="21"/>
  <c r="DE181" i="21"/>
  <c r="DD181" i="21"/>
  <c r="DD186" i="21"/>
  <c r="DE186" i="21"/>
  <c r="DG202" i="21"/>
  <c r="DF202" i="21"/>
  <c r="DD113" i="21"/>
  <c r="DD161" i="21"/>
  <c r="DE197" i="21"/>
  <c r="DF131" i="21"/>
  <c r="DF155" i="21"/>
  <c r="DE121" i="21"/>
  <c r="DG121" i="21"/>
  <c r="DD121" i="21"/>
  <c r="DD126" i="21"/>
  <c r="DE126" i="21"/>
  <c r="DD100" i="21"/>
  <c r="DE161" i="21"/>
  <c r="DG131" i="21"/>
  <c r="DF143" i="21"/>
  <c r="DE101" i="21"/>
  <c r="DD101" i="21"/>
  <c r="DG112" i="21"/>
  <c r="DF112" i="21"/>
  <c r="DF151" i="21"/>
  <c r="DE151" i="21"/>
  <c r="DG151" i="21"/>
  <c r="DD151" i="21"/>
  <c r="DD162" i="21"/>
  <c r="DE162" i="21"/>
  <c r="DE167" i="21"/>
  <c r="DF162" i="21"/>
  <c r="DE140" i="21"/>
  <c r="DD140" i="21"/>
  <c r="DG140" i="21"/>
  <c r="DF140" i="21"/>
  <c r="DE146" i="21"/>
  <c r="DD146" i="21"/>
  <c r="DG146" i="21"/>
  <c r="DF146" i="21"/>
  <c r="DG157" i="21"/>
  <c r="DF157" i="21"/>
  <c r="DE157" i="21"/>
  <c r="DD157" i="21"/>
  <c r="DG162" i="21"/>
  <c r="DD141" i="21"/>
  <c r="DG141" i="21"/>
  <c r="DF141" i="21"/>
  <c r="DE206" i="21"/>
  <c r="DD206" i="21"/>
  <c r="DG206" i="21"/>
  <c r="DF206" i="21"/>
  <c r="DF113" i="21"/>
  <c r="DD147" i="21"/>
  <c r="DG147" i="21"/>
  <c r="DF147" i="21"/>
  <c r="DD201" i="21"/>
  <c r="DG201" i="21"/>
  <c r="DF201" i="21"/>
  <c r="DD112" i="21"/>
  <c r="DG113" i="21"/>
  <c r="DF167" i="21"/>
  <c r="DG136" i="21"/>
  <c r="DF136" i="21"/>
  <c r="DG142" i="21"/>
  <c r="DF142" i="21"/>
  <c r="DG196" i="21"/>
  <c r="DF196" i="21"/>
  <c r="DE112" i="21"/>
  <c r="DF101" i="21"/>
  <c r="DP21" i="21" s="1"/>
  <c r="DG167" i="21"/>
  <c r="DE132" i="21"/>
  <c r="DD132" i="21"/>
  <c r="DE176" i="21"/>
  <c r="DD176" i="21"/>
  <c r="DG176" i="21"/>
  <c r="DF176" i="21"/>
  <c r="DE187" i="21"/>
  <c r="DG187" i="21"/>
  <c r="DF187" i="21"/>
  <c r="DD187" i="21"/>
  <c r="DD192" i="21"/>
  <c r="DE192" i="21"/>
  <c r="DD117" i="21"/>
  <c r="DD142" i="21"/>
  <c r="DE201" i="21"/>
  <c r="DF132" i="21"/>
  <c r="DG143" i="21"/>
  <c r="DF156" i="21"/>
  <c r="DG105" i="21"/>
  <c r="DF105" i="21"/>
  <c r="DF127" i="21"/>
  <c r="DE127" i="21"/>
  <c r="DG127" i="21"/>
  <c r="DD127" i="21"/>
  <c r="DG166" i="21"/>
  <c r="DF166" i="21"/>
  <c r="DD171" i="21"/>
  <c r="DG171" i="21"/>
  <c r="DF171" i="21"/>
  <c r="DE182" i="21"/>
  <c r="DD182" i="21"/>
  <c r="DG182" i="21"/>
  <c r="DF182" i="21"/>
  <c r="DE142" i="21"/>
  <c r="DD166" i="21"/>
  <c r="DD202" i="21"/>
  <c r="DF106" i="21"/>
  <c r="DG132" i="21"/>
  <c r="DG111" i="21"/>
  <c r="DF111" i="21"/>
  <c r="DE122" i="21"/>
  <c r="DD122" i="21"/>
  <c r="DG122" i="21"/>
  <c r="DF122" i="21"/>
  <c r="DD177" i="21"/>
  <c r="DG177" i="21"/>
  <c r="DF177" i="21"/>
  <c r="DE188" i="21"/>
  <c r="DD188" i="21"/>
  <c r="DG188" i="21"/>
  <c r="DF188" i="21"/>
  <c r="DD143" i="21"/>
  <c r="DE202" i="21"/>
  <c r="DG106" i="21"/>
  <c r="DF161" i="21"/>
  <c r="DF186" i="21"/>
  <c r="DG117" i="21"/>
  <c r="DF117" i="21"/>
  <c r="DE128" i="21"/>
  <c r="DD128" i="21"/>
  <c r="DG128" i="21"/>
  <c r="DF128" i="21"/>
  <c r="DD156" i="21"/>
  <c r="DE156" i="21"/>
  <c r="DG172" i="21"/>
  <c r="DF172" i="21"/>
  <c r="DG186" i="21"/>
  <c r="DD108" i="21"/>
  <c r="DE198" i="21"/>
  <c r="DF110" i="21"/>
  <c r="DF158" i="21"/>
  <c r="DF170" i="21"/>
  <c r="DF200" i="21"/>
  <c r="DD133" i="21"/>
  <c r="DD139" i="21"/>
  <c r="DD163" i="21"/>
  <c r="DD175" i="21"/>
  <c r="DD193" i="21"/>
  <c r="DD205" i="21"/>
  <c r="DG103" i="21"/>
  <c r="DU21" i="21" s="1"/>
  <c r="DG110" i="21"/>
  <c r="DG134" i="21"/>
  <c r="DG158" i="21"/>
  <c r="DG164" i="21"/>
  <c r="DG170" i="21"/>
  <c r="DG194" i="21"/>
  <c r="DG200" i="21"/>
  <c r="DG133" i="21"/>
  <c r="DG163" i="21"/>
  <c r="DE168" i="21"/>
  <c r="DD102" i="21"/>
  <c r="DD109" i="21"/>
  <c r="DD115" i="21"/>
  <c r="DF104" i="21"/>
  <c r="DF123" i="21"/>
  <c r="DF129" i="21"/>
  <c r="DF153" i="21"/>
  <c r="DF159" i="21"/>
  <c r="DF165" i="21"/>
  <c r="DF183" i="21"/>
  <c r="DF189" i="21"/>
  <c r="DE102" i="21"/>
  <c r="DD134" i="21"/>
  <c r="DD158" i="21"/>
  <c r="DD164" i="21"/>
  <c r="DD170" i="21"/>
  <c r="DD194" i="21"/>
  <c r="DD200" i="21"/>
  <c r="DG123" i="21"/>
  <c r="DG129" i="21"/>
  <c r="DG135" i="21"/>
  <c r="DG153" i="21"/>
  <c r="DG159" i="21"/>
  <c r="DG165" i="21"/>
  <c r="DG183" i="21"/>
  <c r="DG189" i="21"/>
  <c r="DG195" i="21"/>
  <c r="DF130" i="21"/>
  <c r="DD110" i="21"/>
  <c r="DF118" i="21"/>
  <c r="DF124" i="21"/>
  <c r="DF148" i="21"/>
  <c r="DF160" i="21"/>
  <c r="DF178" i="21"/>
  <c r="DF184" i="21"/>
  <c r="DF190" i="21"/>
  <c r="DF107" i="21"/>
  <c r="DE107" i="21"/>
  <c r="DD107" i="21"/>
  <c r="DG107" i="21"/>
  <c r="DT25" i="21"/>
  <c r="DT32" i="21" s="1"/>
  <c r="DJ42" i="21"/>
  <c r="DJ56" i="21" s="1"/>
  <c r="DL64" i="21"/>
  <c r="DK41" i="21"/>
  <c r="DK55" i="21" s="1"/>
  <c r="DL40" i="21"/>
  <c r="DL54" i="21" s="1"/>
  <c r="DJ64" i="21"/>
  <c r="DL42" i="21"/>
  <c r="DL56" i="21" s="1"/>
  <c r="DK40" i="21"/>
  <c r="DK54" i="21" s="1"/>
  <c r="DK64" i="21"/>
  <c r="DJ40" i="21"/>
  <c r="DJ54" i="21" s="1"/>
  <c r="DJ41" i="21"/>
  <c r="DJ55" i="21" s="1"/>
  <c r="DL41" i="21"/>
  <c r="DL55" i="21" s="1"/>
  <c r="DJ39" i="21"/>
  <c r="DJ53" i="21" s="1"/>
  <c r="DK42" i="21"/>
  <c r="DK56" i="21" s="1"/>
  <c r="DK13" i="21"/>
  <c r="DK20" i="21"/>
  <c r="DL20" i="21"/>
  <c r="DJ20" i="21"/>
  <c r="DJ13" i="21"/>
  <c r="DL13" i="21"/>
  <c r="DB2" i="21"/>
  <c r="DC99" i="21"/>
  <c r="DB99" i="21"/>
  <c r="DC7" i="21"/>
  <c r="DK6" i="21"/>
  <c r="BS46" i="27" l="1"/>
  <c r="BS47" i="27" s="1"/>
  <c r="BS44" i="27"/>
  <c r="BT47" i="27"/>
  <c r="BT44" i="27"/>
  <c r="DO27" i="21"/>
  <c r="DO34" i="21" s="1"/>
  <c r="DP14" i="21"/>
  <c r="DO21" i="21"/>
  <c r="DO7" i="21"/>
  <c r="DO19" i="21"/>
  <c r="DO14" i="21"/>
  <c r="DO12" i="21"/>
  <c r="DO5" i="21"/>
  <c r="DU7" i="21"/>
  <c r="DT14" i="21"/>
  <c r="DT12" i="21"/>
  <c r="DT7" i="21"/>
  <c r="DT5" i="21"/>
  <c r="DT21" i="21"/>
  <c r="DT19" i="21"/>
  <c r="DU5" i="21"/>
  <c r="DU19" i="21"/>
  <c r="DU14" i="21"/>
  <c r="DU12" i="21"/>
  <c r="DP5" i="21"/>
  <c r="DP19" i="21"/>
  <c r="DP12" i="21"/>
  <c r="DP26" i="21" s="1"/>
  <c r="DP33" i="21" s="1"/>
  <c r="DP7" i="21"/>
  <c r="DP28" i="21" s="1"/>
  <c r="DP35" i="21" s="1"/>
  <c r="DL6" i="21"/>
  <c r="DL63" i="21"/>
  <c r="DJ63" i="21"/>
  <c r="DK7" i="21"/>
  <c r="DK65" i="21"/>
  <c r="DK63" i="21"/>
  <c r="DK27" i="21"/>
  <c r="DK34" i="21" s="1"/>
  <c r="DL65" i="21"/>
  <c r="DJ65" i="21"/>
  <c r="DJ62" i="21"/>
  <c r="DK19" i="21"/>
  <c r="DK21" i="21"/>
  <c r="DK14" i="21"/>
  <c r="DK12" i="21"/>
  <c r="DJ11" i="21"/>
  <c r="DJ14" i="21"/>
  <c r="DJ18" i="21"/>
  <c r="DL14" i="21"/>
  <c r="DL21" i="21"/>
  <c r="DJ21" i="21"/>
  <c r="DL27" i="21"/>
  <c r="DL34" i="21" s="1"/>
  <c r="DL7" i="21"/>
  <c r="DJ27" i="21"/>
  <c r="DJ34" i="21" s="1"/>
  <c r="DL19" i="21"/>
  <c r="DJ12" i="21"/>
  <c r="DL12" i="21"/>
  <c r="DJ19" i="21"/>
  <c r="DK5" i="21"/>
  <c r="DO26" i="21" l="1"/>
  <c r="DO33" i="21" s="1"/>
  <c r="DU28" i="21"/>
  <c r="DU35" i="21" s="1"/>
  <c r="DO28" i="21"/>
  <c r="DO35" i="21" s="1"/>
  <c r="DT28" i="21"/>
  <c r="DT35" i="21" s="1"/>
  <c r="DU26" i="21"/>
  <c r="DU33" i="21" s="1"/>
  <c r="DT26" i="21"/>
  <c r="DT33" i="21" s="1"/>
  <c r="DL5" i="21"/>
  <c r="DL26" i="21" s="1"/>
  <c r="DL33" i="21" s="1"/>
  <c r="DK28" i="21"/>
  <c r="DK35" i="21" s="1"/>
  <c r="DJ25" i="21"/>
  <c r="DJ32" i="21" s="1"/>
  <c r="DL28" i="21"/>
  <c r="DL35" i="21" s="1"/>
  <c r="DJ28" i="21"/>
  <c r="DJ35" i="21" s="1"/>
  <c r="DJ26" i="21"/>
  <c r="DJ33" i="21" s="1"/>
  <c r="DK26" i="21"/>
  <c r="DK33" i="2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<sst xmlns="http://schemas.openxmlformats.org/spreadsheetml/2006/main" count="17866" uniqueCount="1079">
  <si>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</si>
  <si>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</si>
  <si>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</si>
  <si>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</si>
  <si>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</si>
  <si>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</si>
  <si>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</si>
  <si>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</si>
  <si>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</si>
  <si>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</si>
  <si>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</si>
  <si>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</si>
  <si>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</si>
  <si>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</si>
  <si>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</si>
  <si>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</si>
  <si>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</si>
  <si>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consent</t>
  </si>
  <si>
    <t>alcohol</t>
  </si>
  <si>
    <t>drink_cb</t>
  </si>
  <si>
    <t>drink_mass</t>
  </si>
  <si>
    <t>drink_nab</t>
  </si>
  <si>
    <t>naboption_bar</t>
  </si>
  <si>
    <t>naboption_rest</t>
  </si>
  <si>
    <t>naboption_home</t>
  </si>
  <si>
    <t>nab_why_7</t>
  </si>
  <si>
    <t>nab_why_8</t>
  </si>
  <si>
    <t>nab_why_9</t>
  </si>
  <si>
    <t>nab_why_10</t>
  </si>
  <si>
    <t>nab_why_11</t>
  </si>
  <si>
    <t>nab_why_11_TEXT</t>
  </si>
  <si>
    <t>eatout</t>
  </si>
  <si>
    <t>wtp_1</t>
  </si>
  <si>
    <t>sure_1</t>
  </si>
  <si>
    <t>overall_1</t>
  </si>
  <si>
    <t>appear_1</t>
  </si>
  <si>
    <t>aroma_1</t>
  </si>
  <si>
    <t>flavor_1</t>
  </si>
  <si>
    <t>body_1</t>
  </si>
  <si>
    <t>bitter_1</t>
  </si>
  <si>
    <t>hops_1</t>
  </si>
  <si>
    <t>wtp_2b_1st</t>
  </si>
  <si>
    <t>sure_2b_1st</t>
  </si>
  <si>
    <t>overall_2</t>
  </si>
  <si>
    <t>appear_2</t>
  </si>
  <si>
    <t>aroma_2</t>
  </si>
  <si>
    <t>flavor_2</t>
  </si>
  <si>
    <t>body_2</t>
  </si>
  <si>
    <t>bitter_2</t>
  </si>
  <si>
    <t>hops_2</t>
  </si>
  <si>
    <t>wtp_2b_2nd</t>
  </si>
  <si>
    <t>sure_2b_2nd</t>
  </si>
  <si>
    <t>wtp_3b_843</t>
  </si>
  <si>
    <t>wtp_3b_315</t>
  </si>
  <si>
    <t>sure_3b</t>
  </si>
  <si>
    <t>nutr1_3b_1</t>
  </si>
  <si>
    <t>nutr1_3b_2</t>
  </si>
  <si>
    <t>nutr1_3b_3</t>
  </si>
  <si>
    <t>nutr1_3b_8</t>
  </si>
  <si>
    <t>nutr1_3b_4</t>
  </si>
  <si>
    <t>nutr1_3b_5</t>
  </si>
  <si>
    <t>nutr1_3b_6</t>
  </si>
  <si>
    <t>nutr1_3b_7</t>
  </si>
  <si>
    <t>nutr1_3b_9</t>
  </si>
  <si>
    <t>nutr2_3b</t>
  </si>
  <si>
    <t>wtp_2a_843</t>
  </si>
  <si>
    <t>wtp_2a_315</t>
  </si>
  <si>
    <t>sure_2a</t>
  </si>
  <si>
    <t>nutr1_2a_1</t>
  </si>
  <si>
    <t>nutr1_2a_2</t>
  </si>
  <si>
    <t>nutr1_2a_3</t>
  </si>
  <si>
    <t>nutr1_2a_8</t>
  </si>
  <si>
    <t>nutr1_2a_4</t>
  </si>
  <si>
    <t>nutr1_2a_5</t>
  </si>
  <si>
    <t>nutr1_2a_6</t>
  </si>
  <si>
    <t>nutr1_2a_7</t>
  </si>
  <si>
    <t>nutr1_2a_9</t>
  </si>
  <si>
    <t>nutr2_2a</t>
  </si>
  <si>
    <t>wtp_3a_843</t>
  </si>
  <si>
    <t>sure_3a_843</t>
  </si>
  <si>
    <t>wtp_3a_315</t>
  </si>
  <si>
    <t>sure_3a_315</t>
  </si>
  <si>
    <t>gender</t>
  </si>
  <si>
    <t>gender_5_TEXT</t>
  </si>
  <si>
    <t>age</t>
  </si>
  <si>
    <t>race_1</t>
  </si>
  <si>
    <t>race_7</t>
  </si>
  <si>
    <t>race_2</t>
  </si>
  <si>
    <t>race_4</t>
  </si>
  <si>
    <t>race_10</t>
  </si>
  <si>
    <t>race_5</t>
  </si>
  <si>
    <t>race_8</t>
  </si>
  <si>
    <t>race_6</t>
  </si>
  <si>
    <t>race_-999</t>
  </si>
  <si>
    <t>race_6_TEXT</t>
  </si>
  <si>
    <t>edu</t>
  </si>
  <si>
    <t>income</t>
  </si>
  <si>
    <t>randomizer</t>
  </si>
  <si>
    <t>How often do you consume... - Craft Beer (Pale ale, India Pale Ales-IPAs, Porter, etc.)</t>
  </si>
  <si>
    <t>How often do you consume... - Mass-produced Beer (Budweiser, Miller, etc.)</t>
  </si>
  <si>
    <t>How often do you consume... - Non-alcoholic Beer (Athletic, Heineken 0.0, etc.)</t>
  </si>
  <si>
    <t>How important is it for you to have a non-alcoholic option when drinking beer... - At a bar (without a meal)</t>
  </si>
  <si>
    <t>How important is it for you to have a non-alcoholic option when drinking beer... - At a restaurant (with a meal)</t>
  </si>
  <si>
    <t>How important is it for you to have a non-alcoholic option when drinking beer... - At home</t>
  </si>
  <si>
    <t>In a typical week, how many meals do you eat away from home (e.g., in restaurants, cafes, etc.)?   For your reference, there are 21 meals in a week.</t>
  </si>
  <si>
    <t>Imagine you're at Cork &amp; Craft Restaurant at the Student Union and see a non-alcoholic beer on the menu. What is the most you are willing to pay for a 16-oz serving of non-alcoholic beer? For your reference, a typical 16-oz glass of alcoholic craft beer costs $6.00 at Cork &amp; Craft.</t>
  </si>
  <si>
    <t>How sure are you that you would pay [QID61-ChoiceGroup-SelectedChoices]?</t>
  </si>
  <si>
    <t>Please rate how much you liked or disliked the non-alcoholic beer you just tasted based on the following characteristics: - Overall liking</t>
  </si>
  <si>
    <t>Please rate how much you liked or disliked the non-alcoholic beer you just tasted based on the following characteristics: - Appearance</t>
  </si>
  <si>
    <t>Please rate how much you liked or disliked the non-alcoholic beer you just tasted based on the following characteristics: - Aroma</t>
  </si>
  <si>
    <t>Please rate how much you liked or disliked the non-alcoholic beer you just tasted based on the following characteristics: - Flavor</t>
  </si>
  <si>
    <t>Please rate how much you liked or disliked the non-alcoholic beer you just tasted based on the following characteristics: - Body (how thick/thin the sample feels in your mouth)</t>
  </si>
  <si>
    <t>How would you rate the bitterness of this beer?</t>
  </si>
  <si>
    <t>How would you rate the hops flavor (e.g. floral, fruity or citrus flavors) of this beer?</t>
  </si>
  <si>
    <t>Imagine you're at Cork &amp; Craft Restaurant  at the Student Union and see the non-alcoholic beer you just tasted on the menu. What is the most you are willing to pay for a 16-oz serving of this non-alcoholic beer? For your reference, a typical 16-oz glass of alcoholic craft beer costs $6.00 at Cork &amp; Craft.</t>
  </si>
  <si>
    <t>How sure are you that you would pay [QID24-ChoiceGroup-SelectedChoices]?</t>
  </si>
  <si>
    <t>How would you rate the hops flavor  (e.g. floral, fruit or citrus flavors)  of this beer?</t>
  </si>
  <si>
    <t>How sure are you that you would pay [QID83-ChoiceGroup-SelectedChoices]?</t>
  </si>
  <si>
    <t>How sure are you with your previous answers?</t>
  </si>
  <si>
    <t>What is your highest level of education you have completed?</t>
  </si>
  <si>
    <t>What is your annual household income (in dollars)?</t>
  </si>
  <si>
    <t>150.135.165.86</t>
  </si>
  <si>
    <t/>
  </si>
  <si>
    <t>anonymous</t>
  </si>
  <si>
    <t>EN</t>
  </si>
  <si>
    <t>1</t>
  </si>
  <si>
    <t>150.135.165.66</t>
  </si>
  <si>
    <t>150.135.165.14</t>
  </si>
  <si>
    <t>R_18V7VKq6jEJjngN</t>
  </si>
  <si>
    <t>qr</t>
  </si>
  <si>
    <t>172.59.200.53</t>
  </si>
  <si>
    <t>R_6PdPUQo9PzpgQOu</t>
  </si>
  <si>
    <t>174.234.80.80</t>
  </si>
  <si>
    <t>R_6OcWVSZHPCEAbB0</t>
  </si>
  <si>
    <t>174.201.243.176</t>
  </si>
  <si>
    <t>R_5ylPkgyWT4A7tGX</t>
  </si>
  <si>
    <t>150.135.165.101</t>
  </si>
  <si>
    <t>R_5wa8xTKs5PfaY6m</t>
  </si>
  <si>
    <t>108.147.173.41</t>
  </si>
  <si>
    <t>R_7ClH5oxj5New2AR</t>
  </si>
  <si>
    <t>174.200.202.84</t>
  </si>
  <si>
    <t>R_1K162Zsiu0uFKpQ</t>
  </si>
  <si>
    <t>150.135.165.1</t>
  </si>
  <si>
    <t>R_3OpixbsQowaKRce</t>
  </si>
  <si>
    <t>108.147.193.61</t>
  </si>
  <si>
    <t>R_6kZkusa76Jvg1qQ</t>
  </si>
  <si>
    <t>150.135.165.25</t>
  </si>
  <si>
    <t>R_5QKLVc0yG1EiJwc</t>
  </si>
  <si>
    <t>174.205.99.194</t>
  </si>
  <si>
    <t>R_3tx9RI3loHOgVuq</t>
  </si>
  <si>
    <t>172.59.200.209</t>
  </si>
  <si>
    <t>R_3JLT0wKoRfWeUEj</t>
  </si>
  <si>
    <t>174.205.97.207</t>
  </si>
  <si>
    <t>R_64pWbEm4eR3KR95</t>
  </si>
  <si>
    <t>174.205.33.3</t>
  </si>
  <si>
    <t>R_7DU9D3XknWmos7a</t>
  </si>
  <si>
    <t>172.59.201.130</t>
  </si>
  <si>
    <t>R_5Fep3IW7otOkCbK</t>
  </si>
  <si>
    <t>172.225.108.246</t>
  </si>
  <si>
    <t>R_7XjvmgffqhrrXEx</t>
  </si>
  <si>
    <t>172.59.201.110</t>
  </si>
  <si>
    <t>R_5qf0OPboccf1faI</t>
  </si>
  <si>
    <t>150.135.165.17</t>
  </si>
  <si>
    <t>R_6wUvdCTsXF88HoR</t>
  </si>
  <si>
    <t>172.59.203.77</t>
  </si>
  <si>
    <t>R_3PAyMY4cs2BgjD6</t>
  </si>
  <si>
    <t>107.127.21.104</t>
  </si>
  <si>
    <t>R_132qD8F1AefQEvP</t>
  </si>
  <si>
    <t>172.59.203.67</t>
  </si>
  <si>
    <t>R_7pmBODa55aKv3CV</t>
  </si>
  <si>
    <t>174.205.97.206</t>
  </si>
  <si>
    <t>R_5dZ7ofW9NYUFPrb</t>
  </si>
  <si>
    <t>150.135.165.38</t>
  </si>
  <si>
    <t>R_7a5O3Ee8oWZLZap</t>
  </si>
  <si>
    <t>174.234.81.145</t>
  </si>
  <si>
    <t>R_6qvGnCOXLPNmQu9</t>
  </si>
  <si>
    <t>172.226.3.119</t>
  </si>
  <si>
    <t>R_3h0zAeuXOsy6SXK</t>
  </si>
  <si>
    <t>172.59.202.197</t>
  </si>
  <si>
    <t>R_3EmfzbjkBa0ZveX</t>
  </si>
  <si>
    <t>174.200.207.172</t>
  </si>
  <si>
    <t>R_3GZGPrhnLKrP1vl</t>
  </si>
  <si>
    <t>174.205.96.166</t>
  </si>
  <si>
    <t>R_3qdCjF6tSSjcrUv</t>
  </si>
  <si>
    <t>172.226.3.117</t>
  </si>
  <si>
    <t>R_3llDnNzlXVHMLDj</t>
  </si>
  <si>
    <t>172.59.200.185</t>
  </si>
  <si>
    <t>R_5ihqkTToVlsLHJn</t>
  </si>
  <si>
    <t>172.59.201.112</t>
  </si>
  <si>
    <t>R_1fkRgbEz3ejUr40</t>
  </si>
  <si>
    <t>172.226.3.44</t>
  </si>
  <si>
    <t>R_3u58evvqQpKwtKV</t>
  </si>
  <si>
    <t>174.201.222.200</t>
  </si>
  <si>
    <t>R_3OBH97lSNkRNLGx</t>
  </si>
  <si>
    <t>146.75.175.79</t>
  </si>
  <si>
    <t>R_1CKE1nf9Hmsk6B1</t>
  </si>
  <si>
    <t>174.205.165.119</t>
  </si>
  <si>
    <t>R_5DR30Z8KJJoJpeh</t>
  </si>
  <si>
    <t>79.110.54.12</t>
  </si>
  <si>
    <t>R_5EXthOoHoiFye1T</t>
  </si>
  <si>
    <t>150.135.165.18</t>
  </si>
  <si>
    <t>R_5uqAykHQx4CQx1i</t>
  </si>
  <si>
    <t>172.225.80.178</t>
  </si>
  <si>
    <t>R_5TCFqqSBzXttUkh</t>
  </si>
  <si>
    <t>174.201.208.234</t>
  </si>
  <si>
    <t>R_66CtcKR11VQs8XD</t>
  </si>
  <si>
    <t>174.205.99.162</t>
  </si>
  <si>
    <t>R_6nucWHhBqCB3GLB</t>
  </si>
  <si>
    <t>174.205.101.57</t>
  </si>
  <si>
    <t>R_75MB7fKtI6DkEbn</t>
  </si>
  <si>
    <t>107.127.21.103</t>
  </si>
  <si>
    <t>R_1BWL6xRUMLnL9m1</t>
  </si>
  <si>
    <t>R_11YrNP7Z1fxx0In</t>
  </si>
  <si>
    <t>174.201.235.27</t>
  </si>
  <si>
    <t>R_71oDag62cR7KS8s</t>
  </si>
  <si>
    <t>107.127.21.58</t>
  </si>
  <si>
    <t>R_7JCQslI73TPgd48</t>
  </si>
  <si>
    <t>174.205.32.173</t>
  </si>
  <si>
    <t>R_7Vkv9wwzAn93m8N</t>
  </si>
  <si>
    <t>198.60.145.34</t>
  </si>
  <si>
    <t>R_69nPXC7gYmtV7d7</t>
  </si>
  <si>
    <t>174.234.91.230</t>
  </si>
  <si>
    <t>R_71bFza36fhUkPzY</t>
  </si>
  <si>
    <t>174.205.102.95</t>
  </si>
  <si>
    <t>R_63m1ajIkWGcZT2C</t>
  </si>
  <si>
    <t>172.56.183.44</t>
  </si>
  <si>
    <t>R_5Y2ZzGg1WH0ZeYp</t>
  </si>
  <si>
    <t>150.135.165.2</t>
  </si>
  <si>
    <t>R_14wRb9BwIKZhUlN</t>
  </si>
  <si>
    <t>172.59.203.111</t>
  </si>
  <si>
    <t>R_66lKLb6KMq0henF</t>
  </si>
  <si>
    <t>174.234.65.118</t>
  </si>
  <si>
    <t>R_7pniqBkYUy7HE5X</t>
  </si>
  <si>
    <t>107.127.21.76</t>
  </si>
  <si>
    <t>R_3NWhS9n9BNJDRm5</t>
  </si>
  <si>
    <t>108.147.172.118</t>
  </si>
  <si>
    <t>R_5y8VAbywKHuJMg4</t>
  </si>
  <si>
    <t>172.226.186.60</t>
  </si>
  <si>
    <t>R_3ANEyeQ7SB6KoUJ</t>
  </si>
  <si>
    <t>174.201.210.250</t>
  </si>
  <si>
    <t>R_12yAdjQ8bCF8fca</t>
  </si>
  <si>
    <t>150.135.165.112</t>
  </si>
  <si>
    <t>R_1Ff71sEnzQrsVcR</t>
  </si>
  <si>
    <t>108.147.172.120</t>
  </si>
  <si>
    <t>R_6kpkHuHdrwAistH</t>
  </si>
  <si>
    <t>R_5OJgL2OKh3zbhRE</t>
  </si>
  <si>
    <t>150.135.165.95</t>
  </si>
  <si>
    <t>R_6qxBGdBsJ42Mxl8</t>
  </si>
  <si>
    <t>172.59.203.42</t>
  </si>
  <si>
    <t>R_1fYRbCnvAJuso6B</t>
  </si>
  <si>
    <t>172.59.201.232</t>
  </si>
  <si>
    <t>R_3Hodg9biMliAn18</t>
  </si>
  <si>
    <t>150.135.165.48</t>
  </si>
  <si>
    <t>174.205.99.163</t>
  </si>
  <si>
    <t>R_5MiIsfD7EbzDofO</t>
  </si>
  <si>
    <t>174.201.232.37</t>
  </si>
  <si>
    <t>R_6mKnNSgVT9rEuzB</t>
  </si>
  <si>
    <t>R_3x7JZGGM8TyTzqN</t>
  </si>
  <si>
    <t>107.127.21.60</t>
  </si>
  <si>
    <t>R_3pmYiv9ccF9fCPo</t>
  </si>
  <si>
    <t>174.201.221.168</t>
  </si>
  <si>
    <t>R_3pDqbyWnVwYB11u</t>
  </si>
  <si>
    <t>172.59.203.187</t>
  </si>
  <si>
    <t>150.135.165.7</t>
  </si>
  <si>
    <t>R_5kTBn4EMuEp3Znj</t>
  </si>
  <si>
    <t>174.201.233.44</t>
  </si>
  <si>
    <t>R_32QNgweO9ipIk6L</t>
  </si>
  <si>
    <t>150.135.165.109</t>
  </si>
  <si>
    <t>R_7GimjZBE6nl0zp7</t>
  </si>
  <si>
    <t>108.147.172.115</t>
  </si>
  <si>
    <t>R_58TPzx6M602NQI1</t>
  </si>
  <si>
    <t>150.135.165.6</t>
  </si>
  <si>
    <t>R_648cKC8jS4M1lRT</t>
  </si>
  <si>
    <t>146.75.203.1</t>
  </si>
  <si>
    <t>R_62RZwdXYH52VcsC</t>
  </si>
  <si>
    <t>174.201.223.8</t>
  </si>
  <si>
    <t>R_7upJfJS1wHpiPRD</t>
  </si>
  <si>
    <t>174.234.67.9</t>
  </si>
  <si>
    <t>R_5lbllYTBKsfBsva</t>
  </si>
  <si>
    <t>172.225.89.53</t>
  </si>
  <si>
    <t>R_7EaQsoF1A696ZqS</t>
  </si>
  <si>
    <t>R_5ih308GlvDi9X9I</t>
  </si>
  <si>
    <t>174.201.216.228</t>
  </si>
  <si>
    <t>R_5DTSnTT1BRVOwZH</t>
  </si>
  <si>
    <t>104.28.85.158</t>
  </si>
  <si>
    <t>R_314GSrfG5RV9p9n</t>
  </si>
  <si>
    <t>172.226.3.41</t>
  </si>
  <si>
    <t>R_3ln3BzSARmcbdD3</t>
  </si>
  <si>
    <t>150.135.165.29</t>
  </si>
  <si>
    <t>R_1nfoBcaZaFTGmAY</t>
  </si>
  <si>
    <t>150.135.165.9</t>
  </si>
  <si>
    <t>R_5OTuvwubMTi3eBI</t>
  </si>
  <si>
    <t>R_7oLzu0waf4jl7Bf</t>
  </si>
  <si>
    <t>172.225.89.34</t>
  </si>
  <si>
    <t>R_3RgrdGrAY3ojX2q</t>
  </si>
  <si>
    <t>174.200.207.160</t>
  </si>
  <si>
    <t>R_7SrCfg0KGQ3Haa9</t>
  </si>
  <si>
    <t>174.234.195.236</t>
  </si>
  <si>
    <t>R_5Mb8MSMGriUzrmg</t>
  </si>
  <si>
    <t>174.200.203.15</t>
  </si>
  <si>
    <t>R_31Zr5R4wwh051zD</t>
  </si>
  <si>
    <t>104.28.85.157</t>
  </si>
  <si>
    <t>R_57g3WnbPXd64KB0</t>
  </si>
  <si>
    <t>172.59.200.184</t>
  </si>
  <si>
    <t xml:space="preserve">Chicano </t>
  </si>
  <si>
    <t>R_6WMd1R88xaXvAdw</t>
  </si>
  <si>
    <t>172.224.247.84</t>
  </si>
  <si>
    <t>R_10Pe424Xc1B0BKF</t>
  </si>
  <si>
    <t>108.147.172.10</t>
  </si>
  <si>
    <t>R_7CjoIx1ebih9IVr</t>
  </si>
  <si>
    <t>174.200.197.79</t>
  </si>
  <si>
    <t>R_5gAqSKT3l2hj0Wn</t>
  </si>
  <si>
    <t>174.205.32.234</t>
  </si>
  <si>
    <t>R_6ENcE5KoxxpwM8C</t>
  </si>
  <si>
    <t>150.135.165.54</t>
  </si>
  <si>
    <t>R_5Kp9zovGPL0nbuw</t>
  </si>
  <si>
    <t>107.127.21.91</t>
  </si>
  <si>
    <t>R_1w65wnJfPTs6NW0</t>
  </si>
  <si>
    <t>174.234.87.216</t>
  </si>
  <si>
    <t>R_3JVg4elDRqXOI38</t>
  </si>
  <si>
    <t>150.135.165.121</t>
  </si>
  <si>
    <t>R_75bhtEgbu1MbffH</t>
  </si>
  <si>
    <t>R_3KpGRVfJ3BFPQTD</t>
  </si>
  <si>
    <t>174.205.99.75</t>
  </si>
  <si>
    <t>R_3eyD2XgNcMOGw1l</t>
  </si>
  <si>
    <t>172.56.208.211</t>
  </si>
  <si>
    <t>R_5M5WHymLgwAmMYt</t>
  </si>
  <si>
    <t>150.135.165.111</t>
  </si>
  <si>
    <t>R_668xYIPdvnJochH</t>
  </si>
  <si>
    <t>174.221.20.102</t>
  </si>
  <si>
    <t>R_1wbhzL0eyCnrud4</t>
  </si>
  <si>
    <t>150.135.165.3</t>
  </si>
  <si>
    <t>R_3KjdVNEhR7BfS32</t>
  </si>
  <si>
    <t>R_6P4VVJ2htbjLiG5</t>
  </si>
  <si>
    <t>R_666iXf2jX6HoaoF</t>
  </si>
  <si>
    <t>107.123.1.32</t>
  </si>
  <si>
    <t>R_7MuLsptTrImtdMn</t>
  </si>
  <si>
    <t>172.226.3.81</t>
  </si>
  <si>
    <t>R_7d5piP9OuBcptMm</t>
  </si>
  <si>
    <t>172.224.247.83</t>
  </si>
  <si>
    <t>R_6USezVNKhz2hIe5</t>
  </si>
  <si>
    <t>172.59.200.253</t>
  </si>
  <si>
    <t>R_7EsUpjibeyYuWr8</t>
  </si>
  <si>
    <t>R_3s51ea8CVlYnZpm</t>
  </si>
  <si>
    <t>R_71SFfvNcFPLWWuN</t>
  </si>
  <si>
    <t>107.116.170.96</t>
  </si>
  <si>
    <t>R_6ffcbhJDVSb3jKa</t>
  </si>
  <si>
    <t>150.135.165.115</t>
  </si>
  <si>
    <t>R_3d64ivJDxcZh3WE</t>
  </si>
  <si>
    <t>174.205.35.50</t>
  </si>
  <si>
    <t>R_6ijKayveBwjScYu</t>
  </si>
  <si>
    <t>172.225.108.247</t>
  </si>
  <si>
    <t>R_50eIbNsQBLVncDn</t>
  </si>
  <si>
    <t>104.28.85.156</t>
  </si>
  <si>
    <t>R_76YTRS9z8lbovWV</t>
  </si>
  <si>
    <t>174.201.216.33</t>
  </si>
  <si>
    <t>R_71H6VGuvHYe7JV7</t>
  </si>
  <si>
    <t>172.59.203.135</t>
  </si>
  <si>
    <t>R_3F4pDjdImmC3wP7</t>
  </si>
  <si>
    <t>174.205.100.119</t>
  </si>
  <si>
    <t>R_717VXsH2pCgqhUd</t>
  </si>
  <si>
    <t>174.205.36.240</t>
  </si>
  <si>
    <t>R_5X8QzXuCiz3DdWV</t>
  </si>
  <si>
    <t>R_5DZOyiafnjFC3HX</t>
  </si>
  <si>
    <t>172.224.242.58</t>
  </si>
  <si>
    <t>R_30tq345UttQNHLH</t>
  </si>
  <si>
    <t>174.205.32.202</t>
  </si>
  <si>
    <t>R_5fpA4UGo43P11br</t>
  </si>
  <si>
    <t>104.28.32.93</t>
  </si>
  <si>
    <t>R_1252S6StR9iLYlM</t>
  </si>
  <si>
    <t>172.226.3.51</t>
  </si>
  <si>
    <t>R_1KrML6iNgni2TI8</t>
  </si>
  <si>
    <t>146.75.175.15</t>
  </si>
  <si>
    <t>R_1JqaiK7AISlO7qF</t>
  </si>
  <si>
    <t>146.75.203.14</t>
  </si>
  <si>
    <t>R_3DXChXFCemBa0rY</t>
  </si>
  <si>
    <t>R_6EeV8tdnuczoMbT</t>
  </si>
  <si>
    <t>192.145.119.123</t>
  </si>
  <si>
    <t>R_6whGfhCPlTcQ4gq</t>
  </si>
  <si>
    <t>174.205.34.217</t>
  </si>
  <si>
    <t>R_1hYHiZ3EvKgDUzO</t>
  </si>
  <si>
    <t>150.135.165.52</t>
  </si>
  <si>
    <t>R_7rM4LSzqEhXcHjg</t>
  </si>
  <si>
    <t>174.234.84.249</t>
  </si>
  <si>
    <t>R_71sbTvqoDLM5Zkr</t>
  </si>
  <si>
    <t>150.135.165.103</t>
  </si>
  <si>
    <t>R_3s4WnJa2Xknqigz</t>
  </si>
  <si>
    <t>150.135.165.55</t>
  </si>
  <si>
    <t>How sure are you that you would pay [QID112-ChoiceGroup-SelectedChoices]?</t>
  </si>
  <si>
    <t>Imagine you're at Cork &amp; Craft Restaurant at the Student Union and see the non-alcoholic beer you just tasted on the menu with the nutrition information below.
What is the most you are willing to pay for the 16-oz non-alcoholic beer you just tasted? For your reference, a typical 16-oz glass of alcoholic craft beer costs $6.00 at Cork &amp; Craft.</t>
  </si>
  <si>
    <t>How sure are you that you would pay [QID108-ChoiceGroup-SelectedChoices]?</t>
  </si>
  <si>
    <t>Please consider the following nutrition facts for the two non-alcoholic beers (315 and 843) and Budweiser lager (alcoholic beer). 
Imagine you are at Cork &amp; Craft Restaurant at the Student Union and see these beers on the menu. Considering the nutritional information above, what is the most you are willing to pay for a 16-oz serving of each non-alcoholic beer? For your reference, a typical 16-oz glass of alcoholic craft beer costs $6.00 at Cork &amp; Craft. Select one option for each product. - Non-alcoholic beer 843</t>
  </si>
  <si>
    <t>Please consider the following nutrition facts for the two non-alcoholic beers (315 and 843) and Budweiser lager (alcoholic beer). 
Imagine you are at Cork &amp; Craft Restaurant at the Student Union and see these beers on the menu. Considering the nutritional information above, what is the most you are willing to pay for a 16-oz serving of each non-alcoholic beer? For your reference, a typical 16-oz glass of alcoholic craft beer costs $6.00 at Cork &amp; Craft. Select one option for each product. - Non-alcoholic beer 315</t>
  </si>
  <si>
    <t>Please consider the following nutrition facts for the two non-alcoholic beers (315 and 843) you tasted and Budweiser lager (alcoholic beer). 
Imagine you are at Cork &amp; Craft Restaurant at the Student Union and see these beers on the menu. Considering the nutritional information above, what is the most you are willing to pay for a 16-oz serving of each non-alcoholic beer? For your reference, a typical 16-oz glass of alcoholic craft beer costs $6.00 at Cork &amp; Craft. Select one option for each product. - Non-alcoholic beer 843</t>
  </si>
  <si>
    <t>Please consider the following nutrition facts for the two non-alcoholic beers (315 and 843) you tasted and Budweiser lager (alcoholic beer). 
Imagine you are at Cork &amp; Craft Restaurant at the Student Union and see these beers on the menu. Considering the nutritional information above, what is the most you are willing to pay for a 16-oz serving of each non-alcoholic beer? For your reference, a typical 16-oz glass of alcoholic craft beer costs $6.00 at Cork &amp; Craft. Select one option for each product. - Non-alcoholic beer 315</t>
  </si>
  <si>
    <t>First 123 and 456 datasets from Fall 2025 are merged.</t>
  </si>
  <si>
    <t>These variables did not "match" and need to be rearranged:</t>
  </si>
  <si>
    <t>from 123 data</t>
  </si>
  <si>
    <t>from 456 data</t>
  </si>
  <si>
    <t>Steps in merging the four datasets</t>
  </si>
  <si>
    <t>Step 1:</t>
  </si>
  <si>
    <t>They are matched based on the variable names which are color coded above</t>
  </si>
  <si>
    <t>In 123 data, possible values for randomizer are: 1, 3</t>
  </si>
  <si>
    <t>In 456 data, possible values for randomizer are: 2, 4</t>
  </si>
  <si>
    <t>Two new columns are created:</t>
  </si>
  <si>
    <t>yearmonth</t>
  </si>
  <si>
    <t>202511 indicates when the data were collected</t>
  </si>
  <si>
    <t>takes values of 123 or 456 indicating the dataset</t>
  </si>
  <si>
    <t>booth</t>
  </si>
  <si>
    <t>The 8 columns in 456 data are interchanged so they match the position of 123 columns</t>
  </si>
  <si>
    <t xml:space="preserve">Then the 123 and 456 are stacked with 456 below 123. </t>
  </si>
  <si>
    <t>dropped those that did not consent (three of them)</t>
  </si>
  <si>
    <t>progress &lt;90 deleted (18 of them)</t>
  </si>
  <si>
    <t>150.135.165.58</t>
  </si>
  <si>
    <t>150.135.165.94</t>
  </si>
  <si>
    <t>R_7GP8kXhMYUHt0U9</t>
  </si>
  <si>
    <t>172.226.3.120</t>
  </si>
  <si>
    <t>R_1lZKddwOysE7QLn</t>
  </si>
  <si>
    <t>Mixed white south asian</t>
  </si>
  <si>
    <t>150.135.165.97</t>
  </si>
  <si>
    <t>R_5wi7VQBOEUbbFSf</t>
  </si>
  <si>
    <t>150.135.165.67</t>
  </si>
  <si>
    <t>R_5GP2pQmGDdWsBrF</t>
  </si>
  <si>
    <t>150.135.165.68</t>
  </si>
  <si>
    <t>R_3qm2s9e7HDPRRHX</t>
  </si>
  <si>
    <t>150.135.165.28</t>
  </si>
  <si>
    <t>R_3oGt47TxhEnXl6w</t>
  </si>
  <si>
    <t>150.135.165.107</t>
  </si>
  <si>
    <t>R_5rOKlsVxthDAhdT</t>
  </si>
  <si>
    <t>150.135.165.10</t>
  </si>
  <si>
    <t>R_3IwMIlwXr2ZLRL3</t>
  </si>
  <si>
    <t>R_6wpih52JOP2Arg9</t>
  </si>
  <si>
    <t>150.135.165.80</t>
  </si>
  <si>
    <t>R_7bQpFApEVGGed4d</t>
  </si>
  <si>
    <t>206.207.225.114</t>
  </si>
  <si>
    <t>R_1dLwVKwggFZV2xo</t>
  </si>
  <si>
    <t>107.77.229.181</t>
  </si>
  <si>
    <t>R_5eePzvbWKBxDW81</t>
  </si>
  <si>
    <t>206.207.225.113</t>
  </si>
  <si>
    <t>R_5NP0FUf6PA4dRnt</t>
  </si>
  <si>
    <t>150.135.165.27</t>
  </si>
  <si>
    <t>R_7GlXb1Yj70qO4Ti</t>
  </si>
  <si>
    <t>209.184.110.76</t>
  </si>
  <si>
    <t>R_7RWTFlQDUgdpGYk</t>
  </si>
  <si>
    <t>R_5l9wmjufKnPT0I8</t>
  </si>
  <si>
    <t>174.218.18.147</t>
  </si>
  <si>
    <t>R_5KpFUG1Dm03ti8h</t>
  </si>
  <si>
    <t>R_6PB5MpAyFOKBIh4</t>
  </si>
  <si>
    <t>R_1cwNtobfZxGem1H</t>
  </si>
  <si>
    <t>R_5dX2JtK0Wmeeqrd</t>
  </si>
  <si>
    <t>R_5js7yMgD0UCjTUw</t>
  </si>
  <si>
    <t>172.225.108.157</t>
  </si>
  <si>
    <t>R_1BylIVUxvoFRssN</t>
  </si>
  <si>
    <t>174.205.33.239</t>
  </si>
  <si>
    <t>R_3sn6dDK24WtGhZn</t>
  </si>
  <si>
    <t>174.205.104.88</t>
  </si>
  <si>
    <t>R_1ToQCYqgoWmGmpq</t>
  </si>
  <si>
    <t>150.135.165.51</t>
  </si>
  <si>
    <t>R_3VaNz8CR29oaEwX</t>
  </si>
  <si>
    <t>150.135.165.26</t>
  </si>
  <si>
    <t>R_517dXHHzzD6fomH</t>
  </si>
  <si>
    <t>R_7dRIIf3unhnFCG5</t>
  </si>
  <si>
    <t>150.135.165.24</t>
  </si>
  <si>
    <t>R_6GPpSUesyMrhP6u</t>
  </si>
  <si>
    <t>174.205.33.195</t>
  </si>
  <si>
    <t>R_74PhKm40Zlb9Lov</t>
  </si>
  <si>
    <t>150.135.165.62</t>
  </si>
  <si>
    <t>R_6c0jcpHcoRwxksx</t>
  </si>
  <si>
    <t>150.135.165.99</t>
  </si>
  <si>
    <t>R_6IBsBcuoL1HWnAU</t>
  </si>
  <si>
    <t>104.28.85.234</t>
  </si>
  <si>
    <t>R_6wbqoDfKWU7pnxf</t>
  </si>
  <si>
    <t>150.135.165.126</t>
  </si>
  <si>
    <t>R_7MN9t67izCPRusJ</t>
  </si>
  <si>
    <t>150.135.165.15</t>
  </si>
  <si>
    <t>R_1Lv7bJJHp45AUV1</t>
  </si>
  <si>
    <t>174.205.60.69</t>
  </si>
  <si>
    <t>R_6gTlodqmG1MCVwW</t>
  </si>
  <si>
    <t>R_3v5v9vAvNcX0ohz</t>
  </si>
  <si>
    <t>174.205.37.200</t>
  </si>
  <si>
    <t>R_3hzGH3rNkajoP2T</t>
  </si>
  <si>
    <t>R_33y8rpCXglfmfis</t>
  </si>
  <si>
    <t>108.147.172.94</t>
  </si>
  <si>
    <t>R_1JIwRmH0JrgtTvY</t>
  </si>
  <si>
    <t>217.148.140.135</t>
  </si>
  <si>
    <t>R_5zPlwC3uvQxJCvJ</t>
  </si>
  <si>
    <t>108.147.173.34</t>
  </si>
  <si>
    <t>R_5004GPhvnSQpxoS</t>
  </si>
  <si>
    <t>Italian</t>
  </si>
  <si>
    <t>150.135.165.127</t>
  </si>
  <si>
    <t>R_7P7TiqKWvkhGxe5</t>
  </si>
  <si>
    <t>172.226.2.21</t>
  </si>
  <si>
    <t>R_5SJlfepcR9xAkyw</t>
  </si>
  <si>
    <t>174.205.101.88</t>
  </si>
  <si>
    <t>R_5d6xKxbAfLqtFkI</t>
  </si>
  <si>
    <t>R_6rwQFU52cgluHGV</t>
  </si>
  <si>
    <t>174.201.208.105</t>
  </si>
  <si>
    <t>R_6rQXbQd1gRMcqYx</t>
  </si>
  <si>
    <t>108.147.173.13</t>
  </si>
  <si>
    <t>R_39aj0GInTN9l743</t>
  </si>
  <si>
    <t>150.135.165.117</t>
  </si>
  <si>
    <t>R_1GqBV9nRulaL2ky</t>
  </si>
  <si>
    <t>174.201.209.80</t>
  </si>
  <si>
    <t>R_5gGgzS9OjymoPft</t>
  </si>
  <si>
    <t>150.135.165.57</t>
  </si>
  <si>
    <t>R_7chqRmttYvIzatr</t>
  </si>
  <si>
    <t>R_1I3HdoOBgGpOouO</t>
  </si>
  <si>
    <t>150.135.165.119</t>
  </si>
  <si>
    <t>R_5P6xNRApWIDwbw1</t>
  </si>
  <si>
    <t>172.225.108.130</t>
  </si>
  <si>
    <t>R_7NHvD7euynyIT1n</t>
  </si>
  <si>
    <t>R_6qjduKVEKPx0Tv3</t>
  </si>
  <si>
    <t>172.226.3.60</t>
  </si>
  <si>
    <t>R_1ozo236NlSh60kc</t>
  </si>
  <si>
    <t>R_594Slx6S8er34il</t>
  </si>
  <si>
    <t>206.207.225.112</t>
  </si>
  <si>
    <t>R_5GKybabtzOl6wOg</t>
  </si>
  <si>
    <t>R_6sc1dN0ubko08a4</t>
  </si>
  <si>
    <t>174.201.217.55</t>
  </si>
  <si>
    <t>R_3rU1b28hSQAvlRc</t>
  </si>
  <si>
    <t>150.135.165.113</t>
  </si>
  <si>
    <t>R_3dEY0rON8jV9Aoc</t>
  </si>
  <si>
    <t>108.147.173.12</t>
  </si>
  <si>
    <t>R_3JPeHIqI24fUEqI</t>
  </si>
  <si>
    <t>174.205.97.177</t>
  </si>
  <si>
    <t>R_57fjPUuF1Uy6ixF</t>
  </si>
  <si>
    <t>174.205.17.126</t>
  </si>
  <si>
    <t>R_5na7Qy8tKS6NqcF</t>
  </si>
  <si>
    <t>150.135.165.96</t>
  </si>
  <si>
    <t>R_6SRy5babevsNc09</t>
  </si>
  <si>
    <t>150.135.165.35</t>
  </si>
  <si>
    <t>R_7CO3IBoelBq7s4y</t>
  </si>
  <si>
    <t>R_3AW1hPYA7caNhgl</t>
  </si>
  <si>
    <t>150.135.165.84</t>
  </si>
  <si>
    <t>R_169d9PYkPVv0m5O</t>
  </si>
  <si>
    <t>206.207.225.128</t>
  </si>
  <si>
    <t>R_3kp56TuKxfS0DSx</t>
  </si>
  <si>
    <t>172.226.3.19</t>
  </si>
  <si>
    <t>R_7HzxRHWiRpuUQFW</t>
  </si>
  <si>
    <t>108.147.172.89</t>
  </si>
  <si>
    <t>R_6tf1puARJXuEPFH</t>
  </si>
  <si>
    <t>150.135.165.73</t>
  </si>
  <si>
    <t>R_1PfXZ3svr1o29EJ</t>
  </si>
  <si>
    <t>172.59.203.65</t>
  </si>
  <si>
    <t>R_5372XRGkRJTo9Wh</t>
  </si>
  <si>
    <t>107.127.21.10</t>
  </si>
  <si>
    <t>R_6lzV5JKsuOYvt8L</t>
  </si>
  <si>
    <t>R_3HB86vV4HEQxpKa</t>
  </si>
  <si>
    <t>206.207.225.127</t>
  </si>
  <si>
    <t>R_7YLpVKlEhYWvTqQ</t>
  </si>
  <si>
    <t>174.234.68.217</t>
  </si>
  <si>
    <t>R_75blQE4rnpEGRmp</t>
  </si>
  <si>
    <t>R_1E0sub2n8Gbi4sg</t>
  </si>
  <si>
    <t>150.135.165.50</t>
  </si>
  <si>
    <t>R_5wBGOyPcdNWyXuS</t>
  </si>
  <si>
    <t>166.194.147.37</t>
  </si>
  <si>
    <t>R_52yHhvVjmnocODF</t>
  </si>
  <si>
    <t>R_7HLeXa09cEMdd4c</t>
  </si>
  <si>
    <t>R_1jakTiJUirneiWt</t>
  </si>
  <si>
    <t>174.234.74.187</t>
  </si>
  <si>
    <t>R_6TDni3P2n3e2Cs1</t>
  </si>
  <si>
    <t>150.135.165.19</t>
  </si>
  <si>
    <t>R_3OTSbJBabYGJsHE</t>
  </si>
  <si>
    <t>R_6GBpyCsp4cls0QM</t>
  </si>
  <si>
    <t>R_7MkoBo0QCZRfeM1</t>
  </si>
  <si>
    <t>R_6R9AjCLGo1qZP7h</t>
  </si>
  <si>
    <t>150.135.165.118</t>
  </si>
  <si>
    <t>R_1flnDiWhVT63kDb</t>
  </si>
  <si>
    <t>R_3NQd3j2ImvIQYxT</t>
  </si>
  <si>
    <t>150.135.165.47</t>
  </si>
  <si>
    <t>R_7HIkZnKp2GmIvNu</t>
  </si>
  <si>
    <t>150.135.165.49</t>
  </si>
  <si>
    <t>R_3GOqfwsJSDHiRep</t>
  </si>
  <si>
    <t>150.135.165.33</t>
  </si>
  <si>
    <t>R_6Mkp5BneW54UsrT</t>
  </si>
  <si>
    <t>107.127.21.75</t>
  </si>
  <si>
    <t>R_3NOiSpWfHxRLD8d</t>
  </si>
  <si>
    <t>172.59.202.45</t>
  </si>
  <si>
    <t>R_5i9P9kaehhzspfr</t>
  </si>
  <si>
    <t>174.205.97.45</t>
  </si>
  <si>
    <t>R_5KW6yXqKJu2kXAE</t>
  </si>
  <si>
    <t>R_77eNUqsILchQuh2</t>
  </si>
  <si>
    <t>174.205.100.229</t>
  </si>
  <si>
    <t>R_62gQWV13i6Xp0iL</t>
  </si>
  <si>
    <t>150.135.165.61</t>
  </si>
  <si>
    <t>R_61AdPkyAfcmMcnQ</t>
  </si>
  <si>
    <t>R_3JtFXKM086H937H</t>
  </si>
  <si>
    <t>107.127.21.14</t>
  </si>
  <si>
    <t>R_1h6jqhhF8wZWRac</t>
  </si>
  <si>
    <t>174.205.33.20</t>
  </si>
  <si>
    <t>R_3Qu3hPXBEEkC1rh</t>
  </si>
  <si>
    <t>172.59.203.38</t>
  </si>
  <si>
    <t>R_3bZXA0MJZ6DXzqx</t>
  </si>
  <si>
    <t>R_3m9UmHIEqqxmoNw</t>
  </si>
  <si>
    <t>150.135.165.41</t>
  </si>
  <si>
    <t>R_7r1B2Ev1Ft9SVow</t>
  </si>
  <si>
    <t>172.224.242.46</t>
  </si>
  <si>
    <t>R_7ClxQV3TpBu9DBv</t>
  </si>
  <si>
    <t>150.135.165.39</t>
  </si>
  <si>
    <t>R_6pFOwETYLrTG5Bp</t>
  </si>
  <si>
    <t>206.207.225.116</t>
  </si>
  <si>
    <t>R_3HvnUxlxvZ34f6N</t>
  </si>
  <si>
    <t>R_7bW3CcMVJs0SAmt</t>
  </si>
  <si>
    <t>150.135.165.32</t>
  </si>
  <si>
    <t>R_6NvM2lfrXV7iwF3</t>
  </si>
  <si>
    <t xml:space="preserve">TO DO: Drop donot conset, progress &lt;90 from spring 2025 </t>
  </si>
  <si>
    <t>TO DO: Drop initial test participants from fall 2025</t>
  </si>
  <si>
    <t>consent_Name</t>
  </si>
  <si>
    <t>consent_Size</t>
  </si>
  <si>
    <t>consent_Type</t>
  </si>
  <si>
    <t>sure_2a_315</t>
  </si>
  <si>
    <t>wtp_2b</t>
  </si>
  <si>
    <t>sure_2b</t>
  </si>
  <si>
    <t>Nutr_Lab_First</t>
  </si>
  <si>
    <t>150.135.165.16</t>
  </si>
  <si>
    <t>150.135.165.77</t>
  </si>
  <si>
    <t>150.135.165.93</t>
  </si>
  <si>
    <t>172.56.81.31</t>
  </si>
  <si>
    <t>R_1O16np6YX4HzcJJ</t>
  </si>
  <si>
    <t>F_3Hud3v72VPMh3mg</t>
  </si>
  <si>
    <t>209.52.88.153</t>
  </si>
  <si>
    <t>R_1PXF5f4OIrtWSh0</t>
  </si>
  <si>
    <t>F_31bLk2yh0dbhIkv</t>
  </si>
  <si>
    <t>209.52.88.45</t>
  </si>
  <si>
    <t>R_3MANBFbWvQnkavL</t>
  </si>
  <si>
    <t>F_3CJbk4Bo9VO6xQE</t>
  </si>
  <si>
    <t>150.135.165.69</t>
  </si>
  <si>
    <t>R_13jP6ty9FRLfj4S</t>
  </si>
  <si>
    <t>F_OiYcNwrxeL8Yhzj</t>
  </si>
  <si>
    <t>174.234.73.149</t>
  </si>
  <si>
    <t>R_6imx0bN7Z49eSuz</t>
  </si>
  <si>
    <t>F_1Cac5kdWcouzHtB</t>
  </si>
  <si>
    <t>172.56.83.146</t>
  </si>
  <si>
    <t>R_33bCBqXLGdWG5s5</t>
  </si>
  <si>
    <t>F_3fCO4Xt57sBlwCn</t>
  </si>
  <si>
    <t>172.56.83.243</t>
  </si>
  <si>
    <t>R_1fj03jzhn7hCt3o</t>
  </si>
  <si>
    <t>F_3smN7bCvAyG72nH</t>
  </si>
  <si>
    <t>R_5dYAsQSJoMGrvur</t>
  </si>
  <si>
    <t>F_vYvHaBbDrQzyZ7b</t>
  </si>
  <si>
    <t>R_7QYtbHfg5XpcVTL</t>
  </si>
  <si>
    <t>F_QaXwrrAtHmnwZI5</t>
  </si>
  <si>
    <t>108.147.172.76</t>
  </si>
  <si>
    <t>R_1BxLUOm06Wg4CiU</t>
  </si>
  <si>
    <t>F_RRyFz3pNGa5sDUR</t>
  </si>
  <si>
    <t>R_625dY7Iim9GR2kk</t>
  </si>
  <si>
    <t>F_2YkW5P2h1WNHtlD</t>
  </si>
  <si>
    <t>172.56.87.33</t>
  </si>
  <si>
    <t>R_5TyDbgHw7UDxFhN</t>
  </si>
  <si>
    <t>F_3oYKs94P7PnQLJY</t>
  </si>
  <si>
    <t>174.200.196.183</t>
  </si>
  <si>
    <t>R_1mQrw9qhmB9kqaM</t>
  </si>
  <si>
    <t>F_2s53J3N5iQaDul8</t>
  </si>
  <si>
    <t>216.24.219.195</t>
  </si>
  <si>
    <t>R_5cfF9LgPYSIjg9X</t>
  </si>
  <si>
    <t>F_3gZ2yeQfN64vED3</t>
  </si>
  <si>
    <t>R_1NQxzWhP53tHjQc</t>
  </si>
  <si>
    <t>F_tYewh8qqoC7xaw1</t>
  </si>
  <si>
    <t>166.205.132.2</t>
  </si>
  <si>
    <t>R_5oTJHgXRlUCsJVn</t>
  </si>
  <si>
    <t>F_1jqWnhTN3V2E1Ks</t>
  </si>
  <si>
    <t>150.135.165.122</t>
  </si>
  <si>
    <t>R_516Stouvni486ad</t>
  </si>
  <si>
    <t>F_vDG87cXmxUdxltL</t>
  </si>
  <si>
    <t>174.205.48.62</t>
  </si>
  <si>
    <t>R_7f9cESGNiPqAb5f</t>
  </si>
  <si>
    <t>F_O3ZNQC0cgeFAtCV</t>
  </si>
  <si>
    <t>174.234.67.247</t>
  </si>
  <si>
    <t>R_3k0WcMpx6CJS25G</t>
  </si>
  <si>
    <t>F_yHF5nDxsFauzXAB</t>
  </si>
  <si>
    <t>172.56.86.200</t>
  </si>
  <si>
    <t>R_3Z5DEDWmkABwpyx</t>
  </si>
  <si>
    <t>F_3im64WhuLqAM1on</t>
  </si>
  <si>
    <t>174.234.66.224</t>
  </si>
  <si>
    <t>R_1trR9ndsP4D7cbQ</t>
  </si>
  <si>
    <t>F_3hEAXBrUtxXMTHG</t>
  </si>
  <si>
    <t>174.201.243.155</t>
  </si>
  <si>
    <t>R_54uwwFmhmNmlSxE</t>
  </si>
  <si>
    <t>F_2rje1C0Wh5hTcnm</t>
  </si>
  <si>
    <t>174.205.34.170</t>
  </si>
  <si>
    <t>R_3QHjbTkugP4hGiR</t>
  </si>
  <si>
    <t>F_0ePjKHa6HVlKp2N</t>
  </si>
  <si>
    <t>174.201.240.84</t>
  </si>
  <si>
    <t>R_32F4sMihsCIBWW8</t>
  </si>
  <si>
    <t>F_pGBNLmOKHiK5okx</t>
  </si>
  <si>
    <t>150.135.165.90</t>
  </si>
  <si>
    <t>R_7kdjLuTTPZ3DLy1</t>
  </si>
  <si>
    <t>F_2fKkyloMDJbMJXU</t>
  </si>
  <si>
    <t>174.205.101.87</t>
  </si>
  <si>
    <t>R_1vkxRgxGex8X2Df</t>
  </si>
  <si>
    <t>F_2xSrJ1gMamyn64J</t>
  </si>
  <si>
    <t>R_6eg09wnoBiDI3Fh</t>
  </si>
  <si>
    <t>F_2SpHBwuHNCl2NLo</t>
  </si>
  <si>
    <t>174.240.18.106</t>
  </si>
  <si>
    <t>R_37WhODpsUpGhwYa</t>
  </si>
  <si>
    <t>F_3CDG06J4L5f4kYO</t>
  </si>
  <si>
    <t>150.135.165.71</t>
  </si>
  <si>
    <t>R_3FdsZiBBdLpEZa1</t>
  </si>
  <si>
    <t>F_Qd2nHKlqDIfsrQZ</t>
  </si>
  <si>
    <t>R_63KWEBjcaennW93</t>
  </si>
  <si>
    <t>F_U9pzkdJn2mUjx7P</t>
  </si>
  <si>
    <t>R_5k4UF1BiJqnAp0B</t>
  </si>
  <si>
    <t>F_pouPLjAxOU3GzBL</t>
  </si>
  <si>
    <t>R_3Hj08xuDZ3bj6Gk</t>
  </si>
  <si>
    <t>F_2AMXZv2UrocfppB</t>
  </si>
  <si>
    <t>172.56.80.62</t>
  </si>
  <si>
    <t>R_17qUybgVV5OW39e</t>
  </si>
  <si>
    <t>F_DnMui9BbvqgSSid</t>
  </si>
  <si>
    <t>174.205.34.127</t>
  </si>
  <si>
    <t>R_1THsV8aEM4kXndD</t>
  </si>
  <si>
    <t>F_6kVE6thoGq0xpsJ</t>
  </si>
  <si>
    <t>R_5Btwt9BZFbjyrAR</t>
  </si>
  <si>
    <t>F_3kKXyOYU21C6QSa</t>
  </si>
  <si>
    <t>174.201.249.79</t>
  </si>
  <si>
    <t>R_3E4jPVU5bdyyalk</t>
  </si>
  <si>
    <t>F_vf9AEN0uz8LetfX</t>
  </si>
  <si>
    <t>174.205.227.28</t>
  </si>
  <si>
    <t>R_7uIZOLINYqgDQw7</t>
  </si>
  <si>
    <t>F_3QW5jLI3u6NwvLe</t>
  </si>
  <si>
    <t>174.205.164.128</t>
  </si>
  <si>
    <t>R_6VzIP05XjpJbsDn</t>
  </si>
  <si>
    <t>F_2s7onkpKWHRaiJD</t>
  </si>
  <si>
    <t>R_1hea4dmw8d86ZNf</t>
  </si>
  <si>
    <t>F_3ICwsFHKcHNwgQ9</t>
  </si>
  <si>
    <t>174.195.112.190</t>
  </si>
  <si>
    <t>R_3RrREMQ7zGG3ped</t>
  </si>
  <si>
    <t>F_24oevpTHsXwZwkn</t>
  </si>
  <si>
    <t>174.205.97.57</t>
  </si>
  <si>
    <t>R_3tDGYthLmAh3dRf</t>
  </si>
  <si>
    <t>F_2SBTmvjELdqlf5c</t>
  </si>
  <si>
    <t xml:space="preserve">Proud and white </t>
  </si>
  <si>
    <t>108.147.172.112</t>
  </si>
  <si>
    <t>R_3ojoC9vs17yhOQV</t>
  </si>
  <si>
    <t>F_1DOIjEn9HUx3Mox</t>
  </si>
  <si>
    <t>R_7nGCLF2CgCTvlnO</t>
  </si>
  <si>
    <t>F_9vrnKDQyry5c8ZX</t>
  </si>
  <si>
    <t>150.135.165.102</t>
  </si>
  <si>
    <t>R_55IdyEn0x78BwCB</t>
  </si>
  <si>
    <t>F_2Qg50Wye1BY0RBq</t>
  </si>
  <si>
    <t>174.195.114.65</t>
  </si>
  <si>
    <t>R_3QzOHb3dOpayM6A</t>
  </si>
  <si>
    <t>F_2TmC80VpyoRQl6T</t>
  </si>
  <si>
    <t>174.205.36.225</t>
  </si>
  <si>
    <t>R_7yguWQVbm76bLMd</t>
  </si>
  <si>
    <t>F_Z2lOYYqSe962aA1</t>
  </si>
  <si>
    <t>174.234.197.3</t>
  </si>
  <si>
    <t>R_7HBIqq7JIYPb6j7</t>
  </si>
  <si>
    <t>F_WlcIguwCdNcXIMV</t>
  </si>
  <si>
    <t>174.205.98.253</t>
  </si>
  <si>
    <t>R_5lMp5JmpGBIowb7</t>
  </si>
  <si>
    <t>F_AHFDBjnAZfqxcqt</t>
  </si>
  <si>
    <t>174.205.32.34</t>
  </si>
  <si>
    <t>R_5fiV7wowMPcRzVO</t>
  </si>
  <si>
    <t>F_24jUArU9Vh3iOWU</t>
  </si>
  <si>
    <t>174.205.99.153</t>
  </si>
  <si>
    <t>R_5d1hwQXYQ15YWsY</t>
  </si>
  <si>
    <t>F_2cbystlKfZ6VrGB</t>
  </si>
  <si>
    <t>174.205.37.29</t>
  </si>
  <si>
    <t>R_7dmxQkgLN1iqI9I</t>
  </si>
  <si>
    <t>F_1kN3FJ1V7UuH2LX</t>
  </si>
  <si>
    <t>R_1Qhp2EhKkbFn7tS</t>
  </si>
  <si>
    <t>F_2EgYDwh2sfCbEpI</t>
  </si>
  <si>
    <t>104.28.85.159</t>
  </si>
  <si>
    <t>R_3dQnN6NKuHyU7Ft</t>
  </si>
  <si>
    <t>F_bqOZBN30iOt7N3X</t>
  </si>
  <si>
    <t>174.205.97.153</t>
  </si>
  <si>
    <t>R_72o82eeipY4pDxn</t>
  </si>
  <si>
    <t>F_3dFfjBtMsSiAihi</t>
  </si>
  <si>
    <t>172.56.80.108</t>
  </si>
  <si>
    <t>R_1y4wreAP4tC81st</t>
  </si>
  <si>
    <t>F_2ANNfraEZc9DE6w</t>
  </si>
  <si>
    <t>174.234.93.224</t>
  </si>
  <si>
    <t>R_5GkNoQm0HfcdAuM</t>
  </si>
  <si>
    <t>F_2fqHuZ9ekrvAfsH</t>
  </si>
  <si>
    <t>R_6e1Yj7MNR7TbxBv</t>
  </si>
  <si>
    <t>F_1jjMvPvRWDyLbHn</t>
  </si>
  <si>
    <t>174.195.113.134</t>
  </si>
  <si>
    <t>R_5jwb9GadE7Ka3HG</t>
  </si>
  <si>
    <t>F_OvSxVhml3c97ntn</t>
  </si>
  <si>
    <t>108.147.172.69</t>
  </si>
  <si>
    <t>R_3knu5rqQlh5e9t9</t>
  </si>
  <si>
    <t>F_pMGg9CMUD1yNEQx</t>
  </si>
  <si>
    <t>172.56.83.81</t>
  </si>
  <si>
    <t>R_6p4HF780GjTA2tW</t>
  </si>
  <si>
    <t>F_cIr8nRI3NMXPDcR</t>
  </si>
  <si>
    <t>174.205.35.3</t>
  </si>
  <si>
    <t>R_6MDwdqOjkMREbSp</t>
  </si>
  <si>
    <t>F_3MSe1YbETJFvbh0</t>
  </si>
  <si>
    <t>174.205.99.224</t>
  </si>
  <si>
    <t>R_6dnF4c453GPord8</t>
  </si>
  <si>
    <t>F_Q9QKYJUJTzTJ6HD</t>
  </si>
  <si>
    <t>R_3JLTp0cilm7puKl</t>
  </si>
  <si>
    <t>F_31iS68h9TqxNZkh</t>
  </si>
  <si>
    <t>172.56.85.222</t>
  </si>
  <si>
    <t>R_7mzaxC0hfg8vKL7</t>
  </si>
  <si>
    <t>F_2ANCn6oqOfKr45J</t>
  </si>
  <si>
    <t>R_5S1gV20tLo6XQJo</t>
  </si>
  <si>
    <t>F_9t6jxgRQrV5L5Bf</t>
  </si>
  <si>
    <t>174.234.85.36</t>
  </si>
  <si>
    <t>R_3TNTP3maS6g6bD5</t>
  </si>
  <si>
    <t>F_uta7Io34wmeUAzD</t>
  </si>
  <si>
    <t>174.201.227.200</t>
  </si>
  <si>
    <t>R_1H6acxd7PUq8PWp</t>
  </si>
  <si>
    <t>F_29mDmHMoViUZ253</t>
  </si>
  <si>
    <t>104.28.85.163</t>
  </si>
  <si>
    <t>R_7jtw7U8H8iOH0Dn</t>
  </si>
  <si>
    <t>F_3PYMAhJqKkmj44G</t>
  </si>
  <si>
    <t>R_7B1nfi4pxf6g2Ix</t>
  </si>
  <si>
    <t>F_3dYYP7bmpBgKz4R</t>
  </si>
  <si>
    <t>108.147.172.104</t>
  </si>
  <si>
    <t>R_1BfvSm3w5WgLS93</t>
  </si>
  <si>
    <t>F_pAGH0bhkmKRVqsp</t>
  </si>
  <si>
    <t>50.116.162.146</t>
  </si>
  <si>
    <t>R_3GIhogcJQZ9cjLH</t>
  </si>
  <si>
    <t>F_UyABNLXpceVVseR</t>
  </si>
  <si>
    <t>172.226.3.31</t>
  </si>
  <si>
    <t>R_1MwymE2jZh6zE09</t>
  </si>
  <si>
    <t>F_6SDE9bDBQCB9m1P</t>
  </si>
  <si>
    <t>R_7lhQlbePCx3GAo3</t>
  </si>
  <si>
    <t>F_cOzdgMJAVs61VDz</t>
  </si>
  <si>
    <t>174.205.34.212</t>
  </si>
  <si>
    <t>R_7cAykMU6M2q23Nq</t>
  </si>
  <si>
    <t>F_2qDDo9GKlRLymxA</t>
  </si>
  <si>
    <t>104.28.123.136</t>
  </si>
  <si>
    <t>R_3cdZcdsEJGSO3Ej</t>
  </si>
  <si>
    <t>F_2wM2GV8HIZa3aXw</t>
  </si>
  <si>
    <t>174.205.40.98</t>
  </si>
  <si>
    <t>R_6SviWRL6fby9ZD1</t>
  </si>
  <si>
    <t>F_Rw1LLQ2ufiRWygF</t>
  </si>
  <si>
    <t>150.135.165.116</t>
  </si>
  <si>
    <t>R_1gUO7CcmA9b60OH</t>
  </si>
  <si>
    <t>F_3Dkfbnlcq6JqJCw</t>
  </si>
  <si>
    <t>172.56.87.194</t>
  </si>
  <si>
    <t>R_6HdGJZAH8JuqhKV</t>
  </si>
  <si>
    <t>F_3jC3JN8qzcTQKUV</t>
  </si>
  <si>
    <t>104.28.85.162</t>
  </si>
  <si>
    <t>R_3qBRnMQIfbDN1yv</t>
  </si>
  <si>
    <t>F_CfdEp1cljBl07zb</t>
  </si>
  <si>
    <t>R_1zaVkUSrRP1ga65</t>
  </si>
  <si>
    <t>F_2rqZWF8Lh66Vdrv</t>
  </si>
  <si>
    <t>R_3UguiSmI5oZxJ77</t>
  </si>
  <si>
    <t>F_XTDWPTiGRvcT8oV</t>
  </si>
  <si>
    <t>174.200.198.151</t>
  </si>
  <si>
    <t>R_3mFpTENmXG6EJIm</t>
  </si>
  <si>
    <t>F_31HpXZOx7n2P8oh</t>
  </si>
  <si>
    <t>174.200.192.248</t>
  </si>
  <si>
    <t>R_1gRZa1poBpsiqGd</t>
  </si>
  <si>
    <t>F_2WGaGoEeDzELA7m</t>
  </si>
  <si>
    <t>174.200.194.88</t>
  </si>
  <si>
    <t>R_3FskrCladY3FSgd</t>
  </si>
  <si>
    <t>F_2WVhis5DkVyopie</t>
  </si>
  <si>
    <t>174.195.114.250</t>
  </si>
  <si>
    <t>R_5jTYwpsOdeVMfIq</t>
  </si>
  <si>
    <t>F_2QKXJKXfbeXkyCp</t>
  </si>
  <si>
    <t>174.205.98.182</t>
  </si>
  <si>
    <t>R_776c32boHJx5Ik1</t>
  </si>
  <si>
    <t>F_2aWyFOTN8dB6b8w</t>
  </si>
  <si>
    <t>R_7giMm4vlZlVA07P</t>
  </si>
  <si>
    <t>F_31uXAhmIg5pOtWh</t>
  </si>
  <si>
    <t>108.147.172.121</t>
  </si>
  <si>
    <t>R_5vZCyHfVLFAG4dL</t>
  </si>
  <si>
    <t>F_2EzuLewvCdLa0hS</t>
  </si>
  <si>
    <t>R_306sksUKqUBfPmD</t>
  </si>
  <si>
    <t>F_3qkcnA8T2YI0iee</t>
  </si>
  <si>
    <t>174.205.180.122</t>
  </si>
  <si>
    <t>R_7Vt3dky6CJdIz9O</t>
  </si>
  <si>
    <t>F_2zFH9rUYSPHM1wf</t>
  </si>
  <si>
    <t>174.205.226.60</t>
  </si>
  <si>
    <t>R_7PZom1LWvLD82Pv</t>
  </si>
  <si>
    <t>F_2qELcLRhuJl1Sut</t>
  </si>
  <si>
    <t>150.135.165.63</t>
  </si>
  <si>
    <t>R_7MWnDS62zpR1f2w</t>
  </si>
  <si>
    <t>F_AF37q67pdRaBQxH</t>
  </si>
  <si>
    <t>R_5EqMCLszzmrUWC5</t>
  </si>
  <si>
    <t>F_3feeezq4tyEPIXV</t>
  </si>
  <si>
    <t>R_77AM6DKQ0jUNoU9</t>
  </si>
  <si>
    <t>F_RLBQeqv5PcEWJih</t>
  </si>
  <si>
    <t>R_5z6m4xONle7fSio</t>
  </si>
  <si>
    <t>F_1KrQl5gqmzUXMKA</t>
  </si>
  <si>
    <t>174.195.113.0</t>
  </si>
  <si>
    <t>R_1IAHsIo2CJaum5d</t>
  </si>
  <si>
    <t>F_1BQkYYAeVrSAuDO</t>
  </si>
  <si>
    <t>R_7MMrdCK507f44v0</t>
  </si>
  <si>
    <t>F_2YAteqIy8YWVBpg</t>
  </si>
  <si>
    <t>2024 survey</t>
  </si>
  <si>
    <t>dropped those with start date before 10/19/2024</t>
  </si>
  <si>
    <t>Inserted  these columns with nodata:</t>
  </si>
  <si>
    <t>deletd these columns:</t>
  </si>
  <si>
    <t>renamed these variables:</t>
  </si>
  <si>
    <t>as</t>
  </si>
  <si>
    <t>consent_id</t>
  </si>
  <si>
    <t>Deleted 23 observations with progrss &lt; 90</t>
  </si>
  <si>
    <t>Overall Combined Data:</t>
  </si>
  <si>
    <t>dropped 6  with start date before 1103/17/2025</t>
  </si>
  <si>
    <t>Deleted these variables</t>
  </si>
  <si>
    <t>Various WTPs in the data and what they mean</t>
  </si>
  <si>
    <t>WTP is solicited at three stages</t>
  </si>
  <si>
    <t>Letters a and b indicate which treatment they got first.</t>
  </si>
  <si>
    <t>Stage 1</t>
  </si>
  <si>
    <t>Stage 2</t>
  </si>
  <si>
    <t>After initial treatment is done.  This initial treatment could be tasting or  seeing label.</t>
  </si>
  <si>
    <t>wtp_2b_1st, wtp_2b_2nd, wtp_2a_843, wtp_2a_315</t>
  </si>
  <si>
    <t>Stage 3</t>
  </si>
  <si>
    <t>After both treatments have been admistered</t>
  </si>
  <si>
    <t>wtp_3b_843, wtp_3b_315, wtp_3a_843, wtp_3a_315</t>
  </si>
  <si>
    <t>For each individual, we have either wtp_3a_843 or wtp_3b_843.  combine these two into wtp_3_843</t>
  </si>
  <si>
    <t>For each individual, we have either wtp_3a_315 or wtp_3b_315.  combine these two into wtp_3_315</t>
  </si>
  <si>
    <t>Stage</t>
  </si>
  <si>
    <t>Explanation</t>
  </si>
  <si>
    <t>Names of WTP variables</t>
  </si>
  <si>
    <t>wtp_3_843</t>
  </si>
  <si>
    <t>Product 315 is commercial IPA</t>
  </si>
  <si>
    <t>Product 843 is locally brewed NAB</t>
  </si>
  <si>
    <t>List of WTPs in the data:</t>
  </si>
  <si>
    <t>in 2024, there is only one product (315)</t>
  </si>
  <si>
    <t>wtp_3_315</t>
  </si>
  <si>
    <t>Resolve:</t>
  </si>
  <si>
    <t>d315_1st</t>
  </si>
  <si>
    <t>nutr_lab_first takes values of 0 and 1 with 0 = taste 1st, 1 = label first</t>
  </si>
  <si>
    <t>Randomizer = 1 - nutr_lab_first; hence randomizer = 1  means taste first 0 - label first  - done in all_final sheet</t>
  </si>
  <si>
    <t>dtaste_1st</t>
  </si>
  <si>
    <t>2024 data</t>
  </si>
  <si>
    <t>2025 data</t>
  </si>
  <si>
    <t>3,4</t>
  </si>
  <si>
    <t>1,2</t>
  </si>
  <si>
    <t>Values of Randomizer</t>
  </si>
  <si>
    <t>315 first  group</t>
  </si>
  <si>
    <t>843 first group</t>
  </si>
  <si>
    <t>commercial product = 315</t>
  </si>
  <si>
    <t>lab product = 843</t>
  </si>
  <si>
    <t>NONE</t>
  </si>
  <si>
    <t>0,1</t>
  </si>
  <si>
    <t>2, 4 (booths 4,5,6)</t>
  </si>
  <si>
    <t>1, 3 (booths 1, 2, 3)</t>
  </si>
  <si>
    <t>wtp_2_315</t>
  </si>
  <si>
    <t>wtp_2_843</t>
  </si>
  <si>
    <t>wtp_3a_315 7.6 for one observation. How is it possible?</t>
  </si>
  <si>
    <t>Label 1st group (a)</t>
  </si>
  <si>
    <t>Taste 1st group (b)</t>
  </si>
  <si>
    <t xml:space="preserve"> Initial before taste, before seeing label.  This is for a general NAB.</t>
  </si>
  <si>
    <t>For 54 observations in 202503, wtp_3_843 and wtp_3_315 both are  missing.  This happening whenver dt315_1st=1. Why?</t>
  </si>
  <si>
    <t>in 202503 data, dropped 18 observations with start date before 03/17/2025</t>
  </si>
  <si>
    <t>in 202503 data, dropped 2 observations with progress &lt; 90</t>
  </si>
  <si>
    <t>7</t>
  </si>
  <si>
    <t>isnumber</t>
  </si>
  <si>
    <t>isblank</t>
  </si>
  <si>
    <t>isnontext</t>
  </si>
  <si>
    <t>number-&gt;</t>
  </si>
  <si>
    <t>text-&gt;</t>
  </si>
  <si>
    <t>hello</t>
  </si>
  <si>
    <t>blank-&gt;</t>
  </si>
  <si>
    <t>empty quotes</t>
  </si>
  <si>
    <t>How does excel treat cell that LooK empty?</t>
  </si>
  <si>
    <t>Sample</t>
  </si>
  <si>
    <t>All</t>
  </si>
  <si>
    <t>both products</t>
  </si>
  <si>
    <t>Product 315</t>
  </si>
  <si>
    <t>Product 843</t>
  </si>
  <si>
    <t>n=</t>
  </si>
  <si>
    <t>p-value for Ho: wtp3=wtp1</t>
  </si>
  <si>
    <t>there are many WTPs with 0 value</t>
  </si>
  <si>
    <t>there a couple of wtp differences = #VALUE</t>
  </si>
  <si>
    <t>average wtp_3</t>
  </si>
  <si>
    <t>average wtp_1</t>
  </si>
  <si>
    <t>Generic</t>
  </si>
  <si>
    <t>same generic</t>
  </si>
  <si>
    <t>t-value for Ho: wtp3=wtp1</t>
  </si>
  <si>
    <t>stddev (wtp3-wtp1)</t>
  </si>
  <si>
    <t>ybar=average of( wtp3-wtp1)</t>
  </si>
  <si>
    <t>avg(wtp_3)-avg(wtp_1)</t>
  </si>
  <si>
    <t>these number shoud match.</t>
  </si>
  <si>
    <t>This is FIXED</t>
  </si>
  <si>
    <t>for 202503, 202511 data wtp3 &lt; wtp1 on average. Is this real?</t>
  </si>
  <si>
    <t>in 202511, wtp_3 is missing for 2 observations for 843 product and 1 observation for 315</t>
  </si>
  <si>
    <t>wtp_315_tasteeffect</t>
  </si>
  <si>
    <t>wtp_315_labeleffect</t>
  </si>
  <si>
    <t>wtp_843_tasteeffect</t>
  </si>
  <si>
    <t>wtp_843_labeleffect</t>
  </si>
  <si>
    <t>Joint Effect</t>
  </si>
  <si>
    <t>Taste Effect</t>
  </si>
  <si>
    <t>ybar=average of tasteeffect</t>
  </si>
  <si>
    <t>Label Effect</t>
  </si>
  <si>
    <t>wtpdiff315_31</t>
  </si>
  <si>
    <t>wtpdiff843_31</t>
  </si>
  <si>
    <t>for 202511 data, avg(wtp3 - wtp1) not equal to avg(wtp3)-avg(atp1).  Why?  It should equal</t>
  </si>
  <si>
    <t>??</t>
  </si>
  <si>
    <t>AI</t>
  </si>
  <si>
    <t>AJ</t>
  </si>
  <si>
    <t>AQ</t>
  </si>
  <si>
    <t>AR</t>
  </si>
  <si>
    <t>AZ</t>
  </si>
  <si>
    <t>BA</t>
  </si>
  <si>
    <t>BB</t>
  </si>
  <si>
    <t>BC</t>
  </si>
  <si>
    <t>BD</t>
  </si>
  <si>
    <t>BO</t>
  </si>
  <si>
    <t>BP</t>
  </si>
  <si>
    <t>BQ</t>
  </si>
  <si>
    <t>CB</t>
  </si>
  <si>
    <t>CC</t>
  </si>
  <si>
    <t>CD</t>
  </si>
  <si>
    <t>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</si>
  <si>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</si>
  <si>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This does not exist for 2024 data</t>
  </si>
  <si>
    <t>b = tasteting then lables; corresponds randomizer 1, 2</t>
  </si>
  <si>
    <t>a = labels, then tasting; corresponds to randomizer 3, 4</t>
  </si>
  <si>
    <t>Column</t>
  </si>
  <si>
    <t>variable</t>
  </si>
  <si>
    <t>From paneldata worksheet</t>
  </si>
  <si>
    <t>Use data in  the "202503data" sheet and do the following:</t>
  </si>
  <si>
    <t>For wtp_1 variable calculate:</t>
  </si>
  <si>
    <t>number of observations (datapoints).</t>
  </si>
  <si>
    <t>sample mean</t>
  </si>
  <si>
    <t>sample standard deviation</t>
  </si>
  <si>
    <t>overall_315</t>
  </si>
  <si>
    <t>appear_315</t>
  </si>
  <si>
    <t>aroma_315</t>
  </si>
  <si>
    <t>flavor_315</t>
  </si>
  <si>
    <t>body_315</t>
  </si>
  <si>
    <t>bitter_315</t>
  </si>
  <si>
    <t>hops_315</t>
  </si>
  <si>
    <t>overall_843</t>
  </si>
  <si>
    <t>appear_843</t>
  </si>
  <si>
    <t>aroma_843</t>
  </si>
  <si>
    <t>flavor_843</t>
  </si>
  <si>
    <t>body_843</t>
  </si>
  <si>
    <t>bitter_843</t>
  </si>
  <si>
    <t>hops_843</t>
  </si>
  <si>
    <t>Construct a 95% CI for population mean for wtp_1</t>
  </si>
  <si>
    <t>Calculation of Confidence Intervals for Population Mean:</t>
  </si>
  <si>
    <t>Repeat these for overall_315 and overall_843 variables.</t>
  </si>
  <si>
    <t>Hypothesis Testing:</t>
  </si>
  <si>
    <t>With which gender do you identify?  1=male, 2=female</t>
  </si>
  <si>
    <t>Have you consumed alcoholic drinks at least once in the past year? 1 = yes 0= no</t>
  </si>
  <si>
    <t>Test the hypothesis Ho: population average for wtp = 6.0 against H1: population average for wtp_1 NE 6.0</t>
  </si>
  <si>
    <t>Test the hypothesis Ho: population average for overall_843 = 6.0  against H1: population average for overall_843  NE 6.0</t>
  </si>
  <si>
    <t>Test the hypothesis Ho: population average for overall_315 = 6.0  against H1: population average for overall_315  NE 6.0</t>
  </si>
  <si>
    <t>confidence_intervatls</t>
  </si>
  <si>
    <t xml:space="preserve">alpha = </t>
  </si>
  <si>
    <t xml:space="preserve">sample size n = </t>
  </si>
  <si>
    <t>sample mean, x| bar</t>
  </si>
  <si>
    <t>t crit</t>
  </si>
  <si>
    <t>sample sd. s</t>
  </si>
  <si>
    <t>margin of err =</t>
  </si>
  <si>
    <t>CI Lower</t>
  </si>
  <si>
    <t>CI Upper</t>
  </si>
  <si>
    <r>
      <t xml:space="preserve">H_0: </t>
    </r>
    <r>
      <rPr>
        <sz val="11"/>
        <color indexed="8"/>
        <rFont val="Aptos Narrow"/>
        <family val="2"/>
      </rPr>
      <t>µ</t>
    </r>
    <r>
      <rPr>
        <sz val="11"/>
        <color indexed="8"/>
        <rFont val="Aptos Narrow"/>
        <family val="2"/>
        <scheme val="minor"/>
      </rPr>
      <t xml:space="preserve"> = 6.00</t>
    </r>
  </si>
  <si>
    <r>
      <t xml:space="preserve">CI is 1 - </t>
    </r>
    <r>
      <rPr>
        <sz val="11"/>
        <color indexed="8"/>
        <rFont val="Aptos Narrow"/>
        <family val="2"/>
      </rPr>
      <t>α</t>
    </r>
  </si>
  <si>
    <t>2- sided or 1 sided?</t>
  </si>
  <si>
    <t>t-test stat</t>
  </si>
  <si>
    <t>t-crit</t>
  </si>
  <si>
    <t>conclusion</t>
  </si>
  <si>
    <t>p_value</t>
  </si>
  <si>
    <t>hyp_test_wtp</t>
  </si>
  <si>
    <t>hyp_test_overall</t>
  </si>
  <si>
    <r>
      <t>overall_315:</t>
    </r>
    <r>
      <rPr>
        <sz val="11"/>
        <color indexed="8"/>
        <rFont val="Aptos Narrow"/>
        <family val="2"/>
        <scheme val="minor"/>
      </rPr>
      <t xml:space="preserve"> The sample mean is </t>
    </r>
    <r>
      <rPr>
        <b/>
        <sz val="11"/>
        <color indexed="8"/>
        <rFont val="Aptos Narrow"/>
        <family val="2"/>
        <scheme val="minor"/>
      </rPr>
      <t>6.111</t>
    </r>
    <r>
      <rPr>
        <sz val="11"/>
        <color indexed="8"/>
        <rFont val="Aptos Narrow"/>
        <family val="2"/>
        <scheme val="minor"/>
      </rPr>
      <t xml:space="preserve"> and the 95% confidence interval is </t>
    </r>
    <r>
      <rPr>
        <b/>
        <sz val="11"/>
        <color indexed="8"/>
        <rFont val="Aptos Narrow"/>
        <family val="2"/>
        <scheme val="minor"/>
      </rPr>
      <t>[5.748, 6.474]</t>
    </r>
    <r>
      <rPr>
        <sz val="11"/>
        <color indexed="8"/>
        <rFont val="Aptos Narrow"/>
        <family val="2"/>
        <scheme val="minor"/>
      </rPr>
      <t xml:space="preserve">, which includes </t>
    </r>
    <r>
      <rPr>
        <b/>
        <sz val="11"/>
        <color indexed="8"/>
        <rFont val="Aptos Narrow"/>
        <family val="2"/>
        <scheme val="minor"/>
      </rPr>
      <t>6.00</t>
    </r>
    <r>
      <rPr>
        <sz val="11"/>
        <color indexed="8"/>
        <rFont val="Aptos Narrow"/>
        <family val="2"/>
        <scheme val="minor"/>
      </rPr>
      <t xml:space="preserve">. The t-test statistic is </t>
    </r>
    <r>
      <rPr>
        <b/>
        <sz val="11"/>
        <color indexed="8"/>
        <rFont val="Aptos Narrow"/>
        <family val="2"/>
        <scheme val="minor"/>
      </rPr>
      <t>0.607</t>
    </r>
    <r>
      <rPr>
        <sz val="11"/>
        <color indexed="8"/>
        <rFont val="Aptos Narrow"/>
        <family val="2"/>
        <scheme val="minor"/>
      </rPr>
      <t xml:space="preserve"> with </t>
    </r>
    <r>
      <rPr>
        <b/>
        <sz val="11"/>
        <color indexed="8"/>
        <rFont val="Aptos Narrow"/>
        <family val="2"/>
        <scheme val="minor"/>
      </rPr>
      <t>p = 0.545</t>
    </r>
    <r>
      <rPr>
        <sz val="11"/>
        <color indexed="8"/>
        <rFont val="Aptos Narrow"/>
        <family val="2"/>
        <scheme val="minor"/>
      </rPr>
      <t xml:space="preserve">, so we </t>
    </r>
    <r>
      <rPr>
        <b/>
        <sz val="11"/>
        <color indexed="8"/>
        <rFont val="Aptos Narrow"/>
        <family val="2"/>
        <scheme val="minor"/>
      </rPr>
      <t>do not reject H0H_0H0​</t>
    </r>
    <r>
      <rPr>
        <sz val="11"/>
        <color indexed="8"/>
        <rFont val="Aptos Narrow"/>
        <family val="2"/>
        <scheme val="minor"/>
      </rPr>
      <t>. There is not enough evidence to conclude the mean differs from 6.00.</t>
    </r>
  </si>
  <si>
    <r>
      <t>overall_843:</t>
    </r>
    <r>
      <rPr>
        <sz val="11"/>
        <color indexed="8"/>
        <rFont val="Aptos Narrow"/>
        <family val="2"/>
        <scheme val="minor"/>
      </rPr>
      <t xml:space="preserve"> The sample mean is </t>
    </r>
    <r>
      <rPr>
        <b/>
        <sz val="11"/>
        <color indexed="8"/>
        <rFont val="Aptos Narrow"/>
        <family val="2"/>
        <scheme val="minor"/>
      </rPr>
      <t>5.704</t>
    </r>
    <r>
      <rPr>
        <sz val="11"/>
        <color indexed="8"/>
        <rFont val="Aptos Narrow"/>
        <family val="2"/>
        <scheme val="minor"/>
      </rPr>
      <t xml:space="preserve"> and the 95% confidence interval is </t>
    </r>
    <r>
      <rPr>
        <b/>
        <sz val="11"/>
        <color indexed="8"/>
        <rFont val="Aptos Narrow"/>
        <family val="2"/>
        <scheme val="minor"/>
      </rPr>
      <t>[5.361, 6.046]</t>
    </r>
    <r>
      <rPr>
        <sz val="11"/>
        <color indexed="8"/>
        <rFont val="Aptos Narrow"/>
        <family val="2"/>
        <scheme val="minor"/>
      </rPr>
      <t xml:space="preserve">, which includes </t>
    </r>
    <r>
      <rPr>
        <b/>
        <sz val="11"/>
        <color indexed="8"/>
        <rFont val="Aptos Narrow"/>
        <family val="2"/>
        <scheme val="minor"/>
      </rPr>
      <t>6.00</t>
    </r>
    <r>
      <rPr>
        <sz val="11"/>
        <color indexed="8"/>
        <rFont val="Aptos Narrow"/>
        <family val="2"/>
        <scheme val="minor"/>
      </rPr>
      <t xml:space="preserve">. The t-test statistic is </t>
    </r>
    <r>
      <rPr>
        <b/>
        <sz val="11"/>
        <color indexed="8"/>
        <rFont val="Aptos Narrow"/>
        <family val="2"/>
        <scheme val="minor"/>
      </rPr>
      <t>-1.716</t>
    </r>
    <r>
      <rPr>
        <sz val="11"/>
        <color indexed="8"/>
        <rFont val="Aptos Narrow"/>
        <family val="2"/>
        <scheme val="minor"/>
      </rPr>
      <t xml:space="preserve"> with </t>
    </r>
    <r>
      <rPr>
        <b/>
        <sz val="11"/>
        <color indexed="8"/>
        <rFont val="Aptos Narrow"/>
        <family val="2"/>
        <scheme val="minor"/>
      </rPr>
      <t>p = 0.089</t>
    </r>
    <r>
      <rPr>
        <sz val="11"/>
        <color indexed="8"/>
        <rFont val="Aptos Narrow"/>
        <family val="2"/>
        <scheme val="minor"/>
      </rPr>
      <t xml:space="preserve">, so we </t>
    </r>
    <r>
      <rPr>
        <b/>
        <sz val="11"/>
        <color indexed="8"/>
        <rFont val="Aptos Narrow"/>
        <family val="2"/>
        <scheme val="minor"/>
      </rPr>
      <t>do not reject H0H_0H0​</t>
    </r>
    <r>
      <rPr>
        <sz val="11"/>
        <color indexed="8"/>
        <rFont val="Aptos Narrow"/>
        <family val="2"/>
        <scheme val="minor"/>
      </rPr>
      <t xml:space="preserve"> at the 5% level. The mean is somewhat below 6.00, but not statistically different at that level.</t>
    </r>
  </si>
  <si>
    <r>
      <t>wtp_1:</t>
    </r>
    <r>
      <rPr>
        <sz val="11"/>
        <color indexed="8"/>
        <rFont val="Aptos Narrow"/>
        <family val="2"/>
        <scheme val="minor"/>
      </rPr>
      <t xml:space="preserve"> The sample mean is 4.241 and the 95% confidence interval is [3.834, 4.647], which does not include 6.00. The t-test gives p &lt; 0.001, so reject H₀. The mean appears to be lower than 6.00.</t>
    </r>
  </si>
  <si>
    <r>
      <t>overall_315:</t>
    </r>
    <r>
      <rPr>
        <sz val="11"/>
        <color indexed="8"/>
        <rFont val="Aptos Narrow"/>
        <family val="2"/>
        <scheme val="minor"/>
      </rPr>
      <t xml:space="preserve"> The sample mean is 6.111 and the 95% confidence interval is [5.748, 6.474], which includes 6.00. The t-test gives p = 0.545, so do not reject H₀.</t>
    </r>
  </si>
  <si>
    <r>
      <t>overall_843:</t>
    </r>
    <r>
      <rPr>
        <sz val="11"/>
        <color indexed="8"/>
        <rFont val="Aptos Narrow"/>
        <family val="2"/>
        <scheme val="minor"/>
      </rPr>
      <t xml:space="preserve"> The sample mean is 5.704 and the 95% confidence interval is [5.361, 6.046], which includes 6.00. The t-test gives p = 0.089, so do not reject H₀ at the 5% level.</t>
    </r>
  </si>
  <si>
    <t>dmale</t>
  </si>
  <si>
    <t>wtp_1_male</t>
  </si>
  <si>
    <t>wtp_1_female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</si>
  <si>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</si>
  <si>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</si>
  <si>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</si>
  <si>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</si>
  <si>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</si>
  <si>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</si>
  <si>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</si>
  <si>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</si>
  <si>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</si>
  <si>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</si>
  <si>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</si>
  <si>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Test the hypothesis Ho: Average overal score for 315 is = the average overall score for product 843</t>
  </si>
  <si>
    <t>Test the hypothesis H1: Average overal score for 315 is not equal to the average overal score for 843</t>
  </si>
  <si>
    <t>diff_315_843</t>
  </si>
  <si>
    <t>t-Test: Paired Two Sample for Means</t>
  </si>
  <si>
    <t>Pearson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</si>
</sst>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6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indexed="8"/>
      <name val="Aptos Narrow"/>
      <family val="2"/>
    </font>
    <font>
      <i/>
      <sz val="11"/>
      <color indexed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108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1" fillId="2" borderId="0" xfId="1"/>
    <xf numFmtId="49" fontId="1" fillId="2" borderId="0" xfId="1" applyNumberFormat="1" applyAlignment="1">
      <alignment wrapText="1"/>
    </xf>
    <xf numFmtId="22" fontId="1" fillId="2" borderId="0" xfId="1" applyNumberFormat="1"/>
    <xf numFmtId="0" fontId="1" fillId="3" borderId="0" xfId="1" applyFill="1"/>
    <xf numFmtId="0" fontId="1" fillId="0" borderId="0" xfId="1" applyFill="1"/>
    <xf numFmtId="0" fontId="0" fillId="2" borderId="0" xfId="0" applyFill="1"/>
    <xf numFmtId="0" fontId="2" fillId="0" borderId="0" xfId="0" applyFont="1"/>
    <xf numFmtId="0" fontId="2" fillId="0" borderId="0" xfId="1" applyFont="1" applyFill="1"/>
    <xf numFmtId="0" fontId="0" fillId="4" borderId="0" xfId="0" applyFill="1"/>
    <xf numFmtId="0" fontId="1" fillId="4" borderId="0" xfId="1" applyFill="1"/>
    <xf numFmtId="0" fontId="4" fillId="0" borderId="0" xfId="0" applyFont="1"/>
    <xf numFmtId="0" fontId="0" fillId="6" borderId="0" xfId="0" applyFill="1"/>
    <xf numFmtId="0" fontId="1" fillId="6" borderId="0" xfId="1" applyFill="1"/>
    <xf numFmtId="0" fontId="0" fillId="7" borderId="0" xfId="0" applyFill="1"/>
    <xf numFmtId="0" fontId="1" fillId="7" borderId="0" xfId="1" applyFill="1"/>
    <xf numFmtId="0" fontId="3" fillId="0" borderId="0" xfId="1" applyFont="1" applyFill="1"/>
    <xf numFmtId="0" fontId="3" fillId="0" borderId="0" xfId="0" applyFont="1"/>
    <xf numFmtId="0" fontId="3" fillId="5" borderId="0" xfId="0" applyFont="1" applyFill="1"/>
    <xf numFmtId="0" fontId="3" fillId="5" borderId="0" xfId="1" applyFont="1" applyFill="1"/>
    <xf numFmtId="0" fontId="3" fillId="8" borderId="0" xfId="0" applyFont="1" applyFill="1"/>
    <xf numFmtId="0" fontId="3" fillId="8" borderId="0" xfId="1" applyFont="1" applyFill="1"/>
    <xf numFmtId="0" fontId="3" fillId="9" borderId="0" xfId="0" applyFont="1" applyFill="1"/>
    <xf numFmtId="0" fontId="3" fillId="9" borderId="0" xfId="1" applyFont="1" applyFill="1"/>
    <xf numFmtId="0" fontId="0" fillId="5" borderId="0" xfId="0" applyFill="1"/>
    <xf numFmtId="0" fontId="5" fillId="5" borderId="0" xfId="0" applyFont="1" applyFill="1"/>
    <xf numFmtId="0" fontId="1" fillId="10" borderId="0" xfId="1" applyFill="1"/>
    <xf numFmtId="0" fontId="1" fillId="9" borderId="0" xfId="1" applyFill="1"/>
    <xf numFmtId="49" fontId="0" fillId="2" borderId="0" xfId="1" applyNumberFormat="1" applyFont="1" applyAlignment="1">
      <alignment wrapText="1"/>
    </xf>
    <xf numFmtId="0" fontId="0" fillId="0" borderId="0" xfId="0" applyAlignment="1">
      <alignment horizontal="left"/>
    </xf>
    <xf numFmtId="0" fontId="6" fillId="0" borderId="0" xfId="1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1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5" borderId="0" xfId="0" applyFont="1" applyFill="1"/>
    <xf numFmtId="0" fontId="8" fillId="11" borderId="0" xfId="1" applyFont="1" applyFill="1"/>
    <xf numFmtId="0" fontId="0" fillId="12" borderId="0" xfId="0" applyFill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9" borderId="0" xfId="1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/>
    <xf numFmtId="0" fontId="0" fillId="0" borderId="4" xfId="0" applyBorder="1" applyAlignment="1">
      <alignment horizontal="right"/>
    </xf>
    <xf numFmtId="0" fontId="0" fillId="0" borderId="11" xfId="0" applyBorder="1"/>
    <xf numFmtId="0" fontId="0" fillId="0" borderId="9" xfId="0" applyBorder="1" applyAlignment="1">
      <alignment horizontal="center"/>
    </xf>
    <xf numFmtId="0" fontId="1" fillId="2" borderId="0" xfId="1" applyAlignment="1">
      <alignment horizontal="left"/>
    </xf>
    <xf numFmtId="0" fontId="1" fillId="5" borderId="0" xfId="1" applyFill="1"/>
    <xf numFmtId="0" fontId="1" fillId="2" borderId="1" xfId="1" applyBorder="1" applyAlignment="1">
      <alignment horizontal="left"/>
    </xf>
    <xf numFmtId="0" fontId="1" fillId="2" borderId="4" xfId="1" applyBorder="1"/>
    <xf numFmtId="0" fontId="1" fillId="2" borderId="0" xfId="1" applyAlignment="1">
      <alignment horizontal="center"/>
    </xf>
    <xf numFmtId="0" fontId="1" fillId="2" borderId="1" xfId="1" applyBorder="1" applyAlignment="1">
      <alignment horizontal="center"/>
    </xf>
    <xf numFmtId="0" fontId="1" fillId="2" borderId="4" xfId="1" applyBorder="1" applyAlignment="1">
      <alignment horizontal="center"/>
    </xf>
    <xf numFmtId="164" fontId="1" fillId="2" borderId="0" xfId="1" applyNumberFormat="1" applyAlignment="1">
      <alignment horizontal="center"/>
    </xf>
    <xf numFmtId="164" fontId="1" fillId="2" borderId="4" xfId="1" applyNumberFormat="1" applyBorder="1" applyAlignment="1">
      <alignment horizontal="center"/>
    </xf>
    <xf numFmtId="0" fontId="0" fillId="2" borderId="1" xfId="1" applyFont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164" fontId="1" fillId="5" borderId="4" xfId="1" applyNumberFormat="1" applyFill="1" applyBorder="1" applyAlignment="1">
      <alignment horizontal="center"/>
    </xf>
    <xf numFmtId="0" fontId="0" fillId="5" borderId="0" xfId="1" applyFont="1" applyFill="1"/>
    <xf numFmtId="0" fontId="1" fillId="11" borderId="0" xfId="1" applyFill="1" applyAlignment="1">
      <alignment horizontal="center"/>
    </xf>
    <xf numFmtId="0" fontId="0" fillId="5" borderId="4" xfId="0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64" fontId="1" fillId="2" borderId="0" xfId="1" applyNumberFormat="1"/>
    <xf numFmtId="0" fontId="9" fillId="0" borderId="0" xfId="0" applyFont="1" applyAlignment="1">
      <alignment horizontal="center"/>
    </xf>
    <xf numFmtId="0" fontId="1" fillId="2" borderId="12" xfId="1" applyBorder="1"/>
    <xf numFmtId="0" fontId="0" fillId="2" borderId="12" xfId="1" applyFont="1" applyBorder="1"/>
    <xf numFmtId="164" fontId="1" fillId="2" borderId="12" xfId="1" applyNumberFormat="1" applyBorder="1"/>
    <xf numFmtId="0" fontId="9" fillId="2" borderId="12" xfId="1" applyFont="1" applyBorder="1"/>
    <xf numFmtId="165" fontId="1" fillId="2" borderId="12" xfId="1" applyNumberForma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/>
    </xf>
    <xf numFmtId="0" fontId="1" fillId="13" borderId="0" xfId="1" applyFill="1"/>
    <xf numFmtId="0" fontId="0" fillId="0" borderId="0" xfId="0" applyFill="1" applyBorder="1" applyAlignment="1"/>
    <xf numFmtId="0" fontId="0" fillId="0" borderId="22" xfId="0" applyFill="1" applyBorder="1" applyAlignment="1"/>
    <xf numFmtId="0" fontId="12" fillId="0" borderId="24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164" fontId="0" fillId="0" borderId="22" xfId="0" applyNumberFormat="1" applyFill="1" applyBorder="1" applyAlignment="1"/>
    <xf numFmtId="2" fontId="0" fillId="0" borderId="0" xfId="0" applyNumberFormat="1" applyFill="1" applyBorder="1" applyAlignment="1"/>
    <xf numFmtId="2" fontId="0" fillId="0" borderId="22" xfId="0" applyNumberFormat="1" applyFill="1" applyBorder="1" applyAlignment="1"/>
    <xf numFmtId="1" fontId="0" fillId="0" borderId="0" xfId="0" applyNumberFormat="1" applyFill="1" applyBorder="1" applyAlignment="1"/>
  </cellXfs>
  <cellStyles count="2">
    <cellStyle name="Normal" xfId="0" builtinId="0"/>
    <cellStyle name="Normal 2" xfId="1" xr:uid="{23EA0D61-1859-426D-8DED-5274605D9AFD}"/>
  </cellStyles>
  <dxfs count="0"/>
  <tableStyles count="0" defaultTableStyle="TableStyleMedium2" defaultPivotStyle="PivotStyleLight16"/>
  <colors>
    <mruColors>
      <color rgb="FFCEF9FE"/>
      <color rgb="FFDDDDDD"/>
      <color rgb="FFFFFFCC"/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ACDA-A38D-48E6-A7F0-1BB2FEE0752D}">
  <dimension ref="A2:C24"/>
  <sheetViews>
    <sheetView showGridLines="0" tabSelected="1" topLeftCell="A13" zoomScale="80" zoomScaleNormal="80" workbookViewId="0">
      <selection activeCell="R19" sqref="R19"/>
    </sheetView>
  </sheetViews>
  <sheetFormatPr defaultRowHeight="14.6" x14ac:dyDescent="0.4"/>
  <cols>
    <col min="2" max="2" width="10.07421875" customWidth="1"/>
  </cols>
  <sheetData>
    <row r="2" spans="1:3" x14ac:dyDescent="0.4">
      <c r="A2" t="s">
        <v>1009</v>
      </c>
    </row>
    <row r="4" spans="1:3" ht="18.45" x14ac:dyDescent="0.5">
      <c r="A4" s="75" t="s">
        <v>1029</v>
      </c>
    </row>
    <row r="6" spans="1:3" x14ac:dyDescent="0.4">
      <c r="B6" s="74" t="s">
        <v>1010</v>
      </c>
    </row>
    <row r="7" spans="1:3" x14ac:dyDescent="0.4">
      <c r="C7" t="s">
        <v>1011</v>
      </c>
    </row>
    <row r="8" spans="1:3" x14ac:dyDescent="0.4">
      <c r="C8" t="s">
        <v>1012</v>
      </c>
    </row>
    <row r="9" spans="1:3" x14ac:dyDescent="0.4">
      <c r="C9" t="s">
        <v>1013</v>
      </c>
    </row>
    <row r="10" spans="1:3" x14ac:dyDescent="0.4">
      <c r="C10" t="s">
        <v>1028</v>
      </c>
    </row>
    <row r="12" spans="1:3" x14ac:dyDescent="0.4">
      <c r="B12" s="74" t="s">
        <v>1030</v>
      </c>
    </row>
    <row r="15" spans="1:3" ht="18.45" x14ac:dyDescent="0.5">
      <c r="A15" s="75" t="s">
        <v>1031</v>
      </c>
    </row>
    <row r="17" spans="1:2" x14ac:dyDescent="0.4">
      <c r="B17" t="s">
        <v>1034</v>
      </c>
    </row>
    <row r="18" spans="1:2" x14ac:dyDescent="0.4">
      <c r="B18" t="s">
        <v>1036</v>
      </c>
    </row>
    <row r="19" spans="1:2" x14ac:dyDescent="0.4">
      <c r="B19" t="s">
        <v>1035</v>
      </c>
    </row>
    <row r="21" spans="1:2" ht="18.45" x14ac:dyDescent="0.5">
      <c r="A21" s="75" t="s">
        <v>1031</v>
      </c>
    </row>
    <row r="23" spans="1:2" x14ac:dyDescent="0.4">
      <c r="B23" t="s">
        <v>1074</v>
      </c>
    </row>
    <row r="24" spans="1:2" x14ac:dyDescent="0.4">
      <c r="B24" t="s">
        <v>1075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4CB8-69F2-435A-9601-E3D3BFC6D6F2}">
  <dimension ref="A1:C13"/>
  <sheetViews>
    <sheetView zoomScale="71" workbookViewId="0">
      <selection activeCell="C4" sqref="C4"/>
    </sheetView>
  </sheetViews>
  <sheetFormatPr defaultRowHeight="14.6" x14ac:dyDescent="0.4"/>
  <cols>
    <col min="1" max="1" width="40.4609375" bestFit="1" customWidth="1"/>
    <col min="2" max="2" width="12.3828125" bestFit="1" customWidth="1"/>
    <col min="3" max="3" width="12.765625" bestFit="1" customWidth="1"/>
  </cols>
  <sheetData>
    <row r="1" spans="1:3" x14ac:dyDescent="0.4">
      <c r="A1" t="s">
        <v>1063</v>
      </c>
    </row>
    <row r="2" spans="1:3" ht="15" thickBot="1" x14ac:dyDescent="0.45"/>
    <row r="3" spans="1:3" x14ac:dyDescent="0.4">
      <c r="A3" s="102"/>
      <c r="B3" s="102" t="s">
        <v>1061</v>
      </c>
      <c r="C3" s="102" t="s">
        <v>1062</v>
      </c>
    </row>
    <row r="4" spans="1:3" x14ac:dyDescent="0.4">
      <c r="A4" s="100" t="s">
        <v>1064</v>
      </c>
      <c r="B4" s="103">
        <v>4.0083333333333337</v>
      </c>
      <c r="C4" s="103">
        <v>4.53125</v>
      </c>
    </row>
    <row r="5" spans="1:3" x14ac:dyDescent="0.4">
      <c r="A5" s="100" t="s">
        <v>1065</v>
      </c>
      <c r="B5" s="103">
        <v>5.2329802259886993</v>
      </c>
      <c r="C5" s="103">
        <v>3.6107047872340425</v>
      </c>
    </row>
    <row r="6" spans="1:3" x14ac:dyDescent="0.4">
      <c r="A6" s="100" t="s">
        <v>1066</v>
      </c>
      <c r="B6" s="107">
        <v>60</v>
      </c>
      <c r="C6" s="107">
        <v>48</v>
      </c>
    </row>
    <row r="7" spans="1:3" x14ac:dyDescent="0.4">
      <c r="A7" s="100" t="s">
        <v>1067</v>
      </c>
      <c r="B7" s="103">
        <v>0</v>
      </c>
      <c r="C7" s="103"/>
    </row>
    <row r="8" spans="1:3" x14ac:dyDescent="0.4">
      <c r="A8" s="100" t="s">
        <v>1068</v>
      </c>
      <c r="B8" s="107">
        <v>106</v>
      </c>
      <c r="C8" s="103"/>
    </row>
    <row r="9" spans="1:3" x14ac:dyDescent="0.4">
      <c r="A9" s="100" t="s">
        <v>1069</v>
      </c>
      <c r="B9" s="103">
        <v>-1.2974387298920242</v>
      </c>
      <c r="C9" s="103"/>
    </row>
    <row r="10" spans="1:3" x14ac:dyDescent="0.4">
      <c r="A10" s="100" t="s">
        <v>1070</v>
      </c>
      <c r="B10" s="103">
        <v>9.8648429453738598E-2</v>
      </c>
      <c r="C10" s="103"/>
    </row>
    <row r="11" spans="1:3" x14ac:dyDescent="0.4">
      <c r="A11" s="100" t="s">
        <v>1071</v>
      </c>
      <c r="B11" s="103">
        <v>1.6593560339471876</v>
      </c>
      <c r="C11" s="103"/>
    </row>
    <row r="12" spans="1:3" x14ac:dyDescent="0.4">
      <c r="A12" s="100" t="s">
        <v>1072</v>
      </c>
      <c r="B12" s="103">
        <v>0.1972968589074772</v>
      </c>
      <c r="C12" s="103"/>
    </row>
    <row r="13" spans="1:3" ht="15" thickBot="1" x14ac:dyDescent="0.45">
      <c r="A13" s="101" t="s">
        <v>1073</v>
      </c>
      <c r="B13" s="104">
        <v>1.9825972617654992</v>
      </c>
      <c r="C13" s="10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91C5-1F1F-401A-AC00-643A32788D21}">
  <dimension ref="A1:C14"/>
  <sheetViews>
    <sheetView topLeftCell="A2" zoomScale="79" workbookViewId="0">
      <selection activeCell="B7" sqref="B7"/>
    </sheetView>
  </sheetViews>
  <sheetFormatPr defaultRowHeight="14.6" x14ac:dyDescent="0.4"/>
  <cols>
    <col min="1" max="1" width="30.23046875" bestFit="1" customWidth="1"/>
    <col min="2" max="3" width="11.84375" bestFit="1" customWidth="1"/>
  </cols>
  <sheetData>
    <row r="1" spans="1:3" x14ac:dyDescent="0.4">
      <c r="A1" t="s">
        <v>1077</v>
      </c>
    </row>
    <row r="2" spans="1:3" ht="15" thickBot="1" x14ac:dyDescent="0.45"/>
    <row r="3" spans="1:3" x14ac:dyDescent="0.4">
      <c r="A3" s="102"/>
      <c r="B3" s="102" t="s">
        <v>1014</v>
      </c>
      <c r="C3" s="102" t="s">
        <v>1021</v>
      </c>
    </row>
    <row r="4" spans="1:3" x14ac:dyDescent="0.4">
      <c r="A4" s="100" t="s">
        <v>1064</v>
      </c>
      <c r="B4" s="105">
        <v>6.1111111111111107</v>
      </c>
      <c r="C4" s="105">
        <v>5.7037037037037033</v>
      </c>
    </row>
    <row r="5" spans="1:3" x14ac:dyDescent="0.4">
      <c r="A5" s="100" t="s">
        <v>1065</v>
      </c>
      <c r="B5" s="105">
        <v>3.6137071651090329</v>
      </c>
      <c r="C5" s="105">
        <v>3.2197992384908289</v>
      </c>
    </row>
    <row r="6" spans="1:3" x14ac:dyDescent="0.4">
      <c r="A6" s="100" t="s">
        <v>1066</v>
      </c>
      <c r="B6" s="100">
        <v>108</v>
      </c>
      <c r="C6" s="100">
        <v>108</v>
      </c>
    </row>
    <row r="7" spans="1:3" x14ac:dyDescent="0.4">
      <c r="A7" s="100" t="s">
        <v>1078</v>
      </c>
      <c r="B7" s="103">
        <v>0.10837592962211214</v>
      </c>
      <c r="C7" s="100"/>
    </row>
    <row r="8" spans="1:3" x14ac:dyDescent="0.4">
      <c r="A8" s="100" t="s">
        <v>1067</v>
      </c>
      <c r="B8" s="100">
        <v>0</v>
      </c>
      <c r="C8" s="100"/>
    </row>
    <row r="9" spans="1:3" x14ac:dyDescent="0.4">
      <c r="A9" s="100" t="s">
        <v>1068</v>
      </c>
      <c r="B9" s="100">
        <v>107</v>
      </c>
      <c r="C9" s="100"/>
    </row>
    <row r="10" spans="1:3" x14ac:dyDescent="0.4">
      <c r="A10" s="100" t="s">
        <v>1069</v>
      </c>
      <c r="B10" s="105">
        <v>1.7150793616791875</v>
      </c>
      <c r="C10" s="100"/>
    </row>
    <row r="11" spans="1:3" x14ac:dyDescent="0.4">
      <c r="A11" s="100" t="s">
        <v>1070</v>
      </c>
      <c r="B11" s="105">
        <v>4.4612675941651386E-2</v>
      </c>
      <c r="C11" s="100"/>
    </row>
    <row r="12" spans="1:3" x14ac:dyDescent="0.4">
      <c r="A12" s="100" t="s">
        <v>1071</v>
      </c>
      <c r="B12" s="105">
        <v>1.6592193118810985</v>
      </c>
      <c r="C12" s="100"/>
    </row>
    <row r="13" spans="1:3" x14ac:dyDescent="0.4">
      <c r="A13" s="100" t="s">
        <v>1072</v>
      </c>
      <c r="B13" s="105">
        <v>8.9225351883302773E-2</v>
      </c>
      <c r="C13" s="100"/>
    </row>
    <row r="14" spans="1:3" ht="15" thickBot="1" x14ac:dyDescent="0.45">
      <c r="A14" s="101" t="s">
        <v>1073</v>
      </c>
      <c r="B14" s="106">
        <v>1.9823833701756892</v>
      </c>
      <c r="C14" s="1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7BBD-96B6-4ADD-98AD-CFBE57408991}">
  <dimension ref="A1:CI109"/>
  <sheetViews>
    <sheetView showGridLines="0" zoomScale="55" zoomScaleNormal="55" workbookViewId="0">
      <pane xSplit="1" ySplit="1" topLeftCell="BT2" activePane="bottomRight" state="frozen"/>
      <selection pane="topRight" activeCell="B1" sqref="B1"/>
      <selection pane="bottomLeft" activeCell="A5" sqref="A5"/>
      <selection pane="bottomRight" activeCell="CD3" sqref="CD3"/>
    </sheetView>
  </sheetViews>
  <sheetFormatPr defaultColWidth="9.07421875" defaultRowHeight="14.6" x14ac:dyDescent="0.4"/>
  <cols>
    <col min="1" max="1" width="10.4609375" style="3" customWidth="1"/>
    <col min="2" max="2" width="10.69140625" style="3" customWidth="1"/>
    <col min="3" max="3" width="7.84375" style="3" bestFit="1" customWidth="1"/>
    <col min="4" max="4" width="10.3046875" style="3" bestFit="1" customWidth="1"/>
    <col min="5" max="5" width="9" style="3" bestFit="1" customWidth="1"/>
    <col min="6" max="6" width="12.69140625" style="3" bestFit="1" customWidth="1"/>
    <col min="7" max="7" width="13.3046875" style="3" bestFit="1" customWidth="1"/>
    <col min="8" max="8" width="14.84375" style="3" bestFit="1" customWidth="1"/>
    <col min="9" max="18" width="9.07421875" style="3"/>
    <col min="19" max="19" width="10.3046875" style="3" bestFit="1" customWidth="1"/>
    <col min="20" max="20" width="10.84375" style="3" bestFit="1" customWidth="1"/>
    <col min="21" max="29" width="9.07421875" style="3"/>
    <col min="30" max="39" width="12.69140625" style="3" customWidth="1"/>
    <col min="40" max="42" width="9.07421875" style="3"/>
    <col min="43" max="43" width="12.3046875" style="3" bestFit="1" customWidth="1"/>
    <col min="44" max="45" width="12.3046875" style="3" customWidth="1"/>
    <col min="46" max="47" width="11.69140625" style="3" bestFit="1" customWidth="1"/>
    <col min="48" max="48" width="15.3046875" style="3" customWidth="1"/>
    <col min="49" max="49" width="13.53515625" style="3" bestFit="1" customWidth="1"/>
    <col min="50" max="63" width="11.765625" style="3" customWidth="1"/>
    <col min="65" max="66" width="9.07421875" style="3"/>
    <col min="67" max="67" width="18.3046875" style="3" customWidth="1"/>
    <col min="68" max="68" width="9.4609375" style="3" bestFit="1" customWidth="1"/>
    <col min="69" max="69" width="9.07421875" style="3"/>
    <col min="70" max="70" width="19.15234375" style="3" bestFit="1" customWidth="1"/>
    <col min="71" max="74" width="14.69140625" style="3" bestFit="1" customWidth="1"/>
    <col min="75" max="81" width="9.07421875" style="3"/>
    <col min="82" max="82" width="10.4609375" style="3" bestFit="1" customWidth="1"/>
    <col min="83" max="83" width="12" style="3" bestFit="1" customWidth="1"/>
    <col min="84" max="84" width="9.07421875" style="3"/>
    <col min="85" max="85" width="11.765625" style="3" customWidth="1"/>
    <col min="86" max="86" width="10.07421875" style="3" bestFit="1" customWidth="1"/>
    <col min="87" max="16384" width="9.07421875" style="3"/>
  </cols>
  <sheetData>
    <row r="1" spans="1:87" x14ac:dyDescent="0.4">
      <c r="A1" s="3" t="s">
        <v>405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  <c r="AC1" s="6" t="s">
        <v>51</v>
      </c>
      <c r="AD1" s="28" t="s">
        <v>52</v>
      </c>
      <c r="AE1" s="28" t="s">
        <v>53</v>
      </c>
      <c r="AF1" s="28" t="s">
        <v>54</v>
      </c>
      <c r="AG1" s="29" t="s">
        <v>65</v>
      </c>
      <c r="AH1" s="29" t="s">
        <v>66</v>
      </c>
      <c r="AI1" s="29" t="s">
        <v>67</v>
      </c>
      <c r="AJ1" s="29" t="s">
        <v>78</v>
      </c>
      <c r="AK1" s="29" t="s">
        <v>79</v>
      </c>
      <c r="AL1" s="47" t="s">
        <v>80</v>
      </c>
      <c r="AM1" s="29" t="s">
        <v>81</v>
      </c>
      <c r="AN1" s="6" t="s">
        <v>82</v>
      </c>
      <c r="AO1" s="6" t="s">
        <v>95</v>
      </c>
      <c r="AP1" s="6" t="s">
        <v>96</v>
      </c>
      <c r="AQ1" s="6" t="s">
        <v>97</v>
      </c>
      <c r="AR1" s="11" t="s">
        <v>917</v>
      </c>
      <c r="AS1" s="11" t="s">
        <v>920</v>
      </c>
      <c r="AT1" s="36" t="s">
        <v>910</v>
      </c>
      <c r="AU1" s="36" t="s">
        <v>915</v>
      </c>
      <c r="AV1" s="36" t="s">
        <v>982</v>
      </c>
      <c r="AW1" s="36" t="s">
        <v>983</v>
      </c>
      <c r="AX1" s="6" t="s">
        <v>1014</v>
      </c>
      <c r="AY1" s="6" t="s">
        <v>1015</v>
      </c>
      <c r="AZ1" s="6" t="s">
        <v>1016</v>
      </c>
      <c r="BA1" s="6" t="s">
        <v>1017</v>
      </c>
      <c r="BB1" s="6" t="s">
        <v>1018</v>
      </c>
      <c r="BC1" s="6" t="s">
        <v>1019</v>
      </c>
      <c r="BD1" s="6" t="s">
        <v>1020</v>
      </c>
      <c r="BE1" s="6" t="s">
        <v>1021</v>
      </c>
      <c r="BF1" s="6" t="s">
        <v>1022</v>
      </c>
      <c r="BG1" s="6" t="s">
        <v>1023</v>
      </c>
      <c r="BH1" s="6" t="s">
        <v>1024</v>
      </c>
      <c r="BI1" s="6" t="s">
        <v>1025</v>
      </c>
      <c r="BJ1" s="6" t="s">
        <v>1026</v>
      </c>
      <c r="BK1" s="6" t="s">
        <v>1027</v>
      </c>
      <c r="CA1" s="99" t="s">
        <v>82</v>
      </c>
      <c r="CB1" s="60" t="s">
        <v>1060</v>
      </c>
      <c r="CC1" s="6" t="s">
        <v>32</v>
      </c>
      <c r="CD1" s="71" t="s">
        <v>1061</v>
      </c>
      <c r="CE1" s="71" t="s">
        <v>1062</v>
      </c>
      <c r="CG1" s="6" t="s">
        <v>1014</v>
      </c>
      <c r="CH1" s="6" t="s">
        <v>1021</v>
      </c>
      <c r="CI1" s="71" t="s">
        <v>1076</v>
      </c>
    </row>
    <row r="2" spans="1:87" x14ac:dyDescent="0.4">
      <c r="A2" s="3">
        <v>202503</v>
      </c>
      <c r="B2" s="3">
        <v>1</v>
      </c>
      <c r="C2" s="3">
        <v>5</v>
      </c>
      <c r="D2" s="3">
        <v>2</v>
      </c>
      <c r="E2" s="3">
        <v>1</v>
      </c>
      <c r="F2" s="3">
        <v>1</v>
      </c>
      <c r="G2" s="3">
        <v>1</v>
      </c>
      <c r="H2" s="3">
        <v>1</v>
      </c>
      <c r="I2" s="3">
        <v>3</v>
      </c>
      <c r="J2" s="3">
        <v>6</v>
      </c>
      <c r="K2" s="3">
        <v>3</v>
      </c>
      <c r="L2" s="3">
        <v>6</v>
      </c>
      <c r="M2" s="3">
        <v>5</v>
      </c>
      <c r="N2" s="3">
        <v>7</v>
      </c>
      <c r="O2" s="3">
        <v>4</v>
      </c>
      <c r="P2" s="3">
        <v>7</v>
      </c>
      <c r="Q2" s="3">
        <v>2</v>
      </c>
      <c r="R2" s="3">
        <v>3</v>
      </c>
      <c r="S2" s="4">
        <v>5</v>
      </c>
      <c r="T2" s="4">
        <v>2</v>
      </c>
      <c r="U2" s="3">
        <v>7</v>
      </c>
      <c r="V2" s="3">
        <v>5</v>
      </c>
      <c r="W2" s="3">
        <v>8</v>
      </c>
      <c r="X2" s="3">
        <v>6</v>
      </c>
      <c r="Y2" s="3">
        <v>7</v>
      </c>
      <c r="Z2" s="3">
        <v>3</v>
      </c>
      <c r="AA2" s="3">
        <v>3</v>
      </c>
      <c r="AB2" s="4">
        <v>5.5</v>
      </c>
      <c r="AC2" s="4">
        <v>2</v>
      </c>
      <c r="AD2" s="3">
        <v>5</v>
      </c>
      <c r="AE2" s="3">
        <v>5</v>
      </c>
      <c r="AF2" s="3">
        <v>2</v>
      </c>
      <c r="AG2" s="3" t="s">
        <v>122</v>
      </c>
      <c r="AH2" s="3" t="s">
        <v>122</v>
      </c>
      <c r="AI2" s="3" t="s">
        <v>122</v>
      </c>
      <c r="AJ2" s="3" t="s">
        <v>122</v>
      </c>
      <c r="AK2" s="3" t="s">
        <v>122</v>
      </c>
      <c r="AL2" s="3" t="s">
        <v>122</v>
      </c>
      <c r="AM2" s="3" t="s">
        <v>122</v>
      </c>
      <c r="AN2" s="3">
        <v>2</v>
      </c>
      <c r="AO2" s="3">
        <v>3</v>
      </c>
      <c r="AP2" s="3">
        <v>-999</v>
      </c>
      <c r="AQ2" s="42">
        <v>1</v>
      </c>
      <c r="AR2" cm="1">
        <f t="array" ref="AR2">_xlfn.IFS(AQ2*1=2,1,AQ2*1=4,1,TRUE,0)</f>
        <v>0</v>
      </c>
      <c r="AS2" cm="1">
        <f t="array" ref="AS2">_xlfn.IFS(AQ2*1=1,1,AQ2*1=2,1,TRUE,0)</f>
        <v>1</v>
      </c>
      <c r="AT2" s="3">
        <v>5</v>
      </c>
      <c r="AU2" s="3">
        <v>5</v>
      </c>
      <c r="AV2" s="36">
        <f t="shared" ref="AV2:AV33" si="0">IF(COUNT(AU2,J2)=2,AU2-J2,"")</f>
        <v>-1</v>
      </c>
      <c r="AW2" s="3">
        <f t="shared" ref="AW2:AW33" si="1">AT2-J2</f>
        <v>-1</v>
      </c>
      <c r="AX2" s="3">
        <f>IF($AR2=1,L2,U2)</f>
        <v>7</v>
      </c>
      <c r="AY2" s="3">
        <f t="shared" ref="AY2:BD2" si="2">IF($AR2=1,M2,V2)</f>
        <v>5</v>
      </c>
      <c r="AZ2" s="3">
        <f t="shared" si="2"/>
        <v>8</v>
      </c>
      <c r="BA2" s="3">
        <f t="shared" si="2"/>
        <v>6</v>
      </c>
      <c r="BB2" s="3">
        <f t="shared" si="2"/>
        <v>7</v>
      </c>
      <c r="BC2" s="3">
        <f t="shared" si="2"/>
        <v>3</v>
      </c>
      <c r="BD2" s="3">
        <f t="shared" si="2"/>
        <v>3</v>
      </c>
      <c r="BE2" s="3">
        <f>IF($AR2=1,U2,L2)</f>
        <v>6</v>
      </c>
      <c r="BF2" s="3">
        <f t="shared" ref="BF2:BK2" si="3">IF($AR2=1,V2,M2)</f>
        <v>5</v>
      </c>
      <c r="BG2" s="3">
        <f t="shared" si="3"/>
        <v>7</v>
      </c>
      <c r="BH2" s="3">
        <f t="shared" si="3"/>
        <v>4</v>
      </c>
      <c r="BI2" s="3">
        <f t="shared" si="3"/>
        <v>7</v>
      </c>
      <c r="BJ2" s="3">
        <f t="shared" si="3"/>
        <v>2</v>
      </c>
      <c r="BK2" s="3">
        <f t="shared" si="3"/>
        <v>3</v>
      </c>
      <c r="CA2" s="3">
        <v>2</v>
      </c>
      <c r="CB2" s="3">
        <f>IF(CA2=1,1,0)</f>
        <v>0</v>
      </c>
      <c r="CC2" s="3">
        <v>6</v>
      </c>
      <c r="CD2" s="3" cm="1">
        <f t="array" ref="CD2:CD61">_xlfn._xlws.FILTER(CC2:CC109,CB2:CB109=1)</f>
        <v>7</v>
      </c>
      <c r="CE2" s="3" cm="1">
        <f t="array" ref="CE2:CE49">_xlfn._xlws.FILTER(CC2:CC109,CB2:CB109=0)</f>
        <v>6</v>
      </c>
      <c r="CG2" s="3">
        <v>7</v>
      </c>
      <c r="CH2" s="3">
        <v>6</v>
      </c>
      <c r="CI2" s="3">
        <f>CG2-CH2</f>
        <v>1</v>
      </c>
    </row>
    <row r="3" spans="1:87" x14ac:dyDescent="0.4">
      <c r="A3" s="3">
        <v>202503</v>
      </c>
      <c r="B3" s="3">
        <v>1</v>
      </c>
      <c r="C3" s="3">
        <v>5</v>
      </c>
      <c r="D3" s="3">
        <v>4</v>
      </c>
      <c r="E3" s="3">
        <v>2</v>
      </c>
      <c r="F3" s="3">
        <v>1</v>
      </c>
      <c r="G3" s="3">
        <v>1</v>
      </c>
      <c r="H3" s="3">
        <v>1</v>
      </c>
      <c r="I3" s="3">
        <v>3</v>
      </c>
      <c r="J3" s="3">
        <v>4.5</v>
      </c>
      <c r="K3" s="3">
        <v>3</v>
      </c>
      <c r="L3" s="3">
        <v>7</v>
      </c>
      <c r="M3" s="3">
        <v>7</v>
      </c>
      <c r="N3" s="3">
        <v>7</v>
      </c>
      <c r="O3" s="3">
        <v>7</v>
      </c>
      <c r="P3" s="3">
        <v>7</v>
      </c>
      <c r="Q3" s="3">
        <v>2</v>
      </c>
      <c r="R3" s="3">
        <v>2</v>
      </c>
      <c r="S3" s="4" t="s">
        <v>122</v>
      </c>
      <c r="T3" s="4" t="s">
        <v>122</v>
      </c>
      <c r="U3" s="3">
        <v>3</v>
      </c>
      <c r="V3" s="3">
        <v>6</v>
      </c>
      <c r="W3" s="3">
        <v>6</v>
      </c>
      <c r="X3" s="3">
        <v>3</v>
      </c>
      <c r="Y3" s="3">
        <v>3</v>
      </c>
      <c r="Z3" s="3">
        <v>4</v>
      </c>
      <c r="AA3" s="3">
        <v>4</v>
      </c>
      <c r="AB3" s="4" t="s">
        <v>122</v>
      </c>
      <c r="AC3" s="4" t="s">
        <v>122</v>
      </c>
      <c r="AD3" s="3" t="s">
        <v>122</v>
      </c>
      <c r="AE3" s="3" t="s">
        <v>122</v>
      </c>
      <c r="AF3" s="3" t="s">
        <v>122</v>
      </c>
      <c r="AG3" s="3">
        <v>4.5</v>
      </c>
      <c r="AH3" s="3">
        <v>4</v>
      </c>
      <c r="AI3" s="3">
        <v>3</v>
      </c>
      <c r="AJ3" s="3">
        <v>4.5</v>
      </c>
      <c r="AK3" s="3">
        <v>2</v>
      </c>
      <c r="AL3" s="3">
        <v>4</v>
      </c>
      <c r="AM3" s="3">
        <v>3</v>
      </c>
      <c r="AN3" s="3">
        <v>2</v>
      </c>
      <c r="AO3" s="3">
        <v>3</v>
      </c>
      <c r="AP3" s="3">
        <v>3</v>
      </c>
      <c r="AQ3" s="42">
        <v>3</v>
      </c>
      <c r="AR3" cm="1">
        <f t="array" ref="AR3">_xlfn.IFS(AQ3*1=2,1,AQ3*1=4,1,TRUE,0)</f>
        <v>0</v>
      </c>
      <c r="AS3" cm="1">
        <f t="array" ref="AS3">_xlfn.IFS(AQ3*1=1,1,AQ3*1=2,1,TRUE,0)</f>
        <v>0</v>
      </c>
      <c r="AT3" s="3">
        <v>4.5</v>
      </c>
      <c r="AU3" s="3">
        <v>4</v>
      </c>
      <c r="AV3" s="36">
        <f t="shared" si="0"/>
        <v>-0.5</v>
      </c>
      <c r="AW3" s="3">
        <f t="shared" si="1"/>
        <v>0</v>
      </c>
      <c r="AX3" s="3">
        <f t="shared" ref="AX3:AX66" si="4">IF($AR3=1,L3,U3)</f>
        <v>3</v>
      </c>
      <c r="AY3" s="3">
        <f t="shared" ref="AY3:AY66" si="5">IF($AR3=1,M3,V3)</f>
        <v>6</v>
      </c>
      <c r="AZ3" s="3">
        <f t="shared" ref="AZ3:AZ66" si="6">IF($AR3=1,N3,W3)</f>
        <v>6</v>
      </c>
      <c r="BA3" s="3">
        <f t="shared" ref="BA3:BA66" si="7">IF($AR3=1,O3,X3)</f>
        <v>3</v>
      </c>
      <c r="BB3" s="3">
        <f t="shared" ref="BB3:BB66" si="8">IF($AR3=1,P3,Y3)</f>
        <v>3</v>
      </c>
      <c r="BC3" s="3">
        <f t="shared" ref="BC3:BC66" si="9">IF($AR3=1,Q3,Z3)</f>
        <v>4</v>
      </c>
      <c r="BD3" s="3">
        <f t="shared" ref="BD3:BD66" si="10">IF($AR3=1,R3,AA3)</f>
        <v>4</v>
      </c>
      <c r="BE3" s="3">
        <f t="shared" ref="BE3:BE66" si="11">IF($AR3=1,U3,L3)</f>
        <v>7</v>
      </c>
      <c r="BF3" s="3">
        <f t="shared" ref="BF3:BF66" si="12">IF($AR3=1,V3,M3)</f>
        <v>7</v>
      </c>
      <c r="BG3" s="3">
        <f t="shared" ref="BG3:BG66" si="13">IF($AR3=1,W3,N3)</f>
        <v>7</v>
      </c>
      <c r="BH3" s="3">
        <f t="shared" ref="BH3:BH66" si="14">IF($AR3=1,X3,O3)</f>
        <v>7</v>
      </c>
      <c r="BI3" s="3">
        <f t="shared" ref="BI3:BI66" si="15">IF($AR3=1,Y3,P3)</f>
        <v>7</v>
      </c>
      <c r="BJ3" s="3">
        <f t="shared" ref="BJ3:BJ66" si="16">IF($AR3=1,Z3,Q3)</f>
        <v>2</v>
      </c>
      <c r="BK3" s="3">
        <f t="shared" ref="BK3:BK66" si="17">IF($AR3=1,AA3,R3)</f>
        <v>2</v>
      </c>
      <c r="BO3" s="81" t="s">
        <v>1037</v>
      </c>
      <c r="BR3" s="81" t="s">
        <v>1037</v>
      </c>
      <c r="CA3" s="3">
        <v>2</v>
      </c>
      <c r="CB3" s="3">
        <f>IF(CA3=1,1,0)</f>
        <v>0</v>
      </c>
      <c r="CC3" s="3">
        <v>4.5</v>
      </c>
      <c r="CD3" s="3">
        <v>7</v>
      </c>
      <c r="CE3" s="3">
        <v>4.5</v>
      </c>
      <c r="CG3" s="3">
        <v>3</v>
      </c>
      <c r="CH3" s="3">
        <v>7</v>
      </c>
      <c r="CI3" s="3">
        <f t="shared" ref="CI3:CI66" si="18">CG3-CH3</f>
        <v>-4</v>
      </c>
    </row>
    <row r="4" spans="1:87" x14ac:dyDescent="0.4">
      <c r="A4" s="3">
        <v>202503</v>
      </c>
      <c r="B4" s="3">
        <v>1</v>
      </c>
      <c r="C4" s="3">
        <v>3</v>
      </c>
      <c r="D4" s="3">
        <v>1</v>
      </c>
      <c r="E4" s="3">
        <v>1</v>
      </c>
      <c r="F4" s="3">
        <v>2</v>
      </c>
      <c r="G4" s="3">
        <v>1</v>
      </c>
      <c r="H4" s="3">
        <v>1</v>
      </c>
      <c r="I4" s="3">
        <v>4</v>
      </c>
      <c r="J4" s="3">
        <v>4</v>
      </c>
      <c r="K4" s="3">
        <v>2</v>
      </c>
      <c r="L4" s="3">
        <v>6</v>
      </c>
      <c r="M4" s="3">
        <v>8</v>
      </c>
      <c r="N4" s="3">
        <v>7</v>
      </c>
      <c r="O4" s="3">
        <v>6</v>
      </c>
      <c r="P4" s="3">
        <v>6</v>
      </c>
      <c r="Q4" s="3">
        <v>3</v>
      </c>
      <c r="R4" s="3">
        <v>3</v>
      </c>
      <c r="S4" s="3" t="s">
        <v>122</v>
      </c>
      <c r="T4" s="3" t="s">
        <v>122</v>
      </c>
      <c r="U4" s="3">
        <v>7</v>
      </c>
      <c r="V4" s="3">
        <v>8</v>
      </c>
      <c r="W4" s="3">
        <v>7</v>
      </c>
      <c r="X4" s="3">
        <v>6</v>
      </c>
      <c r="Y4" s="3">
        <v>7</v>
      </c>
      <c r="Z4" s="3">
        <v>3</v>
      </c>
      <c r="AA4" s="3">
        <v>3</v>
      </c>
      <c r="AB4" s="3" t="s">
        <v>122</v>
      </c>
      <c r="AC4" s="3" t="s">
        <v>122</v>
      </c>
      <c r="AD4" s="3" t="s">
        <v>122</v>
      </c>
      <c r="AE4" s="3" t="s">
        <v>122</v>
      </c>
      <c r="AF4" s="3" t="s">
        <v>122</v>
      </c>
      <c r="AG4" s="3">
        <v>0</v>
      </c>
      <c r="AH4" s="3">
        <v>0</v>
      </c>
      <c r="AI4" s="3">
        <v>2</v>
      </c>
      <c r="AJ4" s="3">
        <v>4</v>
      </c>
      <c r="AK4" s="3">
        <v>2</v>
      </c>
      <c r="AL4" s="3">
        <v>4</v>
      </c>
      <c r="AM4" s="3">
        <v>2</v>
      </c>
      <c r="AN4" s="3">
        <v>2</v>
      </c>
      <c r="AO4" s="3">
        <v>4</v>
      </c>
      <c r="AP4" s="3">
        <v>3</v>
      </c>
      <c r="AQ4" s="42">
        <v>3</v>
      </c>
      <c r="AR4" cm="1">
        <f t="array" ref="AR4">_xlfn.IFS(AQ4*1=2,1,AQ4*1=4,1,TRUE,0)</f>
        <v>0</v>
      </c>
      <c r="AS4" cm="1">
        <f t="array" ref="AS4">_xlfn.IFS(AQ4*1=1,1,AQ4*1=2,1,TRUE,0)</f>
        <v>0</v>
      </c>
      <c r="AT4" s="3">
        <v>4</v>
      </c>
      <c r="AU4" s="3">
        <v>4</v>
      </c>
      <c r="AV4" s="36">
        <f t="shared" si="0"/>
        <v>0</v>
      </c>
      <c r="AW4" s="3">
        <f t="shared" si="1"/>
        <v>0</v>
      </c>
      <c r="AX4" s="3">
        <f t="shared" si="4"/>
        <v>7</v>
      </c>
      <c r="AY4" s="3">
        <f t="shared" si="5"/>
        <v>8</v>
      </c>
      <c r="AZ4" s="3">
        <f t="shared" si="6"/>
        <v>7</v>
      </c>
      <c r="BA4" s="3">
        <f t="shared" si="7"/>
        <v>6</v>
      </c>
      <c r="BB4" s="3">
        <f t="shared" si="8"/>
        <v>7</v>
      </c>
      <c r="BC4" s="3">
        <f t="shared" si="9"/>
        <v>3</v>
      </c>
      <c r="BD4" s="3">
        <f t="shared" si="10"/>
        <v>3</v>
      </c>
      <c r="BE4" s="3">
        <f t="shared" si="11"/>
        <v>6</v>
      </c>
      <c r="BF4" s="3">
        <f t="shared" si="12"/>
        <v>8</v>
      </c>
      <c r="BG4" s="3">
        <f t="shared" si="13"/>
        <v>7</v>
      </c>
      <c r="BH4" s="3">
        <f t="shared" si="14"/>
        <v>6</v>
      </c>
      <c r="BI4" s="3">
        <f t="shared" si="15"/>
        <v>6</v>
      </c>
      <c r="BJ4" s="3">
        <f t="shared" si="16"/>
        <v>3</v>
      </c>
      <c r="BK4" s="3">
        <f t="shared" si="17"/>
        <v>3</v>
      </c>
      <c r="CA4" s="3">
        <v>2</v>
      </c>
      <c r="CB4" s="3">
        <f t="shared" ref="CB4:CB8" si="19">IF(CA4=1,1,0)</f>
        <v>0</v>
      </c>
      <c r="CC4" s="3">
        <v>4</v>
      </c>
      <c r="CD4" s="3">
        <v>5</v>
      </c>
      <c r="CE4" s="3">
        <v>4</v>
      </c>
      <c r="CG4" s="3">
        <v>7</v>
      </c>
      <c r="CH4" s="3">
        <v>6</v>
      </c>
      <c r="CI4" s="3">
        <f t="shared" si="18"/>
        <v>1</v>
      </c>
    </row>
    <row r="5" spans="1:87" x14ac:dyDescent="0.4">
      <c r="A5" s="3">
        <v>202503</v>
      </c>
      <c r="B5" s="3">
        <v>1</v>
      </c>
      <c r="C5" s="3">
        <v>4</v>
      </c>
      <c r="D5" s="3">
        <v>2</v>
      </c>
      <c r="E5" s="3">
        <v>2</v>
      </c>
      <c r="F5" s="3">
        <v>1</v>
      </c>
      <c r="G5" s="3">
        <v>1</v>
      </c>
      <c r="H5" s="3">
        <v>2</v>
      </c>
      <c r="I5" s="3">
        <v>4</v>
      </c>
      <c r="J5" s="3">
        <v>7</v>
      </c>
      <c r="K5" s="3">
        <v>2</v>
      </c>
      <c r="L5" s="3">
        <v>8</v>
      </c>
      <c r="M5" s="3">
        <v>8</v>
      </c>
      <c r="N5" s="3">
        <v>9</v>
      </c>
      <c r="O5" s="3">
        <v>8</v>
      </c>
      <c r="P5" s="3">
        <v>7</v>
      </c>
      <c r="Q5" s="3">
        <v>3</v>
      </c>
      <c r="R5" s="3">
        <v>3</v>
      </c>
      <c r="S5" s="4" t="s">
        <v>122</v>
      </c>
      <c r="T5" s="4" t="s">
        <v>122</v>
      </c>
      <c r="U5" s="3">
        <v>6</v>
      </c>
      <c r="V5" s="3">
        <v>7</v>
      </c>
      <c r="W5" s="3">
        <v>5</v>
      </c>
      <c r="X5" s="3">
        <v>6</v>
      </c>
      <c r="Y5" s="3">
        <v>7</v>
      </c>
      <c r="Z5" s="3">
        <v>3</v>
      </c>
      <c r="AA5" s="3">
        <v>2</v>
      </c>
      <c r="AB5" s="4" t="s">
        <v>122</v>
      </c>
      <c r="AC5" s="4" t="s">
        <v>122</v>
      </c>
      <c r="AD5" s="3" t="s">
        <v>122</v>
      </c>
      <c r="AE5" s="3" t="s">
        <v>122</v>
      </c>
      <c r="AF5" s="3" t="s">
        <v>122</v>
      </c>
      <c r="AG5" s="3">
        <v>7</v>
      </c>
      <c r="AH5" s="3">
        <v>7</v>
      </c>
      <c r="AI5" s="3">
        <v>3</v>
      </c>
      <c r="AJ5" s="3">
        <v>6</v>
      </c>
      <c r="AK5" s="3">
        <v>3</v>
      </c>
      <c r="AL5" s="3">
        <v>7.5</v>
      </c>
      <c r="AM5" s="3">
        <v>2</v>
      </c>
      <c r="AN5" s="3">
        <v>1</v>
      </c>
      <c r="AO5" s="3">
        <v>5</v>
      </c>
      <c r="AP5" s="3">
        <v>6</v>
      </c>
      <c r="AQ5" s="42">
        <v>4</v>
      </c>
      <c r="AR5" cm="1">
        <f t="array" ref="AR5">_xlfn.IFS(AQ5*1=2,1,AQ5*1=4,1,TRUE,0)</f>
        <v>1</v>
      </c>
      <c r="AS5" cm="1">
        <f t="array" ref="AS5">_xlfn.IFS(AQ5*1=1,1,AQ5*1=2,1,TRUE,0)</f>
        <v>0</v>
      </c>
      <c r="AT5" s="3">
        <v>6</v>
      </c>
      <c r="AU5" s="3">
        <v>7.5</v>
      </c>
      <c r="AV5" s="36">
        <f t="shared" si="0"/>
        <v>0.5</v>
      </c>
      <c r="AW5" s="3">
        <f t="shared" si="1"/>
        <v>-1</v>
      </c>
      <c r="AX5" s="3">
        <f t="shared" si="4"/>
        <v>8</v>
      </c>
      <c r="AY5" s="3">
        <f t="shared" si="5"/>
        <v>8</v>
      </c>
      <c r="AZ5" s="3">
        <f t="shared" si="6"/>
        <v>9</v>
      </c>
      <c r="BA5" s="3">
        <f t="shared" si="7"/>
        <v>8</v>
      </c>
      <c r="BB5" s="3">
        <f t="shared" si="8"/>
        <v>7</v>
      </c>
      <c r="BC5" s="3">
        <f t="shared" si="9"/>
        <v>3</v>
      </c>
      <c r="BD5" s="3">
        <f t="shared" si="10"/>
        <v>3</v>
      </c>
      <c r="BE5" s="3">
        <f t="shared" si="11"/>
        <v>6</v>
      </c>
      <c r="BF5" s="3">
        <f t="shared" si="12"/>
        <v>7</v>
      </c>
      <c r="BG5" s="3">
        <f t="shared" si="13"/>
        <v>5</v>
      </c>
      <c r="BH5" s="3">
        <f t="shared" si="14"/>
        <v>6</v>
      </c>
      <c r="BI5" s="3">
        <f t="shared" si="15"/>
        <v>7</v>
      </c>
      <c r="BJ5" s="3">
        <f t="shared" si="16"/>
        <v>3</v>
      </c>
      <c r="BK5" s="3">
        <f t="shared" si="17"/>
        <v>2</v>
      </c>
      <c r="CA5" s="3">
        <v>1</v>
      </c>
      <c r="CB5" s="3">
        <f t="shared" si="19"/>
        <v>1</v>
      </c>
      <c r="CC5" s="3">
        <v>7</v>
      </c>
      <c r="CD5" s="3">
        <v>4</v>
      </c>
      <c r="CE5" s="3">
        <v>4.5</v>
      </c>
      <c r="CG5" s="3">
        <v>8</v>
      </c>
      <c r="CH5" s="3">
        <v>6</v>
      </c>
      <c r="CI5" s="3">
        <f t="shared" si="18"/>
        <v>2</v>
      </c>
    </row>
    <row r="6" spans="1:87" x14ac:dyDescent="0.4">
      <c r="A6" s="3">
        <v>202503</v>
      </c>
      <c r="B6" s="3">
        <v>1</v>
      </c>
      <c r="C6" s="3">
        <v>2</v>
      </c>
      <c r="D6" s="3">
        <v>2</v>
      </c>
      <c r="E6" s="3">
        <v>1</v>
      </c>
      <c r="F6" s="3">
        <v>4</v>
      </c>
      <c r="G6" s="3">
        <v>3</v>
      </c>
      <c r="H6" s="3">
        <v>1</v>
      </c>
      <c r="I6" s="3">
        <v>5</v>
      </c>
      <c r="J6" s="3">
        <v>7</v>
      </c>
      <c r="K6" s="3">
        <v>3</v>
      </c>
      <c r="L6" s="3">
        <v>9</v>
      </c>
      <c r="M6" s="3">
        <v>8</v>
      </c>
      <c r="N6" s="3">
        <v>8</v>
      </c>
      <c r="O6" s="3">
        <v>9</v>
      </c>
      <c r="P6" s="3">
        <v>6</v>
      </c>
      <c r="Q6" s="3">
        <v>2</v>
      </c>
      <c r="R6" s="3">
        <v>3</v>
      </c>
      <c r="S6" s="3" t="s">
        <v>122</v>
      </c>
      <c r="T6" s="3" t="s">
        <v>122</v>
      </c>
      <c r="U6" s="3">
        <v>4</v>
      </c>
      <c r="V6" s="3">
        <v>9</v>
      </c>
      <c r="W6" s="3">
        <v>5</v>
      </c>
      <c r="X6" s="3">
        <v>4</v>
      </c>
      <c r="Y6" s="3">
        <v>6</v>
      </c>
      <c r="Z6" s="3">
        <v>2</v>
      </c>
      <c r="AA6" s="3">
        <v>4</v>
      </c>
      <c r="AB6" s="3" t="s">
        <v>122</v>
      </c>
      <c r="AC6" s="3" t="s">
        <v>122</v>
      </c>
      <c r="AD6" s="3" t="s">
        <v>122</v>
      </c>
      <c r="AE6" s="3" t="s">
        <v>122</v>
      </c>
      <c r="AF6" s="3" t="s">
        <v>122</v>
      </c>
      <c r="AG6" s="3">
        <v>7</v>
      </c>
      <c r="AH6" s="3">
        <v>7</v>
      </c>
      <c r="AI6" s="3">
        <v>3</v>
      </c>
      <c r="AJ6" s="3">
        <v>0</v>
      </c>
      <c r="AK6" s="3" t="s">
        <v>122</v>
      </c>
      <c r="AL6" s="3">
        <v>6.5</v>
      </c>
      <c r="AM6" s="3">
        <v>3</v>
      </c>
      <c r="AN6" s="3">
        <v>1</v>
      </c>
      <c r="AO6" s="3">
        <v>2</v>
      </c>
      <c r="AP6" s="3">
        <v>6</v>
      </c>
      <c r="AQ6" s="42">
        <v>4</v>
      </c>
      <c r="AR6" cm="1">
        <f t="array" ref="AR6">_xlfn.IFS(AQ6*1=2,1,AQ6*1=4,1,TRUE,0)</f>
        <v>1</v>
      </c>
      <c r="AS6" cm="1">
        <f t="array" ref="AS6">_xlfn.IFS(AQ6*1=1,1,AQ6*1=2,1,TRUE,0)</f>
        <v>0</v>
      </c>
      <c r="AT6" s="3">
        <v>0</v>
      </c>
      <c r="AU6" s="3">
        <v>6.5</v>
      </c>
      <c r="AV6" s="36">
        <f t="shared" si="0"/>
        <v>-0.5</v>
      </c>
      <c r="AW6" s="3">
        <f t="shared" si="1"/>
        <v>-7</v>
      </c>
      <c r="AX6" s="3">
        <f t="shared" si="4"/>
        <v>9</v>
      </c>
      <c r="AY6" s="3">
        <f t="shared" si="5"/>
        <v>8</v>
      </c>
      <c r="AZ6" s="3">
        <f t="shared" si="6"/>
        <v>8</v>
      </c>
      <c r="BA6" s="3">
        <f t="shared" si="7"/>
        <v>9</v>
      </c>
      <c r="BB6" s="3">
        <f t="shared" si="8"/>
        <v>6</v>
      </c>
      <c r="BC6" s="3">
        <f t="shared" si="9"/>
        <v>2</v>
      </c>
      <c r="BD6" s="3">
        <f t="shared" si="10"/>
        <v>3</v>
      </c>
      <c r="BE6" s="3">
        <f t="shared" si="11"/>
        <v>4</v>
      </c>
      <c r="BF6" s="3">
        <f t="shared" si="12"/>
        <v>9</v>
      </c>
      <c r="BG6" s="3">
        <f t="shared" si="13"/>
        <v>5</v>
      </c>
      <c r="BH6" s="3">
        <f t="shared" si="14"/>
        <v>4</v>
      </c>
      <c r="BI6" s="3">
        <f t="shared" si="15"/>
        <v>6</v>
      </c>
      <c r="BJ6" s="3">
        <f t="shared" si="16"/>
        <v>2</v>
      </c>
      <c r="BK6" s="3">
        <f t="shared" si="17"/>
        <v>4</v>
      </c>
      <c r="CA6" s="3">
        <v>1</v>
      </c>
      <c r="CB6" s="3">
        <f t="shared" si="19"/>
        <v>1</v>
      </c>
      <c r="CC6" s="3">
        <v>7</v>
      </c>
      <c r="CD6" s="3">
        <v>6</v>
      </c>
      <c r="CE6" s="3">
        <v>2</v>
      </c>
      <c r="CG6" s="3">
        <v>9</v>
      </c>
      <c r="CH6" s="3">
        <v>4</v>
      </c>
      <c r="CI6" s="3">
        <f t="shared" si="18"/>
        <v>5</v>
      </c>
    </row>
    <row r="7" spans="1:87" x14ac:dyDescent="0.4">
      <c r="A7" s="3">
        <v>202503</v>
      </c>
      <c r="B7" s="3">
        <v>1</v>
      </c>
      <c r="C7" s="3">
        <v>5</v>
      </c>
      <c r="D7" s="3">
        <v>2</v>
      </c>
      <c r="E7" s="3">
        <v>4</v>
      </c>
      <c r="F7" s="3">
        <v>3</v>
      </c>
      <c r="G7" s="3">
        <v>2</v>
      </c>
      <c r="H7" s="3">
        <v>2</v>
      </c>
      <c r="I7" s="3">
        <v>2</v>
      </c>
      <c r="J7" s="3">
        <v>5</v>
      </c>
      <c r="K7" s="3">
        <v>2</v>
      </c>
      <c r="L7" s="3">
        <v>8</v>
      </c>
      <c r="M7" s="3">
        <v>8</v>
      </c>
      <c r="N7" s="3">
        <v>8</v>
      </c>
      <c r="O7" s="3">
        <v>6</v>
      </c>
      <c r="P7" s="3">
        <v>8</v>
      </c>
      <c r="Q7" s="3">
        <v>3</v>
      </c>
      <c r="R7" s="3">
        <v>3</v>
      </c>
      <c r="S7" s="3">
        <v>5</v>
      </c>
      <c r="T7" s="3">
        <v>3</v>
      </c>
      <c r="U7" s="3">
        <v>7</v>
      </c>
      <c r="V7" s="3">
        <v>8</v>
      </c>
      <c r="W7" s="3">
        <v>6</v>
      </c>
      <c r="X7" s="3">
        <v>7</v>
      </c>
      <c r="Y7" s="3">
        <v>7</v>
      </c>
      <c r="Z7" s="3">
        <v>2</v>
      </c>
      <c r="AA7" s="3">
        <v>2</v>
      </c>
      <c r="AB7" s="3">
        <v>5</v>
      </c>
      <c r="AC7" s="3">
        <v>3</v>
      </c>
      <c r="AD7" s="3">
        <v>5</v>
      </c>
      <c r="AE7" s="3">
        <v>4.5</v>
      </c>
      <c r="AF7" s="3">
        <v>3</v>
      </c>
      <c r="AG7" s="3" t="s">
        <v>122</v>
      </c>
      <c r="AH7" s="3" t="s">
        <v>122</v>
      </c>
      <c r="AI7" s="3" t="s">
        <v>122</v>
      </c>
      <c r="AJ7" s="3" t="s">
        <v>122</v>
      </c>
      <c r="AK7" s="3" t="s">
        <v>122</v>
      </c>
      <c r="AL7" s="3" t="s">
        <v>122</v>
      </c>
      <c r="AM7" s="3" t="s">
        <v>122</v>
      </c>
      <c r="AN7" s="3">
        <v>1</v>
      </c>
      <c r="AO7" s="3">
        <v>4</v>
      </c>
      <c r="AP7" s="3">
        <v>4</v>
      </c>
      <c r="AQ7" s="42">
        <v>2</v>
      </c>
      <c r="AR7" cm="1">
        <f t="array" ref="AR7">_xlfn.IFS(AQ7*1=2,1,AQ7*1=4,1,TRUE,0)</f>
        <v>1</v>
      </c>
      <c r="AS7" cm="1">
        <f t="array" ref="AS7">_xlfn.IFS(AQ7*1=1,1,AQ7*1=2,1,TRUE,0)</f>
        <v>1</v>
      </c>
      <c r="AT7" s="3">
        <v>5</v>
      </c>
      <c r="AU7" s="3">
        <v>4.5</v>
      </c>
      <c r="AV7" s="36">
        <f t="shared" si="0"/>
        <v>-0.5</v>
      </c>
      <c r="AW7" s="3">
        <f t="shared" si="1"/>
        <v>0</v>
      </c>
      <c r="AX7" s="3">
        <f t="shared" si="4"/>
        <v>8</v>
      </c>
      <c r="AY7" s="3">
        <f t="shared" si="5"/>
        <v>8</v>
      </c>
      <c r="AZ7" s="3">
        <f t="shared" si="6"/>
        <v>8</v>
      </c>
      <c r="BA7" s="3">
        <f t="shared" si="7"/>
        <v>6</v>
      </c>
      <c r="BB7" s="3">
        <f t="shared" si="8"/>
        <v>8</v>
      </c>
      <c r="BC7" s="3">
        <f t="shared" si="9"/>
        <v>3</v>
      </c>
      <c r="BD7" s="3">
        <f t="shared" si="10"/>
        <v>3</v>
      </c>
      <c r="BE7" s="3">
        <f t="shared" si="11"/>
        <v>7</v>
      </c>
      <c r="BF7" s="3">
        <f t="shared" si="12"/>
        <v>8</v>
      </c>
      <c r="BG7" s="3">
        <f t="shared" si="13"/>
        <v>6</v>
      </c>
      <c r="BH7" s="3">
        <f t="shared" si="14"/>
        <v>7</v>
      </c>
      <c r="BI7" s="3">
        <f t="shared" si="15"/>
        <v>7</v>
      </c>
      <c r="BJ7" s="3">
        <f t="shared" si="16"/>
        <v>2</v>
      </c>
      <c r="BK7" s="3">
        <f t="shared" si="17"/>
        <v>2</v>
      </c>
      <c r="CA7" s="3">
        <v>1</v>
      </c>
      <c r="CB7" s="3">
        <f t="shared" si="19"/>
        <v>1</v>
      </c>
      <c r="CC7" s="3">
        <v>5</v>
      </c>
      <c r="CD7" s="3">
        <v>4</v>
      </c>
      <c r="CE7" s="3">
        <v>5</v>
      </c>
      <c r="CG7" s="3">
        <v>8</v>
      </c>
      <c r="CH7" s="3">
        <v>7</v>
      </c>
      <c r="CI7" s="3">
        <f t="shared" si="18"/>
        <v>1</v>
      </c>
    </row>
    <row r="8" spans="1:87" x14ac:dyDescent="0.4">
      <c r="A8" s="3">
        <v>202503</v>
      </c>
      <c r="B8" s="3">
        <v>1</v>
      </c>
      <c r="C8" s="3">
        <v>4</v>
      </c>
      <c r="D8" s="3">
        <v>4</v>
      </c>
      <c r="E8" s="3">
        <v>2</v>
      </c>
      <c r="F8" s="3">
        <v>2</v>
      </c>
      <c r="G8" s="3">
        <v>1</v>
      </c>
      <c r="H8" s="3">
        <v>1</v>
      </c>
      <c r="I8" s="3">
        <v>2</v>
      </c>
      <c r="J8" s="3">
        <v>4.5</v>
      </c>
      <c r="K8" s="3">
        <v>2</v>
      </c>
      <c r="L8" s="3">
        <v>4</v>
      </c>
      <c r="M8" s="3">
        <v>5</v>
      </c>
      <c r="N8" s="3">
        <v>3</v>
      </c>
      <c r="O8" s="3">
        <v>4</v>
      </c>
      <c r="P8" s="3">
        <v>5</v>
      </c>
      <c r="Q8" s="3">
        <v>4</v>
      </c>
      <c r="R8" s="3">
        <v>2</v>
      </c>
      <c r="S8" s="3" t="s">
        <v>122</v>
      </c>
      <c r="T8" s="3" t="s">
        <v>122</v>
      </c>
      <c r="U8" s="3">
        <v>6</v>
      </c>
      <c r="V8" s="3">
        <v>7</v>
      </c>
      <c r="W8" s="3">
        <v>6</v>
      </c>
      <c r="X8" s="3">
        <v>6</v>
      </c>
      <c r="Y8" s="3">
        <v>5</v>
      </c>
      <c r="Z8" s="3">
        <v>3</v>
      </c>
      <c r="AA8" s="3">
        <v>2</v>
      </c>
      <c r="AB8" s="3" t="s">
        <v>122</v>
      </c>
      <c r="AC8" s="3" t="s">
        <v>122</v>
      </c>
      <c r="AD8" s="3" t="s">
        <v>122</v>
      </c>
      <c r="AE8" s="3" t="s">
        <v>122</v>
      </c>
      <c r="AF8" s="3" t="s">
        <v>122</v>
      </c>
      <c r="AG8" s="3">
        <v>4.5</v>
      </c>
      <c r="AH8" s="3">
        <v>4.5</v>
      </c>
      <c r="AI8" s="3">
        <v>2</v>
      </c>
      <c r="AJ8" s="3">
        <v>4</v>
      </c>
      <c r="AK8" s="3">
        <v>2</v>
      </c>
      <c r="AL8" s="3">
        <v>4.5</v>
      </c>
      <c r="AM8" s="3">
        <v>2</v>
      </c>
      <c r="AN8" s="3">
        <v>2</v>
      </c>
      <c r="AO8" s="3">
        <v>5</v>
      </c>
      <c r="AP8" s="3">
        <v>5</v>
      </c>
      <c r="AQ8" s="42">
        <v>3</v>
      </c>
      <c r="AR8" cm="1">
        <f t="array" ref="AR8">_xlfn.IFS(AQ8*1=2,1,AQ8*1=4,1,TRUE,0)</f>
        <v>0</v>
      </c>
      <c r="AS8" cm="1">
        <f t="array" ref="AS8">_xlfn.IFS(AQ8*1=1,1,AQ8*1=2,1,TRUE,0)</f>
        <v>0</v>
      </c>
      <c r="AT8" s="3">
        <v>4</v>
      </c>
      <c r="AU8" s="3">
        <v>4.5</v>
      </c>
      <c r="AV8" s="36">
        <f t="shared" si="0"/>
        <v>0</v>
      </c>
      <c r="AW8" s="3">
        <f t="shared" si="1"/>
        <v>-0.5</v>
      </c>
      <c r="AX8" s="3">
        <f t="shared" si="4"/>
        <v>6</v>
      </c>
      <c r="AY8" s="3">
        <f t="shared" si="5"/>
        <v>7</v>
      </c>
      <c r="AZ8" s="3">
        <f t="shared" si="6"/>
        <v>6</v>
      </c>
      <c r="BA8" s="3">
        <f t="shared" si="7"/>
        <v>6</v>
      </c>
      <c r="BB8" s="3">
        <f t="shared" si="8"/>
        <v>5</v>
      </c>
      <c r="BC8" s="3">
        <f t="shared" si="9"/>
        <v>3</v>
      </c>
      <c r="BD8" s="3">
        <f t="shared" si="10"/>
        <v>2</v>
      </c>
      <c r="BE8" s="3">
        <f t="shared" si="11"/>
        <v>4</v>
      </c>
      <c r="BF8" s="3">
        <f t="shared" si="12"/>
        <v>5</v>
      </c>
      <c r="BG8" s="3">
        <f t="shared" si="13"/>
        <v>3</v>
      </c>
      <c r="BH8" s="3">
        <f t="shared" si="14"/>
        <v>4</v>
      </c>
      <c r="BI8" s="3">
        <f t="shared" si="15"/>
        <v>5</v>
      </c>
      <c r="BJ8" s="3">
        <f t="shared" si="16"/>
        <v>4</v>
      </c>
      <c r="BK8" s="3">
        <f t="shared" si="17"/>
        <v>2</v>
      </c>
      <c r="CA8" s="3">
        <v>2</v>
      </c>
      <c r="CB8" s="3">
        <f t="shared" si="19"/>
        <v>0</v>
      </c>
      <c r="CC8" s="3">
        <v>4.5</v>
      </c>
      <c r="CD8" s="3">
        <v>4</v>
      </c>
      <c r="CE8" s="3">
        <v>4</v>
      </c>
      <c r="CG8" s="3">
        <v>6</v>
      </c>
      <c r="CH8" s="3">
        <v>4</v>
      </c>
      <c r="CI8" s="3">
        <f t="shared" si="18"/>
        <v>2</v>
      </c>
    </row>
    <row r="9" spans="1:87" x14ac:dyDescent="0.4">
      <c r="A9" s="3">
        <v>202503</v>
      </c>
      <c r="B9" s="3">
        <v>1</v>
      </c>
      <c r="C9" s="3">
        <v>5</v>
      </c>
      <c r="D9" s="3">
        <v>2</v>
      </c>
      <c r="E9" s="3">
        <v>2</v>
      </c>
      <c r="F9" s="3">
        <v>3</v>
      </c>
      <c r="G9" s="3">
        <v>2</v>
      </c>
      <c r="H9" s="3">
        <v>3</v>
      </c>
      <c r="I9" s="3">
        <v>4</v>
      </c>
      <c r="J9" s="3">
        <v>4</v>
      </c>
      <c r="K9" s="3">
        <v>2</v>
      </c>
      <c r="L9" s="3">
        <v>7</v>
      </c>
      <c r="M9" s="3">
        <v>8</v>
      </c>
      <c r="N9" s="3">
        <v>7</v>
      </c>
      <c r="O9" s="3">
        <v>6</v>
      </c>
      <c r="P9" s="3">
        <v>7</v>
      </c>
      <c r="Q9" s="3">
        <v>2</v>
      </c>
      <c r="R9" s="3">
        <v>3</v>
      </c>
      <c r="S9" s="4">
        <v>5</v>
      </c>
      <c r="T9" s="4">
        <v>3</v>
      </c>
      <c r="U9" s="3">
        <v>6</v>
      </c>
      <c r="V9" s="3">
        <v>8</v>
      </c>
      <c r="W9" s="3">
        <v>7</v>
      </c>
      <c r="X9" s="3">
        <v>6</v>
      </c>
      <c r="Y9" s="3">
        <v>8</v>
      </c>
      <c r="Z9" s="3">
        <v>3</v>
      </c>
      <c r="AA9" s="3">
        <v>3</v>
      </c>
      <c r="AB9" s="4">
        <v>5</v>
      </c>
      <c r="AC9" s="4">
        <v>3</v>
      </c>
      <c r="AD9" s="3">
        <v>5</v>
      </c>
      <c r="AE9" s="3">
        <v>5</v>
      </c>
      <c r="AF9" s="3">
        <v>3</v>
      </c>
      <c r="AG9" s="3" t="s">
        <v>122</v>
      </c>
      <c r="AH9" s="3" t="s">
        <v>122</v>
      </c>
      <c r="AI9" s="3" t="s">
        <v>122</v>
      </c>
      <c r="AJ9" s="3" t="s">
        <v>122</v>
      </c>
      <c r="AK9" s="3" t="s">
        <v>122</v>
      </c>
      <c r="AL9" s="3" t="s">
        <v>122</v>
      </c>
      <c r="AM9" s="3" t="s">
        <v>122</v>
      </c>
      <c r="AN9" s="3">
        <v>1</v>
      </c>
      <c r="AO9" s="3">
        <v>3</v>
      </c>
      <c r="AP9" s="3">
        <v>3</v>
      </c>
      <c r="AQ9" s="42">
        <v>1</v>
      </c>
      <c r="AR9" cm="1">
        <f t="array" ref="AR9">_xlfn.IFS(AQ9*1=2,1,AQ9*1=4,1,TRUE,0)</f>
        <v>0</v>
      </c>
      <c r="AS9" cm="1">
        <f t="array" ref="AS9">_xlfn.IFS(AQ9*1=1,1,AQ9*1=2,1,TRUE,0)</f>
        <v>1</v>
      </c>
      <c r="AT9" s="3">
        <v>5</v>
      </c>
      <c r="AU9" s="3">
        <v>5</v>
      </c>
      <c r="AV9" s="36">
        <f t="shared" si="0"/>
        <v>1</v>
      </c>
      <c r="AW9" s="3">
        <f t="shared" si="1"/>
        <v>1</v>
      </c>
      <c r="AX9" s="3">
        <f t="shared" si="4"/>
        <v>6</v>
      </c>
      <c r="AY9" s="3">
        <f t="shared" si="5"/>
        <v>8</v>
      </c>
      <c r="AZ9" s="3">
        <f t="shared" si="6"/>
        <v>7</v>
      </c>
      <c r="BA9" s="3">
        <f t="shared" si="7"/>
        <v>6</v>
      </c>
      <c r="BB9" s="3">
        <f t="shared" si="8"/>
        <v>8</v>
      </c>
      <c r="BC9" s="3">
        <f t="shared" si="9"/>
        <v>3</v>
      </c>
      <c r="BD9" s="3">
        <f t="shared" si="10"/>
        <v>3</v>
      </c>
      <c r="BE9" s="3">
        <f t="shared" si="11"/>
        <v>7</v>
      </c>
      <c r="BF9" s="3">
        <f t="shared" si="12"/>
        <v>8</v>
      </c>
      <c r="BG9" s="3">
        <f t="shared" si="13"/>
        <v>7</v>
      </c>
      <c r="BH9" s="3">
        <f t="shared" si="14"/>
        <v>6</v>
      </c>
      <c r="BI9" s="3">
        <f t="shared" si="15"/>
        <v>7</v>
      </c>
      <c r="BJ9" s="3">
        <f t="shared" si="16"/>
        <v>2</v>
      </c>
      <c r="BK9" s="3">
        <f t="shared" si="17"/>
        <v>3</v>
      </c>
      <c r="BO9" s="78"/>
      <c r="BP9" s="81" t="s">
        <v>32</v>
      </c>
      <c r="BR9" s="78"/>
      <c r="BS9" s="81" t="s">
        <v>1014</v>
      </c>
      <c r="BT9" s="81" t="s">
        <v>1021</v>
      </c>
      <c r="CA9" s="3">
        <v>1</v>
      </c>
      <c r="CB9" s="3">
        <f>IF(CA9=1,1,0)</f>
        <v>1</v>
      </c>
      <c r="CC9" s="3">
        <v>4</v>
      </c>
      <c r="CD9" s="3">
        <v>4.5</v>
      </c>
      <c r="CE9" s="3">
        <v>2</v>
      </c>
      <c r="CG9" s="3">
        <v>6</v>
      </c>
      <c r="CH9" s="3">
        <v>7</v>
      </c>
      <c r="CI9" s="3">
        <f t="shared" si="18"/>
        <v>-1</v>
      </c>
    </row>
    <row r="10" spans="1:87" x14ac:dyDescent="0.4">
      <c r="A10" s="3">
        <v>202503</v>
      </c>
      <c r="B10" s="3">
        <v>1</v>
      </c>
      <c r="C10" s="3">
        <v>2</v>
      </c>
      <c r="D10" s="3">
        <v>1</v>
      </c>
      <c r="E10" s="3">
        <v>1</v>
      </c>
      <c r="F10" s="3">
        <v>2</v>
      </c>
      <c r="G10" s="3">
        <v>2</v>
      </c>
      <c r="H10" s="3">
        <v>1</v>
      </c>
      <c r="I10" s="3">
        <v>2</v>
      </c>
      <c r="J10" s="3">
        <v>6</v>
      </c>
      <c r="K10" s="3">
        <v>2</v>
      </c>
      <c r="L10" s="3">
        <v>7</v>
      </c>
      <c r="M10" s="3">
        <v>8</v>
      </c>
      <c r="N10" s="3">
        <v>4</v>
      </c>
      <c r="O10" s="3">
        <v>7</v>
      </c>
      <c r="P10" s="3">
        <v>5</v>
      </c>
      <c r="Q10" s="3">
        <v>3</v>
      </c>
      <c r="R10" s="3">
        <v>2</v>
      </c>
      <c r="S10" s="4">
        <v>6.5</v>
      </c>
      <c r="T10" s="4">
        <v>2</v>
      </c>
      <c r="U10" s="3">
        <v>7</v>
      </c>
      <c r="V10" s="3">
        <v>6</v>
      </c>
      <c r="W10" s="3">
        <v>6</v>
      </c>
      <c r="X10" s="3">
        <v>7</v>
      </c>
      <c r="Y10" s="3">
        <v>5</v>
      </c>
      <c r="Z10" s="3">
        <v>3</v>
      </c>
      <c r="AA10" s="3">
        <v>3</v>
      </c>
      <c r="AB10" s="4">
        <v>6.5</v>
      </c>
      <c r="AC10" s="4">
        <v>2</v>
      </c>
      <c r="AD10" s="3">
        <v>6.5</v>
      </c>
      <c r="AE10" s="3">
        <v>6.5</v>
      </c>
      <c r="AF10" s="3">
        <v>2</v>
      </c>
      <c r="AG10" s="3" t="s">
        <v>122</v>
      </c>
      <c r="AH10" s="3" t="s">
        <v>122</v>
      </c>
      <c r="AI10" s="3" t="s">
        <v>122</v>
      </c>
      <c r="AJ10" s="3" t="s">
        <v>122</v>
      </c>
      <c r="AK10" s="3" t="s">
        <v>122</v>
      </c>
      <c r="AL10" s="3" t="s">
        <v>122</v>
      </c>
      <c r="AM10" s="3" t="s">
        <v>122</v>
      </c>
      <c r="AN10" s="3">
        <v>1</v>
      </c>
      <c r="AO10" s="3">
        <v>5</v>
      </c>
      <c r="AP10" s="3">
        <v>6</v>
      </c>
      <c r="AQ10" s="42">
        <v>2</v>
      </c>
      <c r="AR10" cm="1">
        <f t="array" ref="AR10">_xlfn.IFS(AQ10*1=2,1,AQ10*1=4,1,TRUE,0)</f>
        <v>1</v>
      </c>
      <c r="AS10" cm="1">
        <f t="array" ref="AS10">_xlfn.IFS(AQ10*1=1,1,AQ10*1=2,1,TRUE,0)</f>
        <v>1</v>
      </c>
      <c r="AT10" s="3">
        <v>6.5</v>
      </c>
      <c r="AU10" s="3">
        <v>6.5</v>
      </c>
      <c r="AV10" s="36">
        <f t="shared" si="0"/>
        <v>0.5</v>
      </c>
      <c r="AW10" s="3">
        <f t="shared" si="1"/>
        <v>0.5</v>
      </c>
      <c r="AX10" s="3">
        <f t="shared" si="4"/>
        <v>7</v>
      </c>
      <c r="AY10" s="3">
        <f t="shared" si="5"/>
        <v>8</v>
      </c>
      <c r="AZ10" s="3">
        <f t="shared" si="6"/>
        <v>4</v>
      </c>
      <c r="BA10" s="3">
        <f t="shared" si="7"/>
        <v>7</v>
      </c>
      <c r="BB10" s="3">
        <f t="shared" si="8"/>
        <v>5</v>
      </c>
      <c r="BC10" s="3">
        <f t="shared" si="9"/>
        <v>3</v>
      </c>
      <c r="BD10" s="3">
        <f t="shared" si="10"/>
        <v>2</v>
      </c>
      <c r="BE10" s="3">
        <f t="shared" si="11"/>
        <v>7</v>
      </c>
      <c r="BF10" s="3">
        <f t="shared" si="12"/>
        <v>6</v>
      </c>
      <c r="BG10" s="3">
        <f t="shared" si="13"/>
        <v>6</v>
      </c>
      <c r="BH10" s="3">
        <f t="shared" si="14"/>
        <v>7</v>
      </c>
      <c r="BI10" s="3">
        <f t="shared" si="15"/>
        <v>5</v>
      </c>
      <c r="BJ10" s="3">
        <f t="shared" si="16"/>
        <v>3</v>
      </c>
      <c r="BK10" s="3">
        <f t="shared" si="17"/>
        <v>3</v>
      </c>
      <c r="CA10" s="3">
        <v>1</v>
      </c>
      <c r="CB10" s="3">
        <f t="shared" ref="CB10:CB73" si="20">IF(CA10=1,1,0)</f>
        <v>1</v>
      </c>
      <c r="CC10" s="3">
        <v>6</v>
      </c>
      <c r="CD10" s="3">
        <v>6</v>
      </c>
      <c r="CE10" s="3">
        <v>8</v>
      </c>
      <c r="CG10" s="3">
        <v>7</v>
      </c>
      <c r="CH10" s="3">
        <v>7</v>
      </c>
      <c r="CI10" s="3">
        <f t="shared" si="18"/>
        <v>0</v>
      </c>
    </row>
    <row r="11" spans="1:87" x14ac:dyDescent="0.4">
      <c r="A11" s="3">
        <v>202503</v>
      </c>
      <c r="B11" s="3">
        <v>1</v>
      </c>
      <c r="C11" s="3">
        <v>4</v>
      </c>
      <c r="D11" s="3">
        <v>3</v>
      </c>
      <c r="E11" s="3">
        <v>1</v>
      </c>
      <c r="F11" s="3">
        <v>4</v>
      </c>
      <c r="G11" s="3">
        <v>3</v>
      </c>
      <c r="H11" s="3">
        <v>1</v>
      </c>
      <c r="I11" s="3">
        <v>4</v>
      </c>
      <c r="J11" s="3">
        <v>2</v>
      </c>
      <c r="K11" s="3">
        <v>3</v>
      </c>
      <c r="L11" s="3">
        <v>3</v>
      </c>
      <c r="M11" s="3">
        <v>8</v>
      </c>
      <c r="N11" s="3">
        <v>4</v>
      </c>
      <c r="O11" s="3">
        <v>2</v>
      </c>
      <c r="P11" s="3">
        <v>5</v>
      </c>
      <c r="Q11" s="3">
        <v>4</v>
      </c>
      <c r="R11" s="3">
        <v>4</v>
      </c>
      <c r="S11" s="4">
        <v>2</v>
      </c>
      <c r="T11" s="4">
        <v>3</v>
      </c>
      <c r="U11" s="3">
        <v>5</v>
      </c>
      <c r="V11" s="3">
        <v>6</v>
      </c>
      <c r="W11" s="3">
        <v>5</v>
      </c>
      <c r="X11" s="3">
        <v>6</v>
      </c>
      <c r="Y11" s="3">
        <v>5</v>
      </c>
      <c r="Z11" s="3">
        <v>4</v>
      </c>
      <c r="AA11" s="3">
        <v>2</v>
      </c>
      <c r="AB11" s="4">
        <v>2</v>
      </c>
      <c r="AC11" s="4">
        <v>3</v>
      </c>
      <c r="AD11" s="3">
        <v>0</v>
      </c>
      <c r="AE11" s="3">
        <v>2</v>
      </c>
      <c r="AF11" s="3">
        <v>3</v>
      </c>
      <c r="AG11" s="3" t="s">
        <v>122</v>
      </c>
      <c r="AH11" s="3" t="s">
        <v>122</v>
      </c>
      <c r="AI11" s="3" t="s">
        <v>122</v>
      </c>
      <c r="AJ11" s="3" t="s">
        <v>122</v>
      </c>
      <c r="AK11" s="3" t="s">
        <v>122</v>
      </c>
      <c r="AL11" s="3" t="s">
        <v>122</v>
      </c>
      <c r="AM11" s="3" t="s">
        <v>122</v>
      </c>
      <c r="AN11" s="3">
        <v>2</v>
      </c>
      <c r="AO11" s="3">
        <v>5</v>
      </c>
      <c r="AP11" s="3">
        <v>2</v>
      </c>
      <c r="AQ11" s="42">
        <v>1</v>
      </c>
      <c r="AR11" cm="1">
        <f t="array" ref="AR11">_xlfn.IFS(AQ11*1=2,1,AQ11*1=4,1,TRUE,0)</f>
        <v>0</v>
      </c>
      <c r="AS11" cm="1">
        <f t="array" ref="AS11">_xlfn.IFS(AQ11*1=1,1,AQ11*1=2,1,TRUE,0)</f>
        <v>1</v>
      </c>
      <c r="AT11" s="3">
        <v>0</v>
      </c>
      <c r="AU11" s="3">
        <v>2</v>
      </c>
      <c r="AV11" s="36">
        <f t="shared" si="0"/>
        <v>0</v>
      </c>
      <c r="AW11" s="3">
        <f t="shared" si="1"/>
        <v>-2</v>
      </c>
      <c r="AX11" s="3">
        <f t="shared" si="4"/>
        <v>5</v>
      </c>
      <c r="AY11" s="3">
        <f t="shared" si="5"/>
        <v>6</v>
      </c>
      <c r="AZ11" s="3">
        <f t="shared" si="6"/>
        <v>5</v>
      </c>
      <c r="BA11" s="3">
        <f t="shared" si="7"/>
        <v>6</v>
      </c>
      <c r="BB11" s="3">
        <f t="shared" si="8"/>
        <v>5</v>
      </c>
      <c r="BC11" s="3">
        <f t="shared" si="9"/>
        <v>4</v>
      </c>
      <c r="BD11" s="3">
        <f t="shared" si="10"/>
        <v>2</v>
      </c>
      <c r="BE11" s="3">
        <f t="shared" si="11"/>
        <v>3</v>
      </c>
      <c r="BF11" s="3">
        <f t="shared" si="12"/>
        <v>8</v>
      </c>
      <c r="BG11" s="3">
        <f t="shared" si="13"/>
        <v>4</v>
      </c>
      <c r="BH11" s="3">
        <f t="shared" si="14"/>
        <v>2</v>
      </c>
      <c r="BI11" s="3">
        <f t="shared" si="15"/>
        <v>5</v>
      </c>
      <c r="BJ11" s="3">
        <f t="shared" si="16"/>
        <v>4</v>
      </c>
      <c r="BK11" s="3">
        <f t="shared" si="17"/>
        <v>4</v>
      </c>
      <c r="CA11" s="3">
        <v>2</v>
      </c>
      <c r="CB11" s="3">
        <f t="shared" si="20"/>
        <v>0</v>
      </c>
      <c r="CC11" s="3">
        <v>2</v>
      </c>
      <c r="CD11" s="3">
        <v>6</v>
      </c>
      <c r="CE11" s="3">
        <v>0</v>
      </c>
      <c r="CG11" s="3">
        <v>5</v>
      </c>
      <c r="CH11" s="3">
        <v>3</v>
      </c>
      <c r="CI11" s="3">
        <f t="shared" si="18"/>
        <v>2</v>
      </c>
    </row>
    <row r="12" spans="1:87" x14ac:dyDescent="0.4">
      <c r="A12" s="3">
        <v>202503</v>
      </c>
      <c r="B12" s="3">
        <v>1</v>
      </c>
      <c r="C12" s="3">
        <v>1</v>
      </c>
      <c r="D12" s="3">
        <v>2</v>
      </c>
      <c r="E12" s="3">
        <v>2</v>
      </c>
      <c r="F12" s="3">
        <v>2</v>
      </c>
      <c r="G12" s="3">
        <v>2</v>
      </c>
      <c r="H12" s="3">
        <v>2</v>
      </c>
      <c r="I12" s="3">
        <v>3</v>
      </c>
      <c r="J12" s="3">
        <v>5</v>
      </c>
      <c r="K12" s="3">
        <v>3</v>
      </c>
      <c r="L12" s="3">
        <v>3</v>
      </c>
      <c r="M12" s="3">
        <v>8</v>
      </c>
      <c r="N12" s="3">
        <v>7</v>
      </c>
      <c r="O12" s="3">
        <v>2</v>
      </c>
      <c r="P12" s="3">
        <v>6</v>
      </c>
      <c r="Q12" s="3">
        <v>4</v>
      </c>
      <c r="R12" s="3">
        <v>4</v>
      </c>
      <c r="S12" s="4" t="s">
        <v>122</v>
      </c>
      <c r="T12" s="4" t="s">
        <v>122</v>
      </c>
      <c r="U12" s="3">
        <v>2</v>
      </c>
      <c r="V12" s="3">
        <v>6</v>
      </c>
      <c r="W12" s="3">
        <v>6</v>
      </c>
      <c r="X12" s="3">
        <v>2</v>
      </c>
      <c r="Y12" s="3">
        <v>6</v>
      </c>
      <c r="Z12" s="3">
        <v>5</v>
      </c>
      <c r="AA12" s="3">
        <v>4</v>
      </c>
      <c r="AB12" s="4" t="s">
        <v>122</v>
      </c>
      <c r="AC12" s="4" t="s">
        <v>122</v>
      </c>
      <c r="AD12" s="3" t="s">
        <v>122</v>
      </c>
      <c r="AE12" s="3" t="s">
        <v>122</v>
      </c>
      <c r="AF12" s="3" t="s">
        <v>122</v>
      </c>
      <c r="AG12" s="3">
        <v>5</v>
      </c>
      <c r="AH12" s="3">
        <v>5</v>
      </c>
      <c r="AI12" s="3">
        <v>3</v>
      </c>
      <c r="AJ12" s="3">
        <v>5</v>
      </c>
      <c r="AK12" s="3">
        <v>3</v>
      </c>
      <c r="AL12" s="3">
        <v>5</v>
      </c>
      <c r="AM12" s="3">
        <v>3</v>
      </c>
      <c r="AN12" s="3">
        <v>2</v>
      </c>
      <c r="AO12" s="3">
        <v>5</v>
      </c>
      <c r="AP12" s="3">
        <v>4</v>
      </c>
      <c r="AQ12" s="42">
        <v>3</v>
      </c>
      <c r="AR12" cm="1">
        <f t="array" ref="AR12">_xlfn.IFS(AQ12*1=2,1,AQ12*1=4,1,TRUE,0)</f>
        <v>0</v>
      </c>
      <c r="AS12" cm="1">
        <f t="array" ref="AS12">_xlfn.IFS(AQ12*1=1,1,AQ12*1=2,1,TRUE,0)</f>
        <v>0</v>
      </c>
      <c r="AT12" s="3">
        <v>5</v>
      </c>
      <c r="AU12" s="3">
        <v>5</v>
      </c>
      <c r="AV12" s="36">
        <f t="shared" si="0"/>
        <v>0</v>
      </c>
      <c r="AW12" s="3">
        <f t="shared" si="1"/>
        <v>0</v>
      </c>
      <c r="AX12" s="3">
        <f t="shared" si="4"/>
        <v>2</v>
      </c>
      <c r="AY12" s="3">
        <f t="shared" si="5"/>
        <v>6</v>
      </c>
      <c r="AZ12" s="3">
        <f t="shared" si="6"/>
        <v>6</v>
      </c>
      <c r="BA12" s="3">
        <f t="shared" si="7"/>
        <v>2</v>
      </c>
      <c r="BB12" s="3">
        <f t="shared" si="8"/>
        <v>6</v>
      </c>
      <c r="BC12" s="3">
        <f t="shared" si="9"/>
        <v>5</v>
      </c>
      <c r="BD12" s="3">
        <f t="shared" si="10"/>
        <v>4</v>
      </c>
      <c r="BE12" s="3">
        <f t="shared" si="11"/>
        <v>3</v>
      </c>
      <c r="BF12" s="3">
        <f t="shared" si="12"/>
        <v>8</v>
      </c>
      <c r="BG12" s="3">
        <f t="shared" si="13"/>
        <v>7</v>
      </c>
      <c r="BH12" s="3">
        <f t="shared" si="14"/>
        <v>2</v>
      </c>
      <c r="BI12" s="3">
        <f t="shared" si="15"/>
        <v>6</v>
      </c>
      <c r="BJ12" s="3">
        <f t="shared" si="16"/>
        <v>4</v>
      </c>
      <c r="BK12" s="3">
        <f t="shared" si="17"/>
        <v>4</v>
      </c>
      <c r="CA12" s="3">
        <v>2</v>
      </c>
      <c r="CB12" s="3">
        <f t="shared" si="20"/>
        <v>0</v>
      </c>
      <c r="CC12" s="3">
        <v>5</v>
      </c>
      <c r="CD12" s="3">
        <v>0</v>
      </c>
      <c r="CE12" s="3">
        <v>5</v>
      </c>
      <c r="CG12" s="3">
        <v>2</v>
      </c>
      <c r="CH12" s="3">
        <v>3</v>
      </c>
      <c r="CI12" s="3">
        <f t="shared" si="18"/>
        <v>-1</v>
      </c>
    </row>
    <row r="13" spans="1:87" ht="15" thickBot="1" x14ac:dyDescent="0.45">
      <c r="A13" s="3">
        <v>202503</v>
      </c>
      <c r="B13" s="3">
        <v>1</v>
      </c>
      <c r="C13" s="3">
        <v>3</v>
      </c>
      <c r="D13" s="3">
        <v>2</v>
      </c>
      <c r="E13" s="3">
        <v>1</v>
      </c>
      <c r="F13" s="3">
        <v>3</v>
      </c>
      <c r="G13" s="3">
        <v>3</v>
      </c>
      <c r="H13" s="3">
        <v>2</v>
      </c>
      <c r="I13" s="3">
        <v>4</v>
      </c>
      <c r="J13" s="3">
        <v>4</v>
      </c>
      <c r="K13" s="3">
        <v>3</v>
      </c>
      <c r="L13" s="3">
        <v>7</v>
      </c>
      <c r="M13" s="3">
        <v>9</v>
      </c>
      <c r="N13" s="3">
        <v>9</v>
      </c>
      <c r="O13" s="3">
        <v>4</v>
      </c>
      <c r="P13" s="3">
        <v>9</v>
      </c>
      <c r="Q13" s="3">
        <v>5</v>
      </c>
      <c r="R13" s="3">
        <v>4</v>
      </c>
      <c r="S13" s="3" t="s">
        <v>122</v>
      </c>
      <c r="T13" s="3" t="s">
        <v>122</v>
      </c>
      <c r="U13" s="3">
        <v>8</v>
      </c>
      <c r="V13" s="3">
        <v>9</v>
      </c>
      <c r="W13" s="3">
        <v>7</v>
      </c>
      <c r="X13" s="3">
        <v>7</v>
      </c>
      <c r="Y13" s="3">
        <v>9</v>
      </c>
      <c r="Z13" s="3">
        <v>3</v>
      </c>
      <c r="AA13" s="3">
        <v>3</v>
      </c>
      <c r="AB13" s="3" t="s">
        <v>122</v>
      </c>
      <c r="AC13" s="3" t="s">
        <v>122</v>
      </c>
      <c r="AD13" s="3" t="s">
        <v>122</v>
      </c>
      <c r="AE13" s="3" t="s">
        <v>122</v>
      </c>
      <c r="AF13" s="3" t="s">
        <v>122</v>
      </c>
      <c r="AG13" s="3">
        <v>4</v>
      </c>
      <c r="AH13" s="3">
        <v>4</v>
      </c>
      <c r="AI13" s="3">
        <v>3</v>
      </c>
      <c r="AJ13" s="3">
        <v>5</v>
      </c>
      <c r="AK13" s="3">
        <v>3</v>
      </c>
      <c r="AL13" s="3">
        <v>4</v>
      </c>
      <c r="AM13" s="3">
        <v>3</v>
      </c>
      <c r="AN13" s="3">
        <v>2</v>
      </c>
      <c r="AO13" s="3">
        <v>4</v>
      </c>
      <c r="AP13" s="3">
        <v>2</v>
      </c>
      <c r="AQ13" s="42">
        <v>4</v>
      </c>
      <c r="AR13" cm="1">
        <f t="array" ref="AR13">_xlfn.IFS(AQ13*1=2,1,AQ13*1=4,1,TRUE,0)</f>
        <v>1</v>
      </c>
      <c r="AS13" cm="1">
        <f t="array" ref="AS13">_xlfn.IFS(AQ13*1=1,1,AQ13*1=2,1,TRUE,0)</f>
        <v>0</v>
      </c>
      <c r="AT13" s="3">
        <v>5</v>
      </c>
      <c r="AU13" s="3">
        <v>4</v>
      </c>
      <c r="AV13" s="36">
        <f t="shared" si="0"/>
        <v>0</v>
      </c>
      <c r="AW13" s="3">
        <f t="shared" si="1"/>
        <v>1</v>
      </c>
      <c r="AX13" s="3">
        <f t="shared" si="4"/>
        <v>7</v>
      </c>
      <c r="AY13" s="3">
        <f t="shared" si="5"/>
        <v>9</v>
      </c>
      <c r="AZ13" s="3">
        <f t="shared" si="6"/>
        <v>9</v>
      </c>
      <c r="BA13" s="3">
        <f t="shared" si="7"/>
        <v>4</v>
      </c>
      <c r="BB13" s="3">
        <f t="shared" si="8"/>
        <v>9</v>
      </c>
      <c r="BC13" s="3">
        <f t="shared" si="9"/>
        <v>5</v>
      </c>
      <c r="BD13" s="3">
        <f t="shared" si="10"/>
        <v>4</v>
      </c>
      <c r="BE13" s="3">
        <f t="shared" si="11"/>
        <v>8</v>
      </c>
      <c r="BF13" s="3">
        <f t="shared" si="12"/>
        <v>9</v>
      </c>
      <c r="BG13" s="3">
        <f t="shared" si="13"/>
        <v>7</v>
      </c>
      <c r="BH13" s="3">
        <f t="shared" si="14"/>
        <v>7</v>
      </c>
      <c r="BI13" s="3">
        <f t="shared" si="15"/>
        <v>9</v>
      </c>
      <c r="BJ13" s="3">
        <f t="shared" si="16"/>
        <v>3</v>
      </c>
      <c r="BK13" s="3">
        <f t="shared" si="17"/>
        <v>3</v>
      </c>
      <c r="CA13" s="3">
        <v>2</v>
      </c>
      <c r="CB13" s="3">
        <f t="shared" si="20"/>
        <v>0</v>
      </c>
      <c r="CC13" s="3">
        <v>4</v>
      </c>
      <c r="CD13" s="3">
        <v>4.5</v>
      </c>
      <c r="CE13" s="3">
        <v>0</v>
      </c>
      <c r="CG13" s="3">
        <v>7</v>
      </c>
      <c r="CH13" s="3">
        <v>8</v>
      </c>
      <c r="CI13" s="3">
        <f t="shared" si="18"/>
        <v>-1</v>
      </c>
    </row>
    <row r="14" spans="1:87" ht="15" thickBot="1" x14ac:dyDescent="0.45">
      <c r="A14" s="3">
        <v>202503</v>
      </c>
      <c r="B14" s="3">
        <v>1</v>
      </c>
      <c r="C14" s="3">
        <v>3</v>
      </c>
      <c r="D14" s="3">
        <v>4</v>
      </c>
      <c r="E14" s="3">
        <v>1</v>
      </c>
      <c r="F14" s="3">
        <v>2</v>
      </c>
      <c r="G14" s="3">
        <v>4</v>
      </c>
      <c r="H14" s="3">
        <v>5</v>
      </c>
      <c r="I14" s="3">
        <v>4</v>
      </c>
      <c r="J14" s="3">
        <v>2</v>
      </c>
      <c r="K14" s="3">
        <v>2</v>
      </c>
      <c r="L14" s="3">
        <v>7</v>
      </c>
      <c r="M14" s="3">
        <v>8</v>
      </c>
      <c r="N14" s="3">
        <v>7</v>
      </c>
      <c r="O14" s="3">
        <v>7</v>
      </c>
      <c r="P14" s="3">
        <v>8</v>
      </c>
      <c r="Q14" s="3">
        <v>3</v>
      </c>
      <c r="R14" s="3">
        <v>4</v>
      </c>
      <c r="S14" s="4" t="s">
        <v>122</v>
      </c>
      <c r="T14" s="4" t="s">
        <v>122</v>
      </c>
      <c r="U14" s="3">
        <v>5</v>
      </c>
      <c r="V14" s="3">
        <v>8</v>
      </c>
      <c r="W14" s="3">
        <v>3</v>
      </c>
      <c r="X14" s="3">
        <v>5</v>
      </c>
      <c r="Y14" s="3">
        <v>8</v>
      </c>
      <c r="Z14" s="3">
        <v>4</v>
      </c>
      <c r="AA14" s="3">
        <v>2</v>
      </c>
      <c r="AB14" s="4" t="s">
        <v>122</v>
      </c>
      <c r="AC14" s="4" t="s">
        <v>122</v>
      </c>
      <c r="AD14" s="3" t="s">
        <v>122</v>
      </c>
      <c r="AE14" s="3" t="s">
        <v>122</v>
      </c>
      <c r="AF14" s="3" t="s">
        <v>122</v>
      </c>
      <c r="AG14" s="3">
        <v>5</v>
      </c>
      <c r="AH14" s="3">
        <v>4</v>
      </c>
      <c r="AI14" s="3">
        <v>2</v>
      </c>
      <c r="AJ14" s="3">
        <v>2</v>
      </c>
      <c r="AK14" s="3">
        <v>1</v>
      </c>
      <c r="AL14" s="3">
        <v>5</v>
      </c>
      <c r="AM14" s="3">
        <v>2</v>
      </c>
      <c r="AN14" s="3">
        <v>3</v>
      </c>
      <c r="AO14" s="3">
        <v>3</v>
      </c>
      <c r="AP14" s="3">
        <v>2</v>
      </c>
      <c r="AQ14" s="42">
        <v>4</v>
      </c>
      <c r="AR14" cm="1">
        <f t="array" ref="AR14">_xlfn.IFS(AQ14*1=2,1,AQ14*1=4,1,TRUE,0)</f>
        <v>1</v>
      </c>
      <c r="AS14" cm="1">
        <f t="array" ref="AS14">_xlfn.IFS(AQ14*1=1,1,AQ14*1=2,1,TRUE,0)</f>
        <v>0</v>
      </c>
      <c r="AT14" s="3">
        <v>2</v>
      </c>
      <c r="AU14" s="3">
        <v>5</v>
      </c>
      <c r="AV14" s="36">
        <f t="shared" si="0"/>
        <v>3</v>
      </c>
      <c r="AW14" s="3">
        <f t="shared" si="1"/>
        <v>0</v>
      </c>
      <c r="AX14" s="3">
        <f t="shared" si="4"/>
        <v>7</v>
      </c>
      <c r="AY14" s="3">
        <f t="shared" si="5"/>
        <v>8</v>
      </c>
      <c r="AZ14" s="3">
        <f t="shared" si="6"/>
        <v>7</v>
      </c>
      <c r="BA14" s="3">
        <f t="shared" si="7"/>
        <v>7</v>
      </c>
      <c r="BB14" s="3">
        <f t="shared" si="8"/>
        <v>8</v>
      </c>
      <c r="BC14" s="3">
        <f t="shared" si="9"/>
        <v>3</v>
      </c>
      <c r="BD14" s="3">
        <f t="shared" si="10"/>
        <v>4</v>
      </c>
      <c r="BE14" s="3">
        <f t="shared" si="11"/>
        <v>5</v>
      </c>
      <c r="BF14" s="3">
        <f t="shared" si="12"/>
        <v>8</v>
      </c>
      <c r="BG14" s="3">
        <f t="shared" si="13"/>
        <v>3</v>
      </c>
      <c r="BH14" s="3">
        <f t="shared" si="14"/>
        <v>5</v>
      </c>
      <c r="BI14" s="3">
        <f t="shared" si="15"/>
        <v>8</v>
      </c>
      <c r="BJ14" s="3">
        <f t="shared" si="16"/>
        <v>4</v>
      </c>
      <c r="BK14" s="3">
        <f t="shared" si="17"/>
        <v>2</v>
      </c>
      <c r="BO14" s="79" t="s">
        <v>1047</v>
      </c>
      <c r="BP14" s="78">
        <v>0.95</v>
      </c>
      <c r="BR14" s="79" t="s">
        <v>1047</v>
      </c>
      <c r="BS14" s="78">
        <v>0.95</v>
      </c>
      <c r="BT14" s="78">
        <v>0.95</v>
      </c>
      <c r="BV14" s="85" t="s">
        <v>1057</v>
      </c>
      <c r="BW14" s="86"/>
      <c r="BX14" s="87"/>
      <c r="BY14" s="83"/>
      <c r="BZ14" s="83"/>
      <c r="CA14" s="3">
        <v>3</v>
      </c>
      <c r="CB14" s="3">
        <f t="shared" si="20"/>
        <v>0</v>
      </c>
      <c r="CC14" s="3">
        <v>2</v>
      </c>
      <c r="CD14" s="3">
        <v>5</v>
      </c>
      <c r="CE14" s="3">
        <v>5</v>
      </c>
      <c r="CG14" s="3">
        <v>7</v>
      </c>
      <c r="CH14" s="3">
        <v>5</v>
      </c>
      <c r="CI14" s="3">
        <f t="shared" si="18"/>
        <v>2</v>
      </c>
    </row>
    <row r="15" spans="1:87" ht="14.6" customHeight="1" x14ac:dyDescent="0.4">
      <c r="A15" s="3">
        <v>202503</v>
      </c>
      <c r="B15" s="3">
        <v>1</v>
      </c>
      <c r="C15" s="3">
        <v>4</v>
      </c>
      <c r="D15" s="3">
        <v>3</v>
      </c>
      <c r="E15" s="3">
        <v>5</v>
      </c>
      <c r="F15" s="3">
        <v>5</v>
      </c>
      <c r="G15" s="3">
        <v>3</v>
      </c>
      <c r="H15" s="3">
        <v>5</v>
      </c>
      <c r="I15" s="3">
        <v>2</v>
      </c>
      <c r="J15" s="3">
        <v>8</v>
      </c>
      <c r="K15" s="3">
        <v>2</v>
      </c>
      <c r="L15" s="3">
        <v>8</v>
      </c>
      <c r="M15" s="3">
        <v>8</v>
      </c>
      <c r="N15" s="3">
        <v>7</v>
      </c>
      <c r="O15" s="3">
        <v>8</v>
      </c>
      <c r="P15" s="3">
        <v>7</v>
      </c>
      <c r="Q15" s="3">
        <v>3</v>
      </c>
      <c r="R15" s="3">
        <v>3</v>
      </c>
      <c r="S15" s="3" t="s">
        <v>122</v>
      </c>
      <c r="T15" s="3" t="s">
        <v>122</v>
      </c>
      <c r="U15" s="3">
        <v>2</v>
      </c>
      <c r="V15" s="3">
        <v>3</v>
      </c>
      <c r="W15" s="3">
        <v>4</v>
      </c>
      <c r="X15" s="3">
        <v>2</v>
      </c>
      <c r="Y15" s="3">
        <v>5</v>
      </c>
      <c r="Z15" s="3">
        <v>1</v>
      </c>
      <c r="AA15" s="3">
        <v>2</v>
      </c>
      <c r="AB15" s="3" t="s">
        <v>122</v>
      </c>
      <c r="AC15" s="3" t="s">
        <v>122</v>
      </c>
      <c r="AD15" s="3" t="s">
        <v>122</v>
      </c>
      <c r="AE15" s="3" t="s">
        <v>122</v>
      </c>
      <c r="AF15" s="3" t="s">
        <v>122</v>
      </c>
      <c r="AG15" s="3">
        <v>8</v>
      </c>
      <c r="AH15" s="3">
        <v>8</v>
      </c>
      <c r="AI15" s="3">
        <v>2</v>
      </c>
      <c r="AJ15" s="3">
        <v>2</v>
      </c>
      <c r="AK15" s="3">
        <v>2</v>
      </c>
      <c r="AL15" s="3">
        <v>6</v>
      </c>
      <c r="AM15" s="3">
        <v>3</v>
      </c>
      <c r="AN15" s="3">
        <v>2</v>
      </c>
      <c r="AO15" s="3">
        <v>5</v>
      </c>
      <c r="AP15" s="3">
        <v>5</v>
      </c>
      <c r="AQ15" s="42">
        <v>4</v>
      </c>
      <c r="AR15" cm="1">
        <f t="array" ref="AR15">_xlfn.IFS(AQ15*1=2,1,AQ15*1=4,1,TRUE,0)</f>
        <v>1</v>
      </c>
      <c r="AS15" cm="1">
        <f t="array" ref="AS15">_xlfn.IFS(AQ15*1=1,1,AQ15*1=2,1,TRUE,0)</f>
        <v>0</v>
      </c>
      <c r="AT15" s="3">
        <v>2</v>
      </c>
      <c r="AU15" s="3">
        <v>6</v>
      </c>
      <c r="AV15" s="36">
        <f t="shared" si="0"/>
        <v>-2</v>
      </c>
      <c r="AW15" s="3">
        <f t="shared" si="1"/>
        <v>-6</v>
      </c>
      <c r="AX15" s="3">
        <f t="shared" si="4"/>
        <v>8</v>
      </c>
      <c r="AY15" s="3">
        <f t="shared" si="5"/>
        <v>8</v>
      </c>
      <c r="AZ15" s="3">
        <f t="shared" si="6"/>
        <v>7</v>
      </c>
      <c r="BA15" s="3">
        <f t="shared" si="7"/>
        <v>8</v>
      </c>
      <c r="BB15" s="3">
        <f t="shared" si="8"/>
        <v>7</v>
      </c>
      <c r="BC15" s="3">
        <f t="shared" si="9"/>
        <v>3</v>
      </c>
      <c r="BD15" s="3">
        <f t="shared" si="10"/>
        <v>3</v>
      </c>
      <c r="BE15" s="3">
        <f t="shared" si="11"/>
        <v>2</v>
      </c>
      <c r="BF15" s="3">
        <f t="shared" si="12"/>
        <v>3</v>
      </c>
      <c r="BG15" s="3">
        <f t="shared" si="13"/>
        <v>4</v>
      </c>
      <c r="BH15" s="3">
        <f t="shared" si="14"/>
        <v>2</v>
      </c>
      <c r="BI15" s="3">
        <f t="shared" si="15"/>
        <v>5</v>
      </c>
      <c r="BJ15" s="3">
        <f t="shared" si="16"/>
        <v>1</v>
      </c>
      <c r="BK15" s="3">
        <f t="shared" si="17"/>
        <v>2</v>
      </c>
      <c r="BR15" s="78" t="s">
        <v>1038</v>
      </c>
      <c r="BV15" s="98"/>
      <c r="BW15" s="98"/>
      <c r="BX15" s="98"/>
      <c r="BY15" s="77"/>
      <c r="BZ15" s="77"/>
      <c r="CA15" s="3">
        <v>2</v>
      </c>
      <c r="CB15" s="3">
        <f t="shared" si="20"/>
        <v>0</v>
      </c>
      <c r="CC15" s="3">
        <v>8</v>
      </c>
      <c r="CD15" s="3">
        <v>2</v>
      </c>
      <c r="CE15" s="3">
        <v>5</v>
      </c>
      <c r="CG15" s="3">
        <v>8</v>
      </c>
      <c r="CH15" s="3">
        <v>2</v>
      </c>
      <c r="CI15" s="3">
        <f t="shared" si="18"/>
        <v>6</v>
      </c>
    </row>
    <row r="16" spans="1:87" ht="14.6" customHeight="1" x14ac:dyDescent="0.4">
      <c r="A16" s="3">
        <v>202503</v>
      </c>
      <c r="B16" s="3">
        <v>1</v>
      </c>
      <c r="C16" s="3">
        <v>4</v>
      </c>
      <c r="D16" s="3">
        <v>3</v>
      </c>
      <c r="E16" s="3">
        <v>1</v>
      </c>
      <c r="F16" s="3">
        <v>1</v>
      </c>
      <c r="G16" s="3">
        <v>1</v>
      </c>
      <c r="H16" s="3">
        <v>1</v>
      </c>
      <c r="I16" s="3">
        <v>2</v>
      </c>
      <c r="J16" s="3">
        <v>4</v>
      </c>
      <c r="K16" s="3">
        <v>3</v>
      </c>
      <c r="L16" s="3">
        <v>7</v>
      </c>
      <c r="M16" s="3">
        <v>7</v>
      </c>
      <c r="N16" s="3">
        <v>8</v>
      </c>
      <c r="O16" s="3">
        <v>7</v>
      </c>
      <c r="P16" s="3">
        <v>6</v>
      </c>
      <c r="Q16" s="3">
        <v>2</v>
      </c>
      <c r="R16" s="3">
        <v>3</v>
      </c>
      <c r="S16" s="3">
        <v>4</v>
      </c>
      <c r="T16" s="3">
        <v>3</v>
      </c>
      <c r="U16" s="3">
        <v>4</v>
      </c>
      <c r="V16" s="3">
        <v>4</v>
      </c>
      <c r="W16" s="3">
        <v>3</v>
      </c>
      <c r="X16" s="3">
        <v>3</v>
      </c>
      <c r="Y16" s="3">
        <v>6</v>
      </c>
      <c r="Z16" s="3">
        <v>4</v>
      </c>
      <c r="AA16" s="3">
        <v>2</v>
      </c>
      <c r="AB16" s="3">
        <v>2</v>
      </c>
      <c r="AC16" s="3">
        <v>3</v>
      </c>
      <c r="AD16" s="3">
        <v>2</v>
      </c>
      <c r="AE16" s="3">
        <v>4</v>
      </c>
      <c r="AF16" s="3">
        <v>3</v>
      </c>
      <c r="AG16" s="3" t="s">
        <v>122</v>
      </c>
      <c r="AH16" s="3" t="s">
        <v>122</v>
      </c>
      <c r="AI16" s="3" t="s">
        <v>122</v>
      </c>
      <c r="AJ16" s="3" t="s">
        <v>122</v>
      </c>
      <c r="AK16" s="3" t="s">
        <v>122</v>
      </c>
      <c r="AL16" s="3" t="s">
        <v>122</v>
      </c>
      <c r="AM16" s="3" t="s">
        <v>122</v>
      </c>
      <c r="AN16" s="3">
        <v>1</v>
      </c>
      <c r="AO16" s="3">
        <v>4</v>
      </c>
      <c r="AP16" s="3">
        <v>6</v>
      </c>
      <c r="AQ16" s="42">
        <v>2</v>
      </c>
      <c r="AR16" cm="1">
        <f t="array" ref="AR16">_xlfn.IFS(AQ16*1=2,1,AQ16*1=4,1,TRUE,0)</f>
        <v>1</v>
      </c>
      <c r="AS16" cm="1">
        <f t="array" ref="AS16">_xlfn.IFS(AQ16*1=1,1,AQ16*1=2,1,TRUE,0)</f>
        <v>1</v>
      </c>
      <c r="AT16" s="3">
        <v>2</v>
      </c>
      <c r="AU16" s="3">
        <v>4</v>
      </c>
      <c r="AV16" s="36">
        <f t="shared" si="0"/>
        <v>0</v>
      </c>
      <c r="AW16" s="3">
        <f t="shared" si="1"/>
        <v>-2</v>
      </c>
      <c r="AX16" s="3">
        <f t="shared" si="4"/>
        <v>7</v>
      </c>
      <c r="AY16" s="3">
        <f t="shared" si="5"/>
        <v>7</v>
      </c>
      <c r="AZ16" s="3">
        <f t="shared" si="6"/>
        <v>8</v>
      </c>
      <c r="BA16" s="3">
        <f t="shared" si="7"/>
        <v>7</v>
      </c>
      <c r="BB16" s="3">
        <f t="shared" si="8"/>
        <v>6</v>
      </c>
      <c r="BC16" s="3">
        <f t="shared" si="9"/>
        <v>2</v>
      </c>
      <c r="BD16" s="3">
        <f t="shared" si="10"/>
        <v>3</v>
      </c>
      <c r="BE16" s="3">
        <f t="shared" si="11"/>
        <v>4</v>
      </c>
      <c r="BF16" s="3">
        <f t="shared" si="12"/>
        <v>4</v>
      </c>
      <c r="BG16" s="3">
        <f t="shared" si="13"/>
        <v>3</v>
      </c>
      <c r="BH16" s="3">
        <f t="shared" si="14"/>
        <v>3</v>
      </c>
      <c r="BI16" s="3">
        <f t="shared" si="15"/>
        <v>6</v>
      </c>
      <c r="BJ16" s="3">
        <f t="shared" si="16"/>
        <v>4</v>
      </c>
      <c r="BK16" s="3">
        <f t="shared" si="17"/>
        <v>2</v>
      </c>
      <c r="BR16" s="78" t="s">
        <v>1039</v>
      </c>
      <c r="BV16" s="98"/>
      <c r="BW16" s="98"/>
      <c r="BX16" s="98"/>
      <c r="BY16" s="77"/>
      <c r="BZ16" s="77"/>
      <c r="CA16" s="3">
        <v>1</v>
      </c>
      <c r="CB16" s="3">
        <f t="shared" si="20"/>
        <v>1</v>
      </c>
      <c r="CC16" s="3">
        <v>4</v>
      </c>
      <c r="CD16" s="3">
        <v>2</v>
      </c>
      <c r="CE16" s="3">
        <v>2</v>
      </c>
      <c r="CG16" s="3">
        <v>7</v>
      </c>
      <c r="CH16" s="3">
        <v>4</v>
      </c>
      <c r="CI16" s="3">
        <f t="shared" si="18"/>
        <v>3</v>
      </c>
    </row>
    <row r="17" spans="1:87" ht="14.6" customHeight="1" x14ac:dyDescent="0.4">
      <c r="A17" s="3">
        <v>202503</v>
      </c>
      <c r="B17" s="3">
        <v>1</v>
      </c>
      <c r="C17" s="3">
        <v>4</v>
      </c>
      <c r="D17" s="3">
        <v>2</v>
      </c>
      <c r="E17" s="3">
        <v>1</v>
      </c>
      <c r="F17" s="3">
        <v>1</v>
      </c>
      <c r="G17" s="3">
        <v>1</v>
      </c>
      <c r="H17" s="3">
        <v>1</v>
      </c>
      <c r="I17" s="3">
        <v>2</v>
      </c>
      <c r="J17" s="3">
        <v>4</v>
      </c>
      <c r="K17" s="3">
        <v>2</v>
      </c>
      <c r="L17" s="3">
        <v>6</v>
      </c>
      <c r="M17" s="3">
        <v>8</v>
      </c>
      <c r="N17" s="3">
        <v>5</v>
      </c>
      <c r="O17" s="3">
        <v>3</v>
      </c>
      <c r="P17" s="3">
        <v>6</v>
      </c>
      <c r="Q17" s="3">
        <v>2</v>
      </c>
      <c r="R17" s="3">
        <v>4</v>
      </c>
      <c r="S17" s="4" t="s">
        <v>122</v>
      </c>
      <c r="T17" s="4" t="s">
        <v>122</v>
      </c>
      <c r="U17" s="3">
        <v>7</v>
      </c>
      <c r="V17" s="3">
        <v>8</v>
      </c>
      <c r="W17" s="3">
        <v>5</v>
      </c>
      <c r="X17" s="3">
        <v>7</v>
      </c>
      <c r="Y17" s="3">
        <v>7</v>
      </c>
      <c r="Z17" s="3">
        <v>2</v>
      </c>
      <c r="AA17" s="3">
        <v>3</v>
      </c>
      <c r="AB17" s="4" t="s">
        <v>122</v>
      </c>
      <c r="AC17" s="4" t="s">
        <v>122</v>
      </c>
      <c r="AD17" s="3" t="s">
        <v>122</v>
      </c>
      <c r="AE17" s="3" t="s">
        <v>122</v>
      </c>
      <c r="AF17" s="3" t="s">
        <v>122</v>
      </c>
      <c r="AG17" s="3">
        <v>4</v>
      </c>
      <c r="AH17" s="3">
        <v>4</v>
      </c>
      <c r="AI17" s="3">
        <v>2</v>
      </c>
      <c r="AJ17" s="3">
        <v>4</v>
      </c>
      <c r="AK17" s="3">
        <v>3</v>
      </c>
      <c r="AL17" s="3">
        <v>4</v>
      </c>
      <c r="AM17" s="3">
        <v>2</v>
      </c>
      <c r="AN17" s="3">
        <v>1</v>
      </c>
      <c r="AO17" s="3">
        <v>5</v>
      </c>
      <c r="AP17" s="3">
        <v>1</v>
      </c>
      <c r="AQ17" s="42">
        <v>3</v>
      </c>
      <c r="AR17" cm="1">
        <f t="array" ref="AR17">_xlfn.IFS(AQ17*1=2,1,AQ17*1=4,1,TRUE,0)</f>
        <v>0</v>
      </c>
      <c r="AS17" cm="1">
        <f t="array" ref="AS17">_xlfn.IFS(AQ17*1=1,1,AQ17*1=2,1,TRUE,0)</f>
        <v>0</v>
      </c>
      <c r="AT17" s="3">
        <v>4</v>
      </c>
      <c r="AU17" s="3">
        <v>4</v>
      </c>
      <c r="AV17" s="36">
        <f t="shared" si="0"/>
        <v>0</v>
      </c>
      <c r="AW17" s="3">
        <f t="shared" si="1"/>
        <v>0</v>
      </c>
      <c r="AX17" s="3">
        <f t="shared" si="4"/>
        <v>7</v>
      </c>
      <c r="AY17" s="3">
        <f t="shared" si="5"/>
        <v>8</v>
      </c>
      <c r="AZ17" s="3">
        <f t="shared" si="6"/>
        <v>5</v>
      </c>
      <c r="BA17" s="3">
        <f t="shared" si="7"/>
        <v>7</v>
      </c>
      <c r="BB17" s="3">
        <f t="shared" si="8"/>
        <v>7</v>
      </c>
      <c r="BC17" s="3">
        <f t="shared" si="9"/>
        <v>2</v>
      </c>
      <c r="BD17" s="3">
        <f t="shared" si="10"/>
        <v>3</v>
      </c>
      <c r="BE17" s="3">
        <f t="shared" si="11"/>
        <v>6</v>
      </c>
      <c r="BF17" s="3">
        <f t="shared" si="12"/>
        <v>8</v>
      </c>
      <c r="BG17" s="3">
        <f t="shared" si="13"/>
        <v>5</v>
      </c>
      <c r="BH17" s="3">
        <f t="shared" si="14"/>
        <v>3</v>
      </c>
      <c r="BI17" s="3">
        <f t="shared" si="15"/>
        <v>6</v>
      </c>
      <c r="BJ17" s="3">
        <f t="shared" si="16"/>
        <v>2</v>
      </c>
      <c r="BK17" s="3">
        <f t="shared" si="17"/>
        <v>4</v>
      </c>
      <c r="BR17" s="78" t="s">
        <v>1040</v>
      </c>
      <c r="BV17" s="98"/>
      <c r="BW17" s="98"/>
      <c r="BX17" s="98"/>
      <c r="BY17" s="77"/>
      <c r="BZ17" s="77"/>
      <c r="CA17" s="3">
        <v>1</v>
      </c>
      <c r="CB17" s="3">
        <f t="shared" si="20"/>
        <v>1</v>
      </c>
      <c r="CC17" s="3">
        <v>4</v>
      </c>
      <c r="CD17" s="3">
        <v>6</v>
      </c>
      <c r="CE17" s="3">
        <v>5</v>
      </c>
      <c r="CG17" s="3">
        <v>7</v>
      </c>
      <c r="CH17" s="3">
        <v>6</v>
      </c>
      <c r="CI17" s="3">
        <f t="shared" si="18"/>
        <v>1</v>
      </c>
    </row>
    <row r="18" spans="1:87" ht="14.6" customHeight="1" thickBot="1" x14ac:dyDescent="0.45">
      <c r="A18" s="3">
        <v>202503</v>
      </c>
      <c r="B18" s="3">
        <v>1</v>
      </c>
      <c r="C18" s="3">
        <v>3</v>
      </c>
      <c r="D18" s="3">
        <v>3</v>
      </c>
      <c r="E18" s="3">
        <v>1</v>
      </c>
      <c r="F18" s="3">
        <v>4</v>
      </c>
      <c r="G18" s="3">
        <v>4</v>
      </c>
      <c r="H18" s="3">
        <v>4</v>
      </c>
      <c r="I18" s="3">
        <v>3</v>
      </c>
      <c r="J18" s="3">
        <v>4.5</v>
      </c>
      <c r="K18" s="4">
        <v>3</v>
      </c>
      <c r="L18" s="3">
        <v>8</v>
      </c>
      <c r="M18" s="3">
        <v>8</v>
      </c>
      <c r="N18" s="3">
        <v>7</v>
      </c>
      <c r="O18" s="3">
        <v>8</v>
      </c>
      <c r="P18" s="3">
        <v>8</v>
      </c>
      <c r="Q18" s="3">
        <v>3</v>
      </c>
      <c r="R18" s="3">
        <v>3</v>
      </c>
      <c r="S18" s="4">
        <v>4.5</v>
      </c>
      <c r="T18" s="4">
        <v>3</v>
      </c>
      <c r="U18" s="3">
        <v>7</v>
      </c>
      <c r="V18" s="3">
        <v>8</v>
      </c>
      <c r="W18" s="3">
        <v>7</v>
      </c>
      <c r="X18" s="3">
        <v>7</v>
      </c>
      <c r="Y18" s="3">
        <v>7</v>
      </c>
      <c r="Z18" s="3">
        <v>2</v>
      </c>
      <c r="AA18" s="3">
        <v>3</v>
      </c>
      <c r="AB18" s="4">
        <v>4</v>
      </c>
      <c r="AC18" s="4">
        <v>3</v>
      </c>
      <c r="AD18" s="3">
        <v>6</v>
      </c>
      <c r="AE18" s="3">
        <v>6.5</v>
      </c>
      <c r="AF18" s="3">
        <v>3</v>
      </c>
      <c r="AG18" s="3" t="s">
        <v>122</v>
      </c>
      <c r="AH18" s="3" t="s">
        <v>122</v>
      </c>
      <c r="AI18" s="3" t="s">
        <v>122</v>
      </c>
      <c r="AJ18" s="3" t="s">
        <v>122</v>
      </c>
      <c r="AK18" s="3" t="s">
        <v>122</v>
      </c>
      <c r="AL18" s="3" t="s">
        <v>122</v>
      </c>
      <c r="AM18" s="3" t="s">
        <v>122</v>
      </c>
      <c r="AN18" s="3">
        <v>1</v>
      </c>
      <c r="AO18" s="3">
        <v>5</v>
      </c>
      <c r="AP18" s="3">
        <v>3</v>
      </c>
      <c r="AQ18" s="42">
        <v>1</v>
      </c>
      <c r="AR18" cm="1">
        <f t="array" ref="AR18">_xlfn.IFS(AQ18*1=2,1,AQ18*1=4,1,TRUE,0)</f>
        <v>0</v>
      </c>
      <c r="AS18" cm="1">
        <f t="array" ref="AS18">_xlfn.IFS(AQ18*1=1,1,AQ18*1=2,1,TRUE,0)</f>
        <v>1</v>
      </c>
      <c r="AT18" s="3">
        <v>6</v>
      </c>
      <c r="AU18" s="3">
        <v>6.5</v>
      </c>
      <c r="AV18" s="36">
        <f t="shared" si="0"/>
        <v>2</v>
      </c>
      <c r="AW18" s="3">
        <f t="shared" si="1"/>
        <v>1.5</v>
      </c>
      <c r="AX18" s="3">
        <f t="shared" si="4"/>
        <v>7</v>
      </c>
      <c r="AY18" s="3">
        <f t="shared" si="5"/>
        <v>8</v>
      </c>
      <c r="AZ18" s="3">
        <f t="shared" si="6"/>
        <v>7</v>
      </c>
      <c r="BA18" s="3">
        <f t="shared" si="7"/>
        <v>7</v>
      </c>
      <c r="BB18" s="3">
        <f t="shared" si="8"/>
        <v>7</v>
      </c>
      <c r="BC18" s="3">
        <f t="shared" si="9"/>
        <v>2</v>
      </c>
      <c r="BD18" s="3">
        <f t="shared" si="10"/>
        <v>3</v>
      </c>
      <c r="BE18" s="3">
        <f t="shared" si="11"/>
        <v>8</v>
      </c>
      <c r="BF18" s="3">
        <f t="shared" si="12"/>
        <v>8</v>
      </c>
      <c r="BG18" s="3">
        <f t="shared" si="13"/>
        <v>7</v>
      </c>
      <c r="BH18" s="3">
        <f t="shared" si="14"/>
        <v>8</v>
      </c>
      <c r="BI18" s="3">
        <f t="shared" si="15"/>
        <v>8</v>
      </c>
      <c r="BJ18" s="3">
        <f t="shared" si="16"/>
        <v>3</v>
      </c>
      <c r="BK18" s="3">
        <f t="shared" si="17"/>
        <v>3</v>
      </c>
      <c r="BR18" s="78" t="s">
        <v>1042</v>
      </c>
      <c r="BV18" s="98"/>
      <c r="BW18" s="98"/>
      <c r="BX18" s="98"/>
      <c r="BY18" s="77"/>
      <c r="BZ18" s="77"/>
      <c r="CA18" s="3">
        <v>1</v>
      </c>
      <c r="CB18" s="3">
        <f t="shared" si="20"/>
        <v>1</v>
      </c>
      <c r="CC18" s="3">
        <v>4.5</v>
      </c>
      <c r="CD18" s="3">
        <v>4.5</v>
      </c>
      <c r="CE18" s="3">
        <v>6</v>
      </c>
      <c r="CG18" s="3">
        <v>7</v>
      </c>
      <c r="CH18" s="3">
        <v>8</v>
      </c>
      <c r="CI18" s="3">
        <f t="shared" si="18"/>
        <v>-1</v>
      </c>
    </row>
    <row r="19" spans="1:87" x14ac:dyDescent="0.4">
      <c r="A19" s="3">
        <v>202503</v>
      </c>
      <c r="B19" s="3">
        <v>1</v>
      </c>
      <c r="C19" s="3">
        <v>3</v>
      </c>
      <c r="D19" s="3">
        <v>3</v>
      </c>
      <c r="E19" s="3">
        <v>1</v>
      </c>
      <c r="F19" s="3">
        <v>1</v>
      </c>
      <c r="G19" s="3">
        <v>1</v>
      </c>
      <c r="H19" s="3">
        <v>1</v>
      </c>
      <c r="I19" s="3">
        <v>2</v>
      </c>
      <c r="J19" s="3">
        <v>6</v>
      </c>
      <c r="K19" s="3">
        <v>2</v>
      </c>
      <c r="L19" s="3">
        <v>4</v>
      </c>
      <c r="M19" s="3">
        <v>7</v>
      </c>
      <c r="N19" s="3">
        <v>4</v>
      </c>
      <c r="O19" s="3">
        <v>2</v>
      </c>
      <c r="P19" s="3">
        <v>6</v>
      </c>
      <c r="Q19" s="3">
        <v>5</v>
      </c>
      <c r="R19" s="3">
        <v>2</v>
      </c>
      <c r="S19" s="4">
        <v>6</v>
      </c>
      <c r="T19" s="4">
        <v>2</v>
      </c>
      <c r="U19" s="3">
        <v>6</v>
      </c>
      <c r="V19" s="3">
        <v>6</v>
      </c>
      <c r="W19" s="3">
        <v>6</v>
      </c>
      <c r="X19" s="3">
        <v>6</v>
      </c>
      <c r="Y19" s="3">
        <v>6</v>
      </c>
      <c r="Z19" s="3">
        <v>2</v>
      </c>
      <c r="AA19" s="3">
        <v>3</v>
      </c>
      <c r="AB19" s="4">
        <v>6</v>
      </c>
      <c r="AC19" s="4">
        <v>2</v>
      </c>
      <c r="AD19" s="3">
        <v>6</v>
      </c>
      <c r="AE19" s="3">
        <v>8</v>
      </c>
      <c r="AF19" s="3">
        <v>2</v>
      </c>
      <c r="AG19" s="3" t="s">
        <v>122</v>
      </c>
      <c r="AH19" s="3" t="s">
        <v>122</v>
      </c>
      <c r="AI19" s="3" t="s">
        <v>122</v>
      </c>
      <c r="AJ19" s="3" t="s">
        <v>122</v>
      </c>
      <c r="AK19" s="3" t="s">
        <v>122</v>
      </c>
      <c r="AL19" s="3" t="s">
        <v>122</v>
      </c>
      <c r="AM19" s="3" t="s">
        <v>122</v>
      </c>
      <c r="AN19" s="3">
        <v>1</v>
      </c>
      <c r="AO19" s="3">
        <v>3</v>
      </c>
      <c r="AP19" s="3">
        <v>5</v>
      </c>
      <c r="AQ19" s="42">
        <v>1</v>
      </c>
      <c r="AR19" cm="1">
        <f t="array" ref="AR19">_xlfn.IFS(AQ19*1=2,1,AQ19*1=4,1,TRUE,0)</f>
        <v>0</v>
      </c>
      <c r="AS19" cm="1">
        <f t="array" ref="AS19">_xlfn.IFS(AQ19*1=1,1,AQ19*1=2,1,TRUE,0)</f>
        <v>1</v>
      </c>
      <c r="AT19" s="3">
        <v>6</v>
      </c>
      <c r="AU19" s="3">
        <v>8</v>
      </c>
      <c r="AV19" s="36">
        <f t="shared" si="0"/>
        <v>2</v>
      </c>
      <c r="AW19" s="3">
        <f t="shared" si="1"/>
        <v>0</v>
      </c>
      <c r="AX19" s="3">
        <f t="shared" si="4"/>
        <v>6</v>
      </c>
      <c r="AY19" s="3">
        <f t="shared" si="5"/>
        <v>6</v>
      </c>
      <c r="AZ19" s="3">
        <f t="shared" si="6"/>
        <v>6</v>
      </c>
      <c r="BA19" s="3">
        <f t="shared" si="7"/>
        <v>6</v>
      </c>
      <c r="BB19" s="3">
        <f t="shared" si="8"/>
        <v>6</v>
      </c>
      <c r="BC19" s="3">
        <f t="shared" si="9"/>
        <v>2</v>
      </c>
      <c r="BD19" s="3">
        <f t="shared" si="10"/>
        <v>3</v>
      </c>
      <c r="BE19" s="3">
        <f t="shared" si="11"/>
        <v>4</v>
      </c>
      <c r="BF19" s="3">
        <f t="shared" si="12"/>
        <v>7</v>
      </c>
      <c r="BG19" s="3">
        <f t="shared" si="13"/>
        <v>4</v>
      </c>
      <c r="BH19" s="3">
        <f t="shared" si="14"/>
        <v>2</v>
      </c>
      <c r="BI19" s="3">
        <f t="shared" si="15"/>
        <v>6</v>
      </c>
      <c r="BJ19" s="3">
        <f t="shared" si="16"/>
        <v>5</v>
      </c>
      <c r="BK19" s="3">
        <f t="shared" si="17"/>
        <v>2</v>
      </c>
      <c r="BO19" s="78" t="s">
        <v>1038</v>
      </c>
      <c r="BP19" s="78">
        <f>1-BP14</f>
        <v>5.0000000000000044E-2</v>
      </c>
      <c r="BR19" s="78" t="s">
        <v>1038</v>
      </c>
      <c r="BS19" s="78">
        <f>1-BS14</f>
        <v>5.0000000000000044E-2</v>
      </c>
      <c r="BT19" s="78">
        <f>1-BT14</f>
        <v>5.0000000000000044E-2</v>
      </c>
      <c r="BV19" s="89"/>
      <c r="BW19" s="90"/>
      <c r="BX19" s="91"/>
      <c r="BY19" s="83"/>
      <c r="BZ19" s="83"/>
      <c r="CA19" s="3">
        <v>1</v>
      </c>
      <c r="CB19" s="3">
        <f t="shared" si="20"/>
        <v>1</v>
      </c>
      <c r="CC19" s="3">
        <v>6</v>
      </c>
      <c r="CD19" s="3">
        <v>5</v>
      </c>
      <c r="CE19" s="3">
        <v>4</v>
      </c>
      <c r="CG19" s="3">
        <v>6</v>
      </c>
      <c r="CH19" s="3">
        <v>4</v>
      </c>
      <c r="CI19" s="3">
        <f t="shared" si="18"/>
        <v>2</v>
      </c>
    </row>
    <row r="20" spans="1:87" x14ac:dyDescent="0.4">
      <c r="A20" s="3">
        <v>202503</v>
      </c>
      <c r="B20" s="3">
        <v>1</v>
      </c>
      <c r="C20" s="3">
        <v>5</v>
      </c>
      <c r="D20" s="3">
        <v>5</v>
      </c>
      <c r="E20" s="3">
        <v>1</v>
      </c>
      <c r="F20" s="3">
        <v>2</v>
      </c>
      <c r="G20" s="3">
        <v>1</v>
      </c>
      <c r="H20" s="3">
        <v>1</v>
      </c>
      <c r="I20" s="3">
        <v>2</v>
      </c>
      <c r="J20" s="3">
        <v>6</v>
      </c>
      <c r="K20" s="3">
        <v>3</v>
      </c>
      <c r="L20" s="3">
        <v>7</v>
      </c>
      <c r="M20" s="3">
        <v>8</v>
      </c>
      <c r="N20" s="3">
        <v>8</v>
      </c>
      <c r="O20" s="3">
        <v>7</v>
      </c>
      <c r="P20" s="3">
        <v>9</v>
      </c>
      <c r="Q20" s="3">
        <v>3</v>
      </c>
      <c r="R20" s="3">
        <v>3</v>
      </c>
      <c r="S20" s="3" t="s">
        <v>122</v>
      </c>
      <c r="T20" s="3" t="s">
        <v>122</v>
      </c>
      <c r="U20" s="3">
        <v>7</v>
      </c>
      <c r="V20" s="3">
        <v>8</v>
      </c>
      <c r="W20" s="3">
        <v>9</v>
      </c>
      <c r="X20" s="3">
        <v>6</v>
      </c>
      <c r="Y20" s="3">
        <v>8</v>
      </c>
      <c r="Z20" s="3">
        <v>4</v>
      </c>
      <c r="AA20" s="3">
        <v>4</v>
      </c>
      <c r="AB20" s="3" t="s">
        <v>122</v>
      </c>
      <c r="AC20" s="3" t="s">
        <v>122</v>
      </c>
      <c r="AD20" s="3" t="s">
        <v>122</v>
      </c>
      <c r="AE20" s="3" t="s">
        <v>122</v>
      </c>
      <c r="AF20" s="3" t="s">
        <v>122</v>
      </c>
      <c r="AG20" s="3">
        <v>6.5</v>
      </c>
      <c r="AH20" s="3">
        <v>5</v>
      </c>
      <c r="AI20" s="3">
        <v>3</v>
      </c>
      <c r="AJ20" s="3">
        <v>6.5</v>
      </c>
      <c r="AK20" s="3">
        <v>3</v>
      </c>
      <c r="AL20" s="3">
        <v>5</v>
      </c>
      <c r="AM20" s="3">
        <v>3</v>
      </c>
      <c r="AN20" s="3">
        <v>1</v>
      </c>
      <c r="AO20" s="3">
        <v>3</v>
      </c>
      <c r="AP20" s="3">
        <v>5</v>
      </c>
      <c r="AQ20" s="42">
        <v>3</v>
      </c>
      <c r="AR20" cm="1">
        <f t="array" ref="AR20">_xlfn.IFS(AQ20*1=2,1,AQ20*1=4,1,TRUE,0)</f>
        <v>0</v>
      </c>
      <c r="AS20" cm="1">
        <f t="array" ref="AS20">_xlfn.IFS(AQ20*1=1,1,AQ20*1=2,1,TRUE,0)</f>
        <v>0</v>
      </c>
      <c r="AT20" s="3">
        <v>6.5</v>
      </c>
      <c r="AU20" s="3">
        <v>5</v>
      </c>
      <c r="AV20" s="36">
        <f t="shared" si="0"/>
        <v>-1</v>
      </c>
      <c r="AW20" s="3">
        <f t="shared" si="1"/>
        <v>0.5</v>
      </c>
      <c r="AX20" s="3">
        <f t="shared" si="4"/>
        <v>7</v>
      </c>
      <c r="AY20" s="3">
        <f t="shared" si="5"/>
        <v>8</v>
      </c>
      <c r="AZ20" s="3">
        <f t="shared" si="6"/>
        <v>9</v>
      </c>
      <c r="BA20" s="3">
        <f t="shared" si="7"/>
        <v>6</v>
      </c>
      <c r="BB20" s="3">
        <f t="shared" si="8"/>
        <v>8</v>
      </c>
      <c r="BC20" s="3">
        <f t="shared" si="9"/>
        <v>4</v>
      </c>
      <c r="BD20" s="3">
        <f t="shared" si="10"/>
        <v>4</v>
      </c>
      <c r="BE20" s="3">
        <f t="shared" si="11"/>
        <v>7</v>
      </c>
      <c r="BF20" s="3">
        <f t="shared" si="12"/>
        <v>8</v>
      </c>
      <c r="BG20" s="3">
        <f t="shared" si="13"/>
        <v>8</v>
      </c>
      <c r="BH20" s="3">
        <f t="shared" si="14"/>
        <v>7</v>
      </c>
      <c r="BI20" s="3">
        <f t="shared" si="15"/>
        <v>9</v>
      </c>
      <c r="BJ20" s="3">
        <f t="shared" si="16"/>
        <v>3</v>
      </c>
      <c r="BK20" s="3">
        <f t="shared" si="17"/>
        <v>3</v>
      </c>
      <c r="BO20" s="78" t="s">
        <v>1039</v>
      </c>
      <c r="BP20" s="78">
        <f>COUNT(A2:A109)</f>
        <v>108</v>
      </c>
      <c r="BR20" s="78" t="s">
        <v>1039</v>
      </c>
      <c r="BS20" s="78">
        <f>COUNT(B2:B109)</f>
        <v>108</v>
      </c>
      <c r="BT20" s="78">
        <f>COUNT(C2:C109)</f>
        <v>108</v>
      </c>
      <c r="BV20" s="92"/>
      <c r="BW20" s="93"/>
      <c r="BX20" s="94"/>
      <c r="BY20" s="83"/>
      <c r="BZ20" s="83"/>
      <c r="CA20" s="3">
        <v>1</v>
      </c>
      <c r="CB20" s="3">
        <f t="shared" si="20"/>
        <v>1</v>
      </c>
      <c r="CC20" s="3">
        <v>6</v>
      </c>
      <c r="CD20" s="3">
        <v>6</v>
      </c>
      <c r="CE20" s="3">
        <v>5.5</v>
      </c>
      <c r="CG20" s="3">
        <v>7</v>
      </c>
      <c r="CH20" s="3">
        <v>7</v>
      </c>
      <c r="CI20" s="3">
        <f t="shared" si="18"/>
        <v>0</v>
      </c>
    </row>
    <row r="21" spans="1:87" x14ac:dyDescent="0.4">
      <c r="A21" s="3">
        <v>202503</v>
      </c>
      <c r="B21" s="3">
        <v>1</v>
      </c>
      <c r="C21" s="3">
        <v>5</v>
      </c>
      <c r="D21" s="3">
        <v>5</v>
      </c>
      <c r="E21" s="3">
        <v>2</v>
      </c>
      <c r="F21" s="3">
        <v>1</v>
      </c>
      <c r="G21" s="3">
        <v>1</v>
      </c>
      <c r="H21" s="3">
        <v>1</v>
      </c>
      <c r="I21" s="3">
        <v>3</v>
      </c>
      <c r="J21" s="3">
        <v>0</v>
      </c>
      <c r="K21" s="4" t="s">
        <v>122</v>
      </c>
      <c r="L21" s="3">
        <v>7</v>
      </c>
      <c r="M21" s="3">
        <v>5</v>
      </c>
      <c r="N21" s="3">
        <v>4</v>
      </c>
      <c r="O21" s="3">
        <v>7</v>
      </c>
      <c r="P21" s="3">
        <v>5</v>
      </c>
      <c r="Q21" s="3">
        <v>2</v>
      </c>
      <c r="R21" s="3">
        <v>3</v>
      </c>
      <c r="S21" s="3" t="s">
        <v>122</v>
      </c>
      <c r="T21" s="4" t="s">
        <v>122</v>
      </c>
      <c r="U21" s="3">
        <v>7</v>
      </c>
      <c r="V21" s="3">
        <v>7</v>
      </c>
      <c r="W21" s="3">
        <v>6</v>
      </c>
      <c r="X21" s="3">
        <v>6</v>
      </c>
      <c r="Y21" s="3">
        <v>5</v>
      </c>
      <c r="Z21" s="3">
        <v>2</v>
      </c>
      <c r="AA21" s="3">
        <v>3</v>
      </c>
      <c r="AB21" s="3" t="s">
        <v>122</v>
      </c>
      <c r="AC21" s="4" t="s">
        <v>122</v>
      </c>
      <c r="AD21" s="3" t="s">
        <v>122</v>
      </c>
      <c r="AE21" s="3" t="s">
        <v>122</v>
      </c>
      <c r="AF21" s="3" t="s">
        <v>122</v>
      </c>
      <c r="AG21" s="3">
        <v>4</v>
      </c>
      <c r="AH21" s="3">
        <v>4.5</v>
      </c>
      <c r="AI21" s="3">
        <v>1</v>
      </c>
      <c r="AJ21" s="3">
        <v>4</v>
      </c>
      <c r="AK21" s="3">
        <v>2</v>
      </c>
      <c r="AL21" s="3">
        <v>4.5</v>
      </c>
      <c r="AM21" s="3">
        <v>2</v>
      </c>
      <c r="AN21" s="3">
        <v>1</v>
      </c>
      <c r="AO21" s="3">
        <v>3</v>
      </c>
      <c r="AP21" s="3">
        <v>6</v>
      </c>
      <c r="AQ21" s="42">
        <v>3</v>
      </c>
      <c r="AR21" cm="1">
        <f t="array" ref="AR21">_xlfn.IFS(AQ21*1=2,1,AQ21*1=4,1,TRUE,0)</f>
        <v>0</v>
      </c>
      <c r="AS21" cm="1">
        <f t="array" ref="AS21">_xlfn.IFS(AQ21*1=1,1,AQ21*1=2,1,TRUE,0)</f>
        <v>0</v>
      </c>
      <c r="AT21" s="3">
        <v>4</v>
      </c>
      <c r="AU21" s="3">
        <v>4.5</v>
      </c>
      <c r="AV21" s="36">
        <f t="shared" si="0"/>
        <v>4.5</v>
      </c>
      <c r="AW21" s="3">
        <f t="shared" si="1"/>
        <v>4</v>
      </c>
      <c r="AX21" s="3">
        <f t="shared" si="4"/>
        <v>7</v>
      </c>
      <c r="AY21" s="3">
        <f t="shared" si="5"/>
        <v>7</v>
      </c>
      <c r="AZ21" s="3">
        <f t="shared" si="6"/>
        <v>6</v>
      </c>
      <c r="BA21" s="3">
        <f t="shared" si="7"/>
        <v>6</v>
      </c>
      <c r="BB21" s="3">
        <f t="shared" si="8"/>
        <v>5</v>
      </c>
      <c r="BC21" s="3">
        <f t="shared" si="9"/>
        <v>2</v>
      </c>
      <c r="BD21" s="3">
        <f t="shared" si="10"/>
        <v>3</v>
      </c>
      <c r="BE21" s="3">
        <f t="shared" si="11"/>
        <v>7</v>
      </c>
      <c r="BF21" s="3">
        <f t="shared" si="12"/>
        <v>5</v>
      </c>
      <c r="BG21" s="3">
        <f t="shared" si="13"/>
        <v>4</v>
      </c>
      <c r="BH21" s="3">
        <f t="shared" si="14"/>
        <v>7</v>
      </c>
      <c r="BI21" s="3">
        <f t="shared" si="15"/>
        <v>5</v>
      </c>
      <c r="BJ21" s="3">
        <f t="shared" si="16"/>
        <v>2</v>
      </c>
      <c r="BK21" s="3">
        <f t="shared" si="17"/>
        <v>3</v>
      </c>
      <c r="BO21" s="78" t="s">
        <v>1040</v>
      </c>
      <c r="BP21" s="80">
        <f>AVERAGE(J2:J109)</f>
        <v>4.2407407407407405</v>
      </c>
      <c r="BR21" s="78" t="s">
        <v>1040</v>
      </c>
      <c r="BS21" s="80">
        <f>AVERAGE(AX2:AX109)</f>
        <v>6.1111111111111107</v>
      </c>
      <c r="BT21" s="80">
        <f>AVERAGE(BE2:BE109)</f>
        <v>5.7037037037037033</v>
      </c>
      <c r="BV21" s="92"/>
      <c r="BW21" s="93"/>
      <c r="BX21" s="94"/>
      <c r="BY21" s="83"/>
      <c r="BZ21" s="83"/>
      <c r="CA21" s="3">
        <v>1</v>
      </c>
      <c r="CB21" s="3">
        <f t="shared" si="20"/>
        <v>1</v>
      </c>
      <c r="CC21" s="3">
        <v>0</v>
      </c>
      <c r="CD21" s="3">
        <v>4.5</v>
      </c>
      <c r="CE21" s="3">
        <v>5.5</v>
      </c>
      <c r="CG21" s="3">
        <v>7</v>
      </c>
      <c r="CH21" s="3">
        <v>7</v>
      </c>
      <c r="CI21" s="3">
        <f t="shared" si="18"/>
        <v>0</v>
      </c>
    </row>
    <row r="22" spans="1:87" ht="15" thickBot="1" x14ac:dyDescent="0.45">
      <c r="A22" s="3">
        <v>202503</v>
      </c>
      <c r="B22" s="3">
        <v>1</v>
      </c>
      <c r="C22" s="3">
        <v>3</v>
      </c>
      <c r="D22" s="3">
        <v>3</v>
      </c>
      <c r="E22" s="3">
        <v>2</v>
      </c>
      <c r="F22" s="3">
        <v>2</v>
      </c>
      <c r="G22" s="3">
        <v>2</v>
      </c>
      <c r="H22" s="3">
        <v>3</v>
      </c>
      <c r="I22" s="3">
        <v>4</v>
      </c>
      <c r="J22" s="3">
        <v>4.5</v>
      </c>
      <c r="K22" s="3">
        <v>3</v>
      </c>
      <c r="L22" s="3">
        <v>7</v>
      </c>
      <c r="M22" s="3">
        <v>7</v>
      </c>
      <c r="N22" s="3">
        <v>8</v>
      </c>
      <c r="O22" s="3">
        <v>6</v>
      </c>
      <c r="P22" s="3">
        <v>6</v>
      </c>
      <c r="Q22" s="3">
        <v>2</v>
      </c>
      <c r="R22" s="3">
        <v>3</v>
      </c>
      <c r="S22" s="3" t="s">
        <v>122</v>
      </c>
      <c r="T22" s="3" t="s">
        <v>122</v>
      </c>
      <c r="U22" s="3">
        <v>6</v>
      </c>
      <c r="V22" s="3">
        <v>6</v>
      </c>
      <c r="W22" s="3">
        <v>6</v>
      </c>
      <c r="X22" s="3">
        <v>6</v>
      </c>
      <c r="Y22" s="3">
        <v>3</v>
      </c>
      <c r="Z22" s="3">
        <v>2</v>
      </c>
      <c r="AA22" s="3">
        <v>4</v>
      </c>
      <c r="AB22" s="3" t="s">
        <v>122</v>
      </c>
      <c r="AC22" s="3" t="s">
        <v>122</v>
      </c>
      <c r="AD22" s="3" t="s">
        <v>122</v>
      </c>
      <c r="AE22" s="3" t="s">
        <v>122</v>
      </c>
      <c r="AF22" s="3" t="s">
        <v>122</v>
      </c>
      <c r="AG22" s="3">
        <v>5.5</v>
      </c>
      <c r="AH22" s="3" t="s">
        <v>122</v>
      </c>
      <c r="AI22" s="3">
        <v>2</v>
      </c>
      <c r="AJ22" s="3">
        <v>4.5</v>
      </c>
      <c r="AK22" s="3">
        <v>3</v>
      </c>
      <c r="AL22" s="3">
        <v>5</v>
      </c>
      <c r="AM22" s="3">
        <v>3</v>
      </c>
      <c r="AN22" s="3">
        <v>1</v>
      </c>
      <c r="AO22" s="3">
        <v>3</v>
      </c>
      <c r="AP22" s="3">
        <v>6</v>
      </c>
      <c r="AQ22" s="42">
        <v>3</v>
      </c>
      <c r="AR22" cm="1">
        <f t="array" ref="AR22">_xlfn.IFS(AQ22*1=2,1,AQ22*1=4,1,TRUE,0)</f>
        <v>0</v>
      </c>
      <c r="AS22" cm="1">
        <f t="array" ref="AS22">_xlfn.IFS(AQ22*1=1,1,AQ22*1=2,1,TRUE,0)</f>
        <v>0</v>
      </c>
      <c r="AT22" s="3">
        <v>4.5</v>
      </c>
      <c r="AU22" s="3">
        <v>5</v>
      </c>
      <c r="AV22" s="36">
        <f t="shared" si="0"/>
        <v>0.5</v>
      </c>
      <c r="AW22" s="3">
        <f t="shared" si="1"/>
        <v>0</v>
      </c>
      <c r="AX22" s="3">
        <f t="shared" si="4"/>
        <v>6</v>
      </c>
      <c r="AY22" s="3">
        <f t="shared" si="5"/>
        <v>6</v>
      </c>
      <c r="AZ22" s="3">
        <f t="shared" si="6"/>
        <v>6</v>
      </c>
      <c r="BA22" s="3">
        <f t="shared" si="7"/>
        <v>6</v>
      </c>
      <c r="BB22" s="3">
        <f t="shared" si="8"/>
        <v>3</v>
      </c>
      <c r="BC22" s="3">
        <f t="shared" si="9"/>
        <v>2</v>
      </c>
      <c r="BD22" s="3">
        <f t="shared" si="10"/>
        <v>4</v>
      </c>
      <c r="BE22" s="3">
        <f t="shared" si="11"/>
        <v>7</v>
      </c>
      <c r="BF22" s="3">
        <f t="shared" si="12"/>
        <v>7</v>
      </c>
      <c r="BG22" s="3">
        <f t="shared" si="13"/>
        <v>8</v>
      </c>
      <c r="BH22" s="3">
        <f t="shared" si="14"/>
        <v>6</v>
      </c>
      <c r="BI22" s="3">
        <f t="shared" si="15"/>
        <v>6</v>
      </c>
      <c r="BJ22" s="3">
        <f t="shared" si="16"/>
        <v>2</v>
      </c>
      <c r="BK22" s="3">
        <f t="shared" si="17"/>
        <v>3</v>
      </c>
      <c r="BO22" s="78" t="s">
        <v>1042</v>
      </c>
      <c r="BP22" s="80">
        <f>_xlfn.STDEV.S(J2:J109)</f>
        <v>2.1306414740718251</v>
      </c>
      <c r="BR22" s="78" t="s">
        <v>1042</v>
      </c>
      <c r="BS22" s="80">
        <f>_xlfn.STDEV.S(AX2:AX109)</f>
        <v>1.9009753194371128</v>
      </c>
      <c r="BT22" s="80">
        <f>_xlfn.STDEV.S(BE2:BE109)</f>
        <v>1.7943799036131756</v>
      </c>
      <c r="BV22" s="92"/>
      <c r="BW22" s="93"/>
      <c r="BX22" s="94"/>
      <c r="BY22" s="83"/>
      <c r="BZ22" s="83"/>
      <c r="CA22" s="3">
        <v>1</v>
      </c>
      <c r="CB22" s="3">
        <f t="shared" si="20"/>
        <v>1</v>
      </c>
      <c r="CC22" s="3">
        <v>4.5</v>
      </c>
      <c r="CD22" s="3">
        <v>5</v>
      </c>
      <c r="CE22" s="3">
        <v>4</v>
      </c>
      <c r="CG22" s="3">
        <v>6</v>
      </c>
      <c r="CH22" s="3">
        <v>7</v>
      </c>
      <c r="CI22" s="3">
        <f t="shared" si="18"/>
        <v>-1</v>
      </c>
    </row>
    <row r="23" spans="1:87" ht="14.6" customHeight="1" x14ac:dyDescent="0.4">
      <c r="A23" s="3">
        <v>202503</v>
      </c>
      <c r="B23" s="3">
        <v>1</v>
      </c>
      <c r="C23" s="3">
        <v>4</v>
      </c>
      <c r="D23" s="3">
        <v>5</v>
      </c>
      <c r="E23" s="3">
        <v>1</v>
      </c>
      <c r="F23" s="3">
        <v>1</v>
      </c>
      <c r="G23" s="3">
        <v>1</v>
      </c>
      <c r="H23" s="3">
        <v>3</v>
      </c>
      <c r="I23" s="3">
        <v>2</v>
      </c>
      <c r="J23" s="3">
        <v>5</v>
      </c>
      <c r="K23" s="3">
        <v>1</v>
      </c>
      <c r="L23" s="3">
        <v>7</v>
      </c>
      <c r="M23" s="3">
        <v>8</v>
      </c>
      <c r="N23" s="3">
        <v>9</v>
      </c>
      <c r="O23" s="3">
        <v>6</v>
      </c>
      <c r="P23" s="3">
        <v>4</v>
      </c>
      <c r="Q23" s="3">
        <v>1</v>
      </c>
      <c r="R23" s="3">
        <v>3</v>
      </c>
      <c r="S23" s="3">
        <v>6</v>
      </c>
      <c r="T23" s="3">
        <v>3</v>
      </c>
      <c r="U23" s="3">
        <v>4</v>
      </c>
      <c r="V23" s="3">
        <v>9</v>
      </c>
      <c r="W23" s="3">
        <v>5</v>
      </c>
      <c r="X23" s="3">
        <v>3</v>
      </c>
      <c r="Y23" s="3">
        <v>4</v>
      </c>
      <c r="Z23" s="3">
        <v>2</v>
      </c>
      <c r="AA23" s="3">
        <v>2</v>
      </c>
      <c r="AB23" s="3">
        <v>4.5</v>
      </c>
      <c r="AC23" s="3">
        <v>2</v>
      </c>
      <c r="AD23" s="3">
        <v>5</v>
      </c>
      <c r="AE23" s="3">
        <v>7</v>
      </c>
      <c r="AF23" s="3">
        <v>3</v>
      </c>
      <c r="AG23" s="3" t="s">
        <v>122</v>
      </c>
      <c r="AH23" s="3" t="s">
        <v>122</v>
      </c>
      <c r="AI23" s="3" t="s">
        <v>122</v>
      </c>
      <c r="AJ23" s="3" t="s">
        <v>122</v>
      </c>
      <c r="AK23" s="3" t="s">
        <v>122</v>
      </c>
      <c r="AL23" s="3" t="s">
        <v>122</v>
      </c>
      <c r="AM23" s="3" t="s">
        <v>122</v>
      </c>
      <c r="AN23" s="3">
        <v>1</v>
      </c>
      <c r="AO23" s="3">
        <v>3</v>
      </c>
      <c r="AP23" s="3">
        <v>2</v>
      </c>
      <c r="AQ23" s="42">
        <v>2</v>
      </c>
      <c r="AR23" cm="1">
        <f t="array" ref="AR23">_xlfn.IFS(AQ23*1=2,1,AQ23*1=4,1,TRUE,0)</f>
        <v>1</v>
      </c>
      <c r="AS23" cm="1">
        <f t="array" ref="AS23">_xlfn.IFS(AQ23*1=1,1,AQ23*1=2,1,TRUE,0)</f>
        <v>1</v>
      </c>
      <c r="AT23" s="3">
        <v>5</v>
      </c>
      <c r="AU23" s="3">
        <v>7</v>
      </c>
      <c r="AV23" s="36">
        <f t="shared" si="0"/>
        <v>2</v>
      </c>
      <c r="AW23" s="3">
        <f t="shared" si="1"/>
        <v>0</v>
      </c>
      <c r="AX23" s="3">
        <f t="shared" si="4"/>
        <v>7</v>
      </c>
      <c r="AY23" s="3">
        <f t="shared" si="5"/>
        <v>8</v>
      </c>
      <c r="AZ23" s="3">
        <f t="shared" si="6"/>
        <v>9</v>
      </c>
      <c r="BA23" s="3">
        <f t="shared" si="7"/>
        <v>6</v>
      </c>
      <c r="BB23" s="3">
        <f t="shared" si="8"/>
        <v>4</v>
      </c>
      <c r="BC23" s="3">
        <f t="shared" si="9"/>
        <v>1</v>
      </c>
      <c r="BD23" s="3">
        <f t="shared" si="10"/>
        <v>3</v>
      </c>
      <c r="BE23" s="3">
        <f t="shared" si="11"/>
        <v>4</v>
      </c>
      <c r="BF23" s="3">
        <f t="shared" si="12"/>
        <v>9</v>
      </c>
      <c r="BG23" s="3">
        <f t="shared" si="13"/>
        <v>5</v>
      </c>
      <c r="BH23" s="3">
        <f t="shared" si="14"/>
        <v>3</v>
      </c>
      <c r="BI23" s="3">
        <f t="shared" si="15"/>
        <v>4</v>
      </c>
      <c r="BJ23" s="3">
        <f t="shared" si="16"/>
        <v>2</v>
      </c>
      <c r="BK23" s="3">
        <f t="shared" si="17"/>
        <v>2</v>
      </c>
      <c r="BO23" s="78" t="s">
        <v>1041</v>
      </c>
      <c r="BP23" s="80">
        <f>_xlfn.T.INV.2T(BP19, BP20-1)</f>
        <v>1.9823833701756892</v>
      </c>
      <c r="BR23" s="78" t="s">
        <v>1041</v>
      </c>
      <c r="BS23" s="80">
        <f>_xlfn.T.INV.2T(BS19, BS20-1)</f>
        <v>1.9823833701756892</v>
      </c>
      <c r="BT23" s="80">
        <f>_xlfn.T.INV.2T(BT19, BT20-1)</f>
        <v>1.9823833701756892</v>
      </c>
      <c r="BV23" s="89" t="s">
        <v>1058</v>
      </c>
      <c r="BW23" s="90"/>
      <c r="BX23" s="91"/>
      <c r="BY23" s="83"/>
      <c r="BZ23" s="83"/>
      <c r="CA23" s="3">
        <v>1</v>
      </c>
      <c r="CB23" s="3">
        <f t="shared" si="20"/>
        <v>1</v>
      </c>
      <c r="CC23" s="3">
        <v>5</v>
      </c>
      <c r="CD23" s="3">
        <v>4</v>
      </c>
      <c r="CE23" s="3">
        <v>8</v>
      </c>
      <c r="CG23" s="3">
        <v>7</v>
      </c>
      <c r="CH23" s="3">
        <v>4</v>
      </c>
      <c r="CI23" s="3">
        <f t="shared" si="18"/>
        <v>3</v>
      </c>
    </row>
    <row r="24" spans="1:87" x14ac:dyDescent="0.4">
      <c r="A24" s="3">
        <v>202503</v>
      </c>
      <c r="B24" s="3">
        <v>1</v>
      </c>
      <c r="C24" s="3">
        <v>3</v>
      </c>
      <c r="D24" s="3">
        <v>3</v>
      </c>
      <c r="E24" s="3">
        <v>1</v>
      </c>
      <c r="F24" s="3">
        <v>1</v>
      </c>
      <c r="G24" s="3">
        <v>1</v>
      </c>
      <c r="H24" s="3">
        <v>1</v>
      </c>
      <c r="I24" s="3">
        <v>2</v>
      </c>
      <c r="J24" s="3">
        <v>0</v>
      </c>
      <c r="K24" s="3" t="s">
        <v>122</v>
      </c>
      <c r="L24" s="3">
        <v>6</v>
      </c>
      <c r="M24" s="3">
        <v>8</v>
      </c>
      <c r="N24" s="3">
        <v>4</v>
      </c>
      <c r="O24" s="3">
        <v>6</v>
      </c>
      <c r="P24" s="3">
        <v>6</v>
      </c>
      <c r="Q24" s="3">
        <v>2</v>
      </c>
      <c r="R24" s="3">
        <v>3</v>
      </c>
      <c r="S24" s="3">
        <v>0</v>
      </c>
      <c r="T24" s="3" t="s">
        <v>122</v>
      </c>
      <c r="U24" s="3">
        <v>4</v>
      </c>
      <c r="V24" s="3">
        <v>7</v>
      </c>
      <c r="W24" s="3">
        <v>4</v>
      </c>
      <c r="X24" s="3">
        <v>4</v>
      </c>
      <c r="Y24" s="3">
        <v>6</v>
      </c>
      <c r="Z24" s="3">
        <v>4</v>
      </c>
      <c r="AA24" s="3">
        <v>4</v>
      </c>
      <c r="AB24" s="3">
        <v>0</v>
      </c>
      <c r="AC24" s="3" t="s">
        <v>122</v>
      </c>
      <c r="AD24" s="3">
        <v>0</v>
      </c>
      <c r="AE24" s="3">
        <v>0</v>
      </c>
      <c r="AF24" s="3">
        <v>2</v>
      </c>
      <c r="AG24" s="3" t="s">
        <v>122</v>
      </c>
      <c r="AH24" s="3" t="s">
        <v>122</v>
      </c>
      <c r="AI24" s="3" t="s">
        <v>122</v>
      </c>
      <c r="AJ24" s="3" t="s">
        <v>122</v>
      </c>
      <c r="AK24" s="3" t="s">
        <v>122</v>
      </c>
      <c r="AL24" s="3" t="s">
        <v>122</v>
      </c>
      <c r="AM24" s="3" t="s">
        <v>122</v>
      </c>
      <c r="AN24" s="3">
        <v>2</v>
      </c>
      <c r="AO24" s="3">
        <v>3</v>
      </c>
      <c r="AP24" s="3">
        <v>1</v>
      </c>
      <c r="AQ24" s="42">
        <v>1</v>
      </c>
      <c r="AR24" cm="1">
        <f t="array" ref="AR24">_xlfn.IFS(AQ24*1=2,1,AQ24*1=4,1,TRUE,0)</f>
        <v>0</v>
      </c>
      <c r="AS24" cm="1">
        <f t="array" ref="AS24">_xlfn.IFS(AQ24*1=1,1,AQ24*1=2,1,TRUE,0)</f>
        <v>1</v>
      </c>
      <c r="AT24" s="3">
        <v>0</v>
      </c>
      <c r="AU24" s="3">
        <v>0</v>
      </c>
      <c r="AV24" s="36">
        <f t="shared" si="0"/>
        <v>0</v>
      </c>
      <c r="AW24" s="3">
        <f t="shared" si="1"/>
        <v>0</v>
      </c>
      <c r="AX24" s="3">
        <f t="shared" si="4"/>
        <v>4</v>
      </c>
      <c r="AY24" s="3">
        <f t="shared" si="5"/>
        <v>7</v>
      </c>
      <c r="AZ24" s="3">
        <f t="shared" si="6"/>
        <v>4</v>
      </c>
      <c r="BA24" s="3">
        <f t="shared" si="7"/>
        <v>4</v>
      </c>
      <c r="BB24" s="3">
        <f t="shared" si="8"/>
        <v>6</v>
      </c>
      <c r="BC24" s="3">
        <f t="shared" si="9"/>
        <v>4</v>
      </c>
      <c r="BD24" s="3">
        <f t="shared" si="10"/>
        <v>4</v>
      </c>
      <c r="BE24" s="3">
        <f t="shared" si="11"/>
        <v>6</v>
      </c>
      <c r="BF24" s="3">
        <f t="shared" si="12"/>
        <v>8</v>
      </c>
      <c r="BG24" s="3">
        <f t="shared" si="13"/>
        <v>4</v>
      </c>
      <c r="BH24" s="3">
        <f t="shared" si="14"/>
        <v>6</v>
      </c>
      <c r="BI24" s="3">
        <f t="shared" si="15"/>
        <v>6</v>
      </c>
      <c r="BJ24" s="3">
        <f t="shared" si="16"/>
        <v>2</v>
      </c>
      <c r="BK24" s="3">
        <f t="shared" si="17"/>
        <v>3</v>
      </c>
      <c r="BO24" s="78" t="s">
        <v>1043</v>
      </c>
      <c r="BP24" s="80">
        <f>BP23*(BP22/SQRT(BP20))</f>
        <v>0.4064303625456861</v>
      </c>
      <c r="BR24" s="78" t="s">
        <v>1043</v>
      </c>
      <c r="BS24" s="80">
        <f>BS23*(BS22/SQRT(BS20))</f>
        <v>0.36262041158557773</v>
      </c>
      <c r="BT24" s="80">
        <f>BT23*(BT22/SQRT(BT20))</f>
        <v>0.34228681063664085</v>
      </c>
      <c r="BV24" s="92"/>
      <c r="BW24" s="93"/>
      <c r="BX24" s="94"/>
      <c r="BY24" s="83"/>
      <c r="BZ24" s="83"/>
      <c r="CA24" s="3">
        <v>2</v>
      </c>
      <c r="CB24" s="3">
        <f t="shared" si="20"/>
        <v>0</v>
      </c>
      <c r="CC24" s="3">
        <v>0</v>
      </c>
      <c r="CD24" s="3">
        <v>2</v>
      </c>
      <c r="CE24" s="3">
        <v>7</v>
      </c>
      <c r="CG24" s="3">
        <v>4</v>
      </c>
      <c r="CH24" s="3">
        <v>6</v>
      </c>
      <c r="CI24" s="3">
        <f t="shared" si="18"/>
        <v>-2</v>
      </c>
    </row>
    <row r="25" spans="1:87" ht="15" thickBot="1" x14ac:dyDescent="0.45">
      <c r="A25" s="3">
        <v>202503</v>
      </c>
      <c r="B25" s="3">
        <v>1</v>
      </c>
      <c r="C25" s="3">
        <v>5</v>
      </c>
      <c r="D25" s="3">
        <v>5</v>
      </c>
      <c r="E25" s="3">
        <v>1</v>
      </c>
      <c r="F25" s="3">
        <v>1</v>
      </c>
      <c r="G25" s="3">
        <v>1</v>
      </c>
      <c r="H25" s="3">
        <v>1</v>
      </c>
      <c r="I25" s="3">
        <v>2</v>
      </c>
      <c r="J25" s="3">
        <v>2</v>
      </c>
      <c r="K25" s="4">
        <v>2</v>
      </c>
      <c r="L25" s="3">
        <v>7</v>
      </c>
      <c r="M25" s="3">
        <v>8</v>
      </c>
      <c r="N25" s="3">
        <v>8</v>
      </c>
      <c r="O25" s="3">
        <v>6</v>
      </c>
      <c r="P25" s="3">
        <v>7</v>
      </c>
      <c r="Q25" s="3">
        <v>3</v>
      </c>
      <c r="R25" s="3">
        <v>2</v>
      </c>
      <c r="S25" s="4">
        <v>2</v>
      </c>
      <c r="T25" s="4">
        <v>2</v>
      </c>
      <c r="U25" s="3">
        <v>8</v>
      </c>
      <c r="V25" s="3">
        <v>7</v>
      </c>
      <c r="W25" s="3">
        <v>5</v>
      </c>
      <c r="X25" s="3">
        <v>8</v>
      </c>
      <c r="Y25" s="3">
        <v>9</v>
      </c>
      <c r="Z25" s="3">
        <v>3</v>
      </c>
      <c r="AA25" s="3">
        <v>3</v>
      </c>
      <c r="AB25" s="4">
        <v>2</v>
      </c>
      <c r="AC25" s="4">
        <v>2</v>
      </c>
      <c r="AD25" s="3">
        <v>5</v>
      </c>
      <c r="AE25" s="3">
        <v>2</v>
      </c>
      <c r="AF25" s="3">
        <v>2</v>
      </c>
      <c r="AG25" s="3" t="s">
        <v>122</v>
      </c>
      <c r="AH25" s="3" t="s">
        <v>122</v>
      </c>
      <c r="AI25" s="3" t="s">
        <v>122</v>
      </c>
      <c r="AJ25" s="3" t="s">
        <v>122</v>
      </c>
      <c r="AK25" s="3" t="s">
        <v>122</v>
      </c>
      <c r="AL25" s="3" t="s">
        <v>122</v>
      </c>
      <c r="AM25" s="3" t="s">
        <v>122</v>
      </c>
      <c r="AN25" s="3">
        <v>1</v>
      </c>
      <c r="AO25" s="3">
        <v>3</v>
      </c>
      <c r="AP25" s="3">
        <v>2</v>
      </c>
      <c r="AQ25" s="42">
        <v>2</v>
      </c>
      <c r="AR25" cm="1">
        <f t="array" ref="AR25">_xlfn.IFS(AQ25*1=2,1,AQ25*1=4,1,TRUE,0)</f>
        <v>1</v>
      </c>
      <c r="AS25" cm="1">
        <f t="array" ref="AS25">_xlfn.IFS(AQ25*1=1,1,AQ25*1=2,1,TRUE,0)</f>
        <v>1</v>
      </c>
      <c r="AT25" s="3">
        <v>5</v>
      </c>
      <c r="AU25" s="3">
        <v>2</v>
      </c>
      <c r="AV25" s="36">
        <f t="shared" si="0"/>
        <v>0</v>
      </c>
      <c r="AW25" s="3">
        <f t="shared" si="1"/>
        <v>3</v>
      </c>
      <c r="AX25" s="3">
        <f t="shared" si="4"/>
        <v>7</v>
      </c>
      <c r="AY25" s="3">
        <f t="shared" si="5"/>
        <v>8</v>
      </c>
      <c r="AZ25" s="3">
        <f t="shared" si="6"/>
        <v>8</v>
      </c>
      <c r="BA25" s="3">
        <f t="shared" si="7"/>
        <v>6</v>
      </c>
      <c r="BB25" s="3">
        <f t="shared" si="8"/>
        <v>7</v>
      </c>
      <c r="BC25" s="3">
        <f t="shared" si="9"/>
        <v>3</v>
      </c>
      <c r="BD25" s="3">
        <f t="shared" si="10"/>
        <v>2</v>
      </c>
      <c r="BE25" s="3">
        <f t="shared" si="11"/>
        <v>8</v>
      </c>
      <c r="BF25" s="3">
        <f t="shared" si="12"/>
        <v>7</v>
      </c>
      <c r="BG25" s="3">
        <f t="shared" si="13"/>
        <v>5</v>
      </c>
      <c r="BH25" s="3">
        <f t="shared" si="14"/>
        <v>8</v>
      </c>
      <c r="BI25" s="3">
        <f t="shared" si="15"/>
        <v>9</v>
      </c>
      <c r="BJ25" s="3">
        <f t="shared" si="16"/>
        <v>3</v>
      </c>
      <c r="BK25" s="3">
        <f t="shared" si="17"/>
        <v>3</v>
      </c>
      <c r="BO25" s="78" t="s">
        <v>1044</v>
      </c>
      <c r="BP25" s="80">
        <f>BP21-BP24</f>
        <v>3.8343103781950543</v>
      </c>
      <c r="BR25" s="78" t="s">
        <v>1044</v>
      </c>
      <c r="BS25" s="80">
        <f>BS21-BS24</f>
        <v>5.7484906995255329</v>
      </c>
      <c r="BT25" s="80">
        <f>BT21-BT24</f>
        <v>5.3614168930670623</v>
      </c>
      <c r="BV25" s="95"/>
      <c r="BW25" s="96"/>
      <c r="BX25" s="97"/>
      <c r="BY25" s="83"/>
      <c r="BZ25" s="83"/>
      <c r="CA25" s="3">
        <v>1</v>
      </c>
      <c r="CB25" s="3">
        <f t="shared" si="20"/>
        <v>1</v>
      </c>
      <c r="CC25" s="3">
        <v>2</v>
      </c>
      <c r="CD25" s="3">
        <v>2</v>
      </c>
      <c r="CE25" s="3">
        <v>5.5</v>
      </c>
      <c r="CG25" s="3">
        <v>7</v>
      </c>
      <c r="CH25" s="3">
        <v>8</v>
      </c>
      <c r="CI25" s="3">
        <f t="shared" si="18"/>
        <v>-1</v>
      </c>
    </row>
    <row r="26" spans="1:87" ht="14.6" customHeight="1" x14ac:dyDescent="0.4">
      <c r="A26" s="3">
        <v>202503</v>
      </c>
      <c r="B26" s="3">
        <v>0</v>
      </c>
      <c r="C26" s="3">
        <v>3</v>
      </c>
      <c r="D26" s="3">
        <v>4</v>
      </c>
      <c r="E26" s="3">
        <v>1</v>
      </c>
      <c r="F26" s="3">
        <v>1</v>
      </c>
      <c r="G26" s="3">
        <v>1</v>
      </c>
      <c r="H26" s="3">
        <v>1</v>
      </c>
      <c r="I26" s="3">
        <v>2</v>
      </c>
      <c r="J26" s="3">
        <v>2</v>
      </c>
      <c r="K26" s="3">
        <v>3</v>
      </c>
      <c r="L26" s="3">
        <v>7</v>
      </c>
      <c r="M26" s="3">
        <v>7</v>
      </c>
      <c r="N26" s="3">
        <v>6</v>
      </c>
      <c r="O26" s="3">
        <v>6</v>
      </c>
      <c r="P26" s="3">
        <v>8</v>
      </c>
      <c r="Q26" s="3">
        <v>2</v>
      </c>
      <c r="R26" s="3">
        <v>3</v>
      </c>
      <c r="S26" s="3">
        <v>4</v>
      </c>
      <c r="T26" s="3">
        <v>3</v>
      </c>
      <c r="U26" s="3">
        <v>2</v>
      </c>
      <c r="V26" s="3">
        <v>6</v>
      </c>
      <c r="W26" s="3">
        <v>1</v>
      </c>
      <c r="X26" s="3">
        <v>2</v>
      </c>
      <c r="Y26" s="3">
        <v>6</v>
      </c>
      <c r="Z26" s="3">
        <v>1</v>
      </c>
      <c r="AA26" s="3">
        <v>3</v>
      </c>
      <c r="AB26" s="3">
        <v>4</v>
      </c>
      <c r="AC26" s="3">
        <v>3</v>
      </c>
      <c r="AD26" s="3">
        <v>2</v>
      </c>
      <c r="AE26" s="3">
        <v>2</v>
      </c>
      <c r="AF26" s="3">
        <v>3</v>
      </c>
      <c r="AG26" s="3" t="s">
        <v>122</v>
      </c>
      <c r="AH26" s="3" t="s">
        <v>122</v>
      </c>
      <c r="AI26" s="3" t="s">
        <v>122</v>
      </c>
      <c r="AJ26" s="3" t="s">
        <v>122</v>
      </c>
      <c r="AK26" s="3" t="s">
        <v>122</v>
      </c>
      <c r="AL26" s="3" t="s">
        <v>122</v>
      </c>
      <c r="AM26" s="3" t="s">
        <v>122</v>
      </c>
      <c r="AN26" s="3">
        <v>1</v>
      </c>
      <c r="AO26" s="3">
        <v>4</v>
      </c>
      <c r="AP26" s="3">
        <v>6</v>
      </c>
      <c r="AQ26" s="42">
        <v>2</v>
      </c>
      <c r="AR26" cm="1">
        <f t="array" ref="AR26">_xlfn.IFS(AQ26*1=2,1,AQ26*1=4,1,TRUE,0)</f>
        <v>1</v>
      </c>
      <c r="AS26" cm="1">
        <f t="array" ref="AS26">_xlfn.IFS(AQ26*1=1,1,AQ26*1=2,1,TRUE,0)</f>
        <v>1</v>
      </c>
      <c r="AT26" s="3">
        <v>2</v>
      </c>
      <c r="AU26" s="3">
        <v>2</v>
      </c>
      <c r="AV26" s="36">
        <f t="shared" si="0"/>
        <v>0</v>
      </c>
      <c r="AW26" s="3">
        <f t="shared" si="1"/>
        <v>0</v>
      </c>
      <c r="AX26" s="3">
        <f t="shared" si="4"/>
        <v>7</v>
      </c>
      <c r="AY26" s="3">
        <f t="shared" si="5"/>
        <v>7</v>
      </c>
      <c r="AZ26" s="3">
        <f t="shared" si="6"/>
        <v>6</v>
      </c>
      <c r="BA26" s="3">
        <f t="shared" si="7"/>
        <v>6</v>
      </c>
      <c r="BB26" s="3">
        <f t="shared" si="8"/>
        <v>8</v>
      </c>
      <c r="BC26" s="3">
        <f t="shared" si="9"/>
        <v>2</v>
      </c>
      <c r="BD26" s="3">
        <f t="shared" si="10"/>
        <v>3</v>
      </c>
      <c r="BE26" s="3">
        <f t="shared" si="11"/>
        <v>2</v>
      </c>
      <c r="BF26" s="3">
        <f t="shared" si="12"/>
        <v>6</v>
      </c>
      <c r="BG26" s="3">
        <f t="shared" si="13"/>
        <v>1</v>
      </c>
      <c r="BH26" s="3">
        <f t="shared" si="14"/>
        <v>2</v>
      </c>
      <c r="BI26" s="3">
        <f t="shared" si="15"/>
        <v>6</v>
      </c>
      <c r="BJ26" s="3">
        <f t="shared" si="16"/>
        <v>1</v>
      </c>
      <c r="BK26" s="3">
        <f t="shared" si="17"/>
        <v>3</v>
      </c>
      <c r="BV26" s="88"/>
      <c r="BW26" s="88"/>
      <c r="BX26" s="88"/>
      <c r="BY26" s="77"/>
      <c r="BZ26" s="77"/>
      <c r="CA26" s="3">
        <v>1</v>
      </c>
      <c r="CB26" s="3">
        <f t="shared" si="20"/>
        <v>1</v>
      </c>
      <c r="CC26" s="3">
        <v>2</v>
      </c>
      <c r="CD26" s="3">
        <v>6</v>
      </c>
      <c r="CE26" s="3">
        <v>4.5</v>
      </c>
      <c r="CG26" s="3">
        <v>7</v>
      </c>
      <c r="CH26" s="3">
        <v>2</v>
      </c>
      <c r="CI26" s="3">
        <f t="shared" si="18"/>
        <v>5</v>
      </c>
    </row>
    <row r="27" spans="1:87" ht="14.6" customHeight="1" x14ac:dyDescent="0.4">
      <c r="A27" s="3">
        <v>202503</v>
      </c>
      <c r="B27" s="3">
        <v>1</v>
      </c>
      <c r="C27" s="3">
        <v>2</v>
      </c>
      <c r="D27" s="3">
        <v>2</v>
      </c>
      <c r="E27" s="3">
        <v>1</v>
      </c>
      <c r="F27" s="3">
        <v>1</v>
      </c>
      <c r="G27" s="3">
        <v>2</v>
      </c>
      <c r="H27" s="3">
        <v>1</v>
      </c>
      <c r="I27" s="3">
        <v>2</v>
      </c>
      <c r="J27" s="3">
        <v>5</v>
      </c>
      <c r="K27" s="3">
        <v>3</v>
      </c>
      <c r="L27" s="3">
        <v>4</v>
      </c>
      <c r="M27" s="3">
        <v>6</v>
      </c>
      <c r="N27" s="3">
        <v>5</v>
      </c>
      <c r="O27" s="3">
        <v>4</v>
      </c>
      <c r="P27" s="3">
        <v>8</v>
      </c>
      <c r="Q27" s="3">
        <v>2</v>
      </c>
      <c r="R27" s="3">
        <v>4</v>
      </c>
      <c r="S27" s="4">
        <v>4</v>
      </c>
      <c r="T27" s="4">
        <v>3</v>
      </c>
      <c r="U27" s="3">
        <v>7</v>
      </c>
      <c r="V27" s="3">
        <v>8</v>
      </c>
      <c r="W27" s="3">
        <v>6</v>
      </c>
      <c r="X27" s="3">
        <v>7</v>
      </c>
      <c r="Y27" s="3">
        <v>8</v>
      </c>
      <c r="Z27" s="3">
        <v>1</v>
      </c>
      <c r="AA27" s="3">
        <v>3</v>
      </c>
      <c r="AB27" s="4">
        <v>5.5</v>
      </c>
      <c r="AC27" s="4">
        <v>3</v>
      </c>
      <c r="AD27" s="3">
        <v>7</v>
      </c>
      <c r="AE27" s="3">
        <v>5</v>
      </c>
      <c r="AF27" s="3">
        <v>3</v>
      </c>
      <c r="AG27" s="3" t="s">
        <v>122</v>
      </c>
      <c r="AH27" s="3" t="s">
        <v>122</v>
      </c>
      <c r="AI27" s="3" t="s">
        <v>122</v>
      </c>
      <c r="AJ27" s="3" t="s">
        <v>122</v>
      </c>
      <c r="AK27" s="3" t="s">
        <v>122</v>
      </c>
      <c r="AL27" s="3" t="s">
        <v>122</v>
      </c>
      <c r="AM27" s="3" t="s">
        <v>122</v>
      </c>
      <c r="AN27" s="3">
        <v>2</v>
      </c>
      <c r="AO27" s="3">
        <v>4</v>
      </c>
      <c r="AP27" s="3">
        <v>5</v>
      </c>
      <c r="AQ27" s="42">
        <v>2</v>
      </c>
      <c r="AR27" cm="1">
        <f t="array" ref="AR27">_xlfn.IFS(AQ27*1=2,1,AQ27*1=4,1,TRUE,0)</f>
        <v>1</v>
      </c>
      <c r="AS27" cm="1">
        <f t="array" ref="AS27">_xlfn.IFS(AQ27*1=1,1,AQ27*1=2,1,TRUE,0)</f>
        <v>1</v>
      </c>
      <c r="AT27" s="3">
        <v>7</v>
      </c>
      <c r="AU27" s="3">
        <v>5</v>
      </c>
      <c r="AV27" s="36">
        <f t="shared" si="0"/>
        <v>0</v>
      </c>
      <c r="AW27" s="3">
        <f t="shared" si="1"/>
        <v>2</v>
      </c>
      <c r="AX27" s="3">
        <f t="shared" si="4"/>
        <v>4</v>
      </c>
      <c r="AY27" s="3">
        <f t="shared" si="5"/>
        <v>6</v>
      </c>
      <c r="AZ27" s="3">
        <f t="shared" si="6"/>
        <v>5</v>
      </c>
      <c r="BA27" s="3">
        <f t="shared" si="7"/>
        <v>4</v>
      </c>
      <c r="BB27" s="3">
        <f t="shared" si="8"/>
        <v>8</v>
      </c>
      <c r="BC27" s="3">
        <f t="shared" si="9"/>
        <v>2</v>
      </c>
      <c r="BD27" s="3">
        <f t="shared" si="10"/>
        <v>4</v>
      </c>
      <c r="BE27" s="3">
        <f t="shared" si="11"/>
        <v>7</v>
      </c>
      <c r="BF27" s="3">
        <f t="shared" si="12"/>
        <v>8</v>
      </c>
      <c r="BG27" s="3">
        <f t="shared" si="13"/>
        <v>6</v>
      </c>
      <c r="BH27" s="3">
        <f t="shared" si="14"/>
        <v>7</v>
      </c>
      <c r="BI27" s="3">
        <f t="shared" si="15"/>
        <v>8</v>
      </c>
      <c r="BJ27" s="3">
        <f t="shared" si="16"/>
        <v>1</v>
      </c>
      <c r="BK27" s="3">
        <f t="shared" si="17"/>
        <v>3</v>
      </c>
      <c r="BV27" s="88"/>
      <c r="BW27" s="88"/>
      <c r="BX27" s="88"/>
      <c r="BY27" s="77"/>
      <c r="BZ27" s="77"/>
      <c r="CA27" s="3">
        <v>2</v>
      </c>
      <c r="CB27" s="3">
        <f t="shared" si="20"/>
        <v>0</v>
      </c>
      <c r="CC27" s="3">
        <v>5</v>
      </c>
      <c r="CD27" s="3">
        <v>6</v>
      </c>
      <c r="CE27" s="3">
        <v>0</v>
      </c>
      <c r="CG27" s="3">
        <v>4</v>
      </c>
      <c r="CH27" s="3">
        <v>7</v>
      </c>
      <c r="CI27" s="3">
        <f t="shared" si="18"/>
        <v>-3</v>
      </c>
    </row>
    <row r="28" spans="1:87" ht="15" thickBot="1" x14ac:dyDescent="0.45">
      <c r="A28" s="3">
        <v>202503</v>
      </c>
      <c r="B28" s="3">
        <v>1</v>
      </c>
      <c r="C28" s="3">
        <v>3</v>
      </c>
      <c r="D28" s="3">
        <v>3</v>
      </c>
      <c r="E28" s="3">
        <v>1</v>
      </c>
      <c r="F28" s="3">
        <v>1</v>
      </c>
      <c r="G28" s="3">
        <v>1</v>
      </c>
      <c r="H28" s="3">
        <v>1</v>
      </c>
      <c r="I28" s="3">
        <v>4</v>
      </c>
      <c r="J28" s="3">
        <v>0</v>
      </c>
      <c r="K28" s="3" t="s">
        <v>122</v>
      </c>
      <c r="L28" s="3">
        <v>7</v>
      </c>
      <c r="M28" s="3">
        <v>8</v>
      </c>
      <c r="N28" s="3">
        <v>8</v>
      </c>
      <c r="O28" s="3">
        <v>6</v>
      </c>
      <c r="P28" s="3">
        <v>6</v>
      </c>
      <c r="Q28" s="3">
        <v>4</v>
      </c>
      <c r="R28" s="3">
        <v>4</v>
      </c>
      <c r="S28" s="4" t="s">
        <v>122</v>
      </c>
      <c r="T28" s="4" t="s">
        <v>122</v>
      </c>
      <c r="U28" s="3">
        <v>6</v>
      </c>
      <c r="V28" s="3">
        <v>6</v>
      </c>
      <c r="W28" s="3">
        <v>5</v>
      </c>
      <c r="X28" s="3">
        <v>4</v>
      </c>
      <c r="Y28" s="3">
        <v>4</v>
      </c>
      <c r="Z28" s="3">
        <v>2</v>
      </c>
      <c r="AA28" s="3">
        <v>2</v>
      </c>
      <c r="AB28" s="4" t="s">
        <v>122</v>
      </c>
      <c r="AC28" s="4" t="s">
        <v>122</v>
      </c>
      <c r="AD28" s="3" t="s">
        <v>122</v>
      </c>
      <c r="AE28" s="3" t="s">
        <v>122</v>
      </c>
      <c r="AF28" s="3" t="s">
        <v>122</v>
      </c>
      <c r="AG28" s="3">
        <v>0</v>
      </c>
      <c r="AH28" s="3">
        <v>0</v>
      </c>
      <c r="AI28" s="3">
        <v>3</v>
      </c>
      <c r="AJ28" s="3">
        <v>0</v>
      </c>
      <c r="AK28" s="3" t="s">
        <v>122</v>
      </c>
      <c r="AL28" s="3">
        <v>0</v>
      </c>
      <c r="AM28" s="3" t="s">
        <v>122</v>
      </c>
      <c r="AN28" s="3">
        <v>-999</v>
      </c>
      <c r="AO28" s="3">
        <v>4</v>
      </c>
      <c r="AP28" s="3">
        <v>4</v>
      </c>
      <c r="AQ28" s="42">
        <v>4</v>
      </c>
      <c r="AR28" cm="1">
        <f t="array" ref="AR28">_xlfn.IFS(AQ28*1=2,1,AQ28*1=4,1,TRUE,0)</f>
        <v>1</v>
      </c>
      <c r="AS28" cm="1">
        <f t="array" ref="AS28">_xlfn.IFS(AQ28*1=1,1,AQ28*1=2,1,TRUE,0)</f>
        <v>0</v>
      </c>
      <c r="AT28" s="3">
        <v>0</v>
      </c>
      <c r="AU28" s="3">
        <v>0</v>
      </c>
      <c r="AV28" s="36">
        <f t="shared" si="0"/>
        <v>0</v>
      </c>
      <c r="AW28" s="3">
        <f t="shared" si="1"/>
        <v>0</v>
      </c>
      <c r="AX28" s="3">
        <f t="shared" si="4"/>
        <v>7</v>
      </c>
      <c r="AY28" s="3">
        <f t="shared" si="5"/>
        <v>8</v>
      </c>
      <c r="AZ28" s="3">
        <f t="shared" si="6"/>
        <v>8</v>
      </c>
      <c r="BA28" s="3">
        <f t="shared" si="7"/>
        <v>6</v>
      </c>
      <c r="BB28" s="3">
        <f t="shared" si="8"/>
        <v>6</v>
      </c>
      <c r="BC28" s="3">
        <f t="shared" si="9"/>
        <v>4</v>
      </c>
      <c r="BD28" s="3">
        <f t="shared" si="10"/>
        <v>4</v>
      </c>
      <c r="BE28" s="3">
        <f t="shared" si="11"/>
        <v>6</v>
      </c>
      <c r="BF28" s="3">
        <f t="shared" si="12"/>
        <v>6</v>
      </c>
      <c r="BG28" s="3">
        <f t="shared" si="13"/>
        <v>5</v>
      </c>
      <c r="BH28" s="3">
        <f t="shared" si="14"/>
        <v>4</v>
      </c>
      <c r="BI28" s="3">
        <f t="shared" si="15"/>
        <v>4</v>
      </c>
      <c r="BJ28" s="3">
        <f t="shared" si="16"/>
        <v>2</v>
      </c>
      <c r="BK28" s="3">
        <f t="shared" si="17"/>
        <v>2</v>
      </c>
      <c r="BV28" s="88"/>
      <c r="BW28" s="88"/>
      <c r="BX28" s="88"/>
      <c r="BY28" s="77"/>
      <c r="BZ28" s="77"/>
      <c r="CA28" s="3">
        <v>-999</v>
      </c>
      <c r="CB28" s="3">
        <f t="shared" si="20"/>
        <v>0</v>
      </c>
      <c r="CC28" s="3">
        <v>0</v>
      </c>
      <c r="CD28" s="3">
        <v>5</v>
      </c>
      <c r="CE28" s="3">
        <v>7</v>
      </c>
      <c r="CG28" s="3">
        <v>7</v>
      </c>
      <c r="CH28" s="3">
        <v>6</v>
      </c>
      <c r="CI28" s="3">
        <f t="shared" si="18"/>
        <v>1</v>
      </c>
    </row>
    <row r="29" spans="1:87" ht="15" thickBot="1" x14ac:dyDescent="0.45">
      <c r="A29" s="3">
        <v>202503</v>
      </c>
      <c r="B29" s="3">
        <v>1</v>
      </c>
      <c r="C29" s="3">
        <v>1</v>
      </c>
      <c r="D29" s="3">
        <v>1</v>
      </c>
      <c r="E29" s="3">
        <v>1</v>
      </c>
      <c r="F29" s="3">
        <v>3</v>
      </c>
      <c r="G29" s="3">
        <v>2</v>
      </c>
      <c r="H29" s="3">
        <v>1</v>
      </c>
      <c r="I29" s="3">
        <v>1</v>
      </c>
      <c r="J29" s="3">
        <v>5</v>
      </c>
      <c r="K29" s="3">
        <v>2</v>
      </c>
      <c r="L29" s="3">
        <v>6</v>
      </c>
      <c r="M29" s="3">
        <v>7</v>
      </c>
      <c r="N29" s="3">
        <v>7</v>
      </c>
      <c r="O29" s="3">
        <v>5</v>
      </c>
      <c r="P29" s="3">
        <v>8</v>
      </c>
      <c r="Q29" s="3">
        <v>4</v>
      </c>
      <c r="R29" s="3">
        <v>3</v>
      </c>
      <c r="S29" s="4">
        <v>4</v>
      </c>
      <c r="T29" s="4">
        <v>1</v>
      </c>
      <c r="U29" s="3">
        <v>6</v>
      </c>
      <c r="V29" s="3">
        <v>6</v>
      </c>
      <c r="W29" s="3">
        <v>7</v>
      </c>
      <c r="X29" s="3">
        <v>4</v>
      </c>
      <c r="Y29" s="3">
        <v>5</v>
      </c>
      <c r="Z29" s="3">
        <v>4</v>
      </c>
      <c r="AA29" s="3">
        <v>2</v>
      </c>
      <c r="AB29" s="4">
        <v>4</v>
      </c>
      <c r="AC29" s="4">
        <v>1</v>
      </c>
      <c r="AD29" s="3">
        <v>4.5</v>
      </c>
      <c r="AE29" s="3">
        <v>4</v>
      </c>
      <c r="AF29" s="3">
        <v>1</v>
      </c>
      <c r="AG29" s="3" t="s">
        <v>122</v>
      </c>
      <c r="AH29" s="3" t="s">
        <v>122</v>
      </c>
      <c r="AI29" s="3" t="s">
        <v>122</v>
      </c>
      <c r="AJ29" s="3" t="s">
        <v>122</v>
      </c>
      <c r="AK29" s="3" t="s">
        <v>122</v>
      </c>
      <c r="AL29" s="3" t="s">
        <v>122</v>
      </c>
      <c r="AM29" s="3" t="s">
        <v>122</v>
      </c>
      <c r="AN29" s="3">
        <v>2</v>
      </c>
      <c r="AO29" s="3">
        <v>3</v>
      </c>
      <c r="AP29" s="3">
        <v>-999</v>
      </c>
      <c r="AQ29" s="42">
        <v>1</v>
      </c>
      <c r="AR29" cm="1">
        <f t="array" ref="AR29">_xlfn.IFS(AQ29*1=2,1,AQ29*1=4,1,TRUE,0)</f>
        <v>0</v>
      </c>
      <c r="AS29" cm="1">
        <f t="array" ref="AS29">_xlfn.IFS(AQ29*1=1,1,AQ29*1=2,1,TRUE,0)</f>
        <v>1</v>
      </c>
      <c r="AT29" s="3">
        <v>4.5</v>
      </c>
      <c r="AU29" s="3">
        <v>4</v>
      </c>
      <c r="AV29" s="36">
        <f t="shared" si="0"/>
        <v>-1</v>
      </c>
      <c r="AW29" s="3">
        <f t="shared" si="1"/>
        <v>-0.5</v>
      </c>
      <c r="AX29" s="3">
        <f t="shared" si="4"/>
        <v>6</v>
      </c>
      <c r="AY29" s="3">
        <f t="shared" si="5"/>
        <v>6</v>
      </c>
      <c r="AZ29" s="3">
        <f t="shared" si="6"/>
        <v>7</v>
      </c>
      <c r="BA29" s="3">
        <f t="shared" si="7"/>
        <v>4</v>
      </c>
      <c r="BB29" s="3">
        <f t="shared" si="8"/>
        <v>5</v>
      </c>
      <c r="BC29" s="3">
        <f t="shared" si="9"/>
        <v>4</v>
      </c>
      <c r="BD29" s="3">
        <f t="shared" si="10"/>
        <v>2</v>
      </c>
      <c r="BE29" s="3">
        <f t="shared" si="11"/>
        <v>6</v>
      </c>
      <c r="BF29" s="3">
        <f t="shared" si="12"/>
        <v>7</v>
      </c>
      <c r="BG29" s="3">
        <f t="shared" si="13"/>
        <v>7</v>
      </c>
      <c r="BH29" s="3">
        <f t="shared" si="14"/>
        <v>5</v>
      </c>
      <c r="BI29" s="3">
        <f t="shared" si="15"/>
        <v>8</v>
      </c>
      <c r="BJ29" s="3">
        <f t="shared" si="16"/>
        <v>4</v>
      </c>
      <c r="BK29" s="3">
        <f t="shared" si="17"/>
        <v>3</v>
      </c>
      <c r="BO29" s="78" t="s">
        <v>1045</v>
      </c>
      <c r="BP29" s="80">
        <f>BP21+BP24</f>
        <v>4.6471711032864267</v>
      </c>
      <c r="BR29" s="78" t="s">
        <v>1045</v>
      </c>
      <c r="BS29" s="80">
        <f>BS21+BS24</f>
        <v>6.4737315226966885</v>
      </c>
      <c r="BT29" s="80">
        <f>BT21+BT24</f>
        <v>6.0459905143403443</v>
      </c>
      <c r="BV29" s="85"/>
      <c r="BW29" s="86"/>
      <c r="BX29" s="87"/>
      <c r="BY29" s="83"/>
      <c r="BZ29" s="83"/>
      <c r="CA29" s="3">
        <v>2</v>
      </c>
      <c r="CB29" s="3">
        <f t="shared" si="20"/>
        <v>0</v>
      </c>
      <c r="CC29" s="3">
        <v>5</v>
      </c>
      <c r="CD29" s="3">
        <v>0</v>
      </c>
      <c r="CE29" s="3">
        <v>6</v>
      </c>
      <c r="CG29" s="3">
        <v>6</v>
      </c>
      <c r="CH29" s="3">
        <v>6</v>
      </c>
      <c r="CI29" s="3">
        <f t="shared" si="18"/>
        <v>0</v>
      </c>
    </row>
    <row r="30" spans="1:87" ht="15" thickBot="1" x14ac:dyDescent="0.45">
      <c r="A30" s="3">
        <v>202503</v>
      </c>
      <c r="B30" s="3">
        <v>1</v>
      </c>
      <c r="C30" s="3">
        <v>1</v>
      </c>
      <c r="D30" s="3">
        <v>4</v>
      </c>
      <c r="E30" s="3">
        <v>1</v>
      </c>
      <c r="F30" s="3">
        <v>1</v>
      </c>
      <c r="G30" s="3">
        <v>1</v>
      </c>
      <c r="H30" s="3">
        <v>1</v>
      </c>
      <c r="I30" s="3">
        <v>3</v>
      </c>
      <c r="J30" s="3">
        <v>6</v>
      </c>
      <c r="K30" s="3">
        <v>1</v>
      </c>
      <c r="L30" s="3">
        <v>4</v>
      </c>
      <c r="M30" s="3">
        <v>7</v>
      </c>
      <c r="N30" s="3">
        <v>3</v>
      </c>
      <c r="O30" s="3">
        <v>3</v>
      </c>
      <c r="P30" s="3">
        <v>6</v>
      </c>
      <c r="Q30" s="3">
        <v>4</v>
      </c>
      <c r="R30" s="3">
        <v>1</v>
      </c>
      <c r="S30" s="3" t="s">
        <v>122</v>
      </c>
      <c r="T30" s="3" t="s">
        <v>122</v>
      </c>
      <c r="U30" s="3">
        <v>6</v>
      </c>
      <c r="V30" s="3">
        <v>7</v>
      </c>
      <c r="W30" s="3">
        <v>6</v>
      </c>
      <c r="X30" s="3">
        <v>5</v>
      </c>
      <c r="Y30" s="3">
        <v>6</v>
      </c>
      <c r="Z30" s="3">
        <v>3</v>
      </c>
      <c r="AA30" s="3">
        <v>2</v>
      </c>
      <c r="AB30" s="3" t="s">
        <v>122</v>
      </c>
      <c r="AC30" s="3" t="s">
        <v>122</v>
      </c>
      <c r="AD30" s="3" t="s">
        <v>122</v>
      </c>
      <c r="AE30" s="3" t="s">
        <v>122</v>
      </c>
      <c r="AF30" s="3" t="s">
        <v>122</v>
      </c>
      <c r="AG30" s="3">
        <v>6</v>
      </c>
      <c r="AH30" s="3">
        <v>6</v>
      </c>
      <c r="AI30" s="3">
        <v>1</v>
      </c>
      <c r="AJ30" s="3">
        <v>6</v>
      </c>
      <c r="AK30" s="3">
        <v>1</v>
      </c>
      <c r="AL30" s="3">
        <v>6</v>
      </c>
      <c r="AM30" s="3">
        <v>1</v>
      </c>
      <c r="AN30" s="3">
        <v>1</v>
      </c>
      <c r="AO30" s="3">
        <v>4</v>
      </c>
      <c r="AP30" s="3">
        <v>2</v>
      </c>
      <c r="AQ30" s="42">
        <v>3</v>
      </c>
      <c r="AR30" cm="1">
        <f t="array" ref="AR30">_xlfn.IFS(AQ30*1=2,1,AQ30*1=4,1,TRUE,0)</f>
        <v>0</v>
      </c>
      <c r="AS30" cm="1">
        <f t="array" ref="AS30">_xlfn.IFS(AQ30*1=1,1,AQ30*1=2,1,TRUE,0)</f>
        <v>0</v>
      </c>
      <c r="AT30" s="3">
        <v>6</v>
      </c>
      <c r="AU30" s="3">
        <v>6</v>
      </c>
      <c r="AV30" s="36">
        <f t="shared" si="0"/>
        <v>0</v>
      </c>
      <c r="AW30" s="3">
        <f t="shared" si="1"/>
        <v>0</v>
      </c>
      <c r="AX30" s="3">
        <f t="shared" si="4"/>
        <v>6</v>
      </c>
      <c r="AY30" s="3">
        <f t="shared" si="5"/>
        <v>7</v>
      </c>
      <c r="AZ30" s="3">
        <f t="shared" si="6"/>
        <v>6</v>
      </c>
      <c r="BA30" s="3">
        <f t="shared" si="7"/>
        <v>5</v>
      </c>
      <c r="BB30" s="3">
        <f t="shared" si="8"/>
        <v>6</v>
      </c>
      <c r="BC30" s="3">
        <f t="shared" si="9"/>
        <v>3</v>
      </c>
      <c r="BD30" s="3">
        <f t="shared" si="10"/>
        <v>2</v>
      </c>
      <c r="BE30" s="3">
        <f t="shared" si="11"/>
        <v>4</v>
      </c>
      <c r="BF30" s="3">
        <f t="shared" si="12"/>
        <v>7</v>
      </c>
      <c r="BG30" s="3">
        <f t="shared" si="13"/>
        <v>3</v>
      </c>
      <c r="BH30" s="3">
        <f t="shared" si="14"/>
        <v>3</v>
      </c>
      <c r="BI30" s="3">
        <f t="shared" si="15"/>
        <v>6</v>
      </c>
      <c r="BJ30" s="3">
        <f t="shared" si="16"/>
        <v>4</v>
      </c>
      <c r="BK30" s="3">
        <f t="shared" si="17"/>
        <v>1</v>
      </c>
      <c r="BV30" s="84"/>
      <c r="BW30" s="84"/>
      <c r="BX30" s="84"/>
      <c r="BY30" s="77"/>
      <c r="BZ30" s="77"/>
      <c r="CA30" s="3">
        <v>1</v>
      </c>
      <c r="CB30" s="3">
        <f t="shared" si="20"/>
        <v>1</v>
      </c>
      <c r="CC30" s="3">
        <v>6</v>
      </c>
      <c r="CD30" s="3">
        <v>7</v>
      </c>
      <c r="CE30" s="3">
        <v>5</v>
      </c>
      <c r="CG30" s="3">
        <v>6</v>
      </c>
      <c r="CH30" s="3">
        <v>4</v>
      </c>
      <c r="CI30" s="3">
        <f t="shared" si="18"/>
        <v>2</v>
      </c>
    </row>
    <row r="31" spans="1:87" ht="15" customHeight="1" thickBot="1" x14ac:dyDescent="0.45">
      <c r="A31" s="3">
        <v>202503</v>
      </c>
      <c r="B31" s="3">
        <v>1</v>
      </c>
      <c r="C31" s="3">
        <v>2</v>
      </c>
      <c r="D31" s="3">
        <v>2</v>
      </c>
      <c r="E31" s="3">
        <v>1</v>
      </c>
      <c r="F31" s="3">
        <v>3</v>
      </c>
      <c r="G31" s="3">
        <v>2</v>
      </c>
      <c r="H31" s="3">
        <v>1</v>
      </c>
      <c r="I31" s="3">
        <v>2</v>
      </c>
      <c r="J31" s="3">
        <v>4.5</v>
      </c>
      <c r="K31" s="3">
        <v>2</v>
      </c>
      <c r="L31" s="3">
        <v>6</v>
      </c>
      <c r="M31" s="3">
        <v>7</v>
      </c>
      <c r="N31" s="3">
        <v>8</v>
      </c>
      <c r="O31" s="3">
        <v>4</v>
      </c>
      <c r="P31" s="3">
        <v>7</v>
      </c>
      <c r="Q31" s="3">
        <v>3</v>
      </c>
      <c r="R31" s="3">
        <v>3</v>
      </c>
      <c r="S31" s="4" t="s">
        <v>122</v>
      </c>
      <c r="T31" s="4" t="s">
        <v>122</v>
      </c>
      <c r="U31" s="3">
        <v>5</v>
      </c>
      <c r="V31" s="3">
        <v>8</v>
      </c>
      <c r="W31" s="3">
        <v>7</v>
      </c>
      <c r="X31" s="3">
        <v>6</v>
      </c>
      <c r="Y31" s="3">
        <v>7</v>
      </c>
      <c r="Z31" s="3">
        <v>4</v>
      </c>
      <c r="AA31" s="3">
        <v>2</v>
      </c>
      <c r="AB31" s="4" t="s">
        <v>122</v>
      </c>
      <c r="AC31" s="4" t="s">
        <v>122</v>
      </c>
      <c r="AD31" s="3" t="s">
        <v>122</v>
      </c>
      <c r="AE31" s="3" t="s">
        <v>122</v>
      </c>
      <c r="AF31" s="3" t="s">
        <v>122</v>
      </c>
      <c r="AG31" s="3">
        <v>4.5</v>
      </c>
      <c r="AH31" s="3">
        <v>5</v>
      </c>
      <c r="AI31" s="3">
        <v>2</v>
      </c>
      <c r="AJ31" s="3">
        <v>4.5</v>
      </c>
      <c r="AK31" s="3">
        <v>1</v>
      </c>
      <c r="AL31" s="3">
        <v>4</v>
      </c>
      <c r="AM31" s="3">
        <v>3</v>
      </c>
      <c r="AN31" s="3">
        <v>1</v>
      </c>
      <c r="AO31" s="3">
        <v>3</v>
      </c>
      <c r="AP31" s="3">
        <v>1</v>
      </c>
      <c r="AQ31" s="42">
        <v>3</v>
      </c>
      <c r="AR31" cm="1">
        <f t="array" ref="AR31">_xlfn.IFS(AQ31*1=2,1,AQ31*1=4,1,TRUE,0)</f>
        <v>0</v>
      </c>
      <c r="AS31" cm="1">
        <f t="array" ref="AS31">_xlfn.IFS(AQ31*1=1,1,AQ31*1=2,1,TRUE,0)</f>
        <v>0</v>
      </c>
      <c r="AT31" s="3">
        <v>4.5</v>
      </c>
      <c r="AU31" s="3">
        <v>4</v>
      </c>
      <c r="AV31" s="36">
        <f t="shared" si="0"/>
        <v>-0.5</v>
      </c>
      <c r="AW31" s="3">
        <f t="shared" si="1"/>
        <v>0</v>
      </c>
      <c r="AX31" s="3">
        <f t="shared" si="4"/>
        <v>5</v>
      </c>
      <c r="AY31" s="3">
        <f t="shared" si="5"/>
        <v>8</v>
      </c>
      <c r="AZ31" s="3">
        <f t="shared" si="6"/>
        <v>7</v>
      </c>
      <c r="BA31" s="3">
        <f t="shared" si="7"/>
        <v>6</v>
      </c>
      <c r="BB31" s="3">
        <f t="shared" si="8"/>
        <v>7</v>
      </c>
      <c r="BC31" s="3">
        <f t="shared" si="9"/>
        <v>4</v>
      </c>
      <c r="BD31" s="3">
        <f t="shared" si="10"/>
        <v>2</v>
      </c>
      <c r="BE31" s="3">
        <f t="shared" si="11"/>
        <v>6</v>
      </c>
      <c r="BF31" s="3">
        <f t="shared" si="12"/>
        <v>7</v>
      </c>
      <c r="BG31" s="3">
        <f t="shared" si="13"/>
        <v>8</v>
      </c>
      <c r="BH31" s="3">
        <f t="shared" si="14"/>
        <v>4</v>
      </c>
      <c r="BI31" s="3">
        <f t="shared" si="15"/>
        <v>7</v>
      </c>
      <c r="BJ31" s="3">
        <f t="shared" si="16"/>
        <v>3</v>
      </c>
      <c r="BK31" s="3">
        <f t="shared" si="17"/>
        <v>3</v>
      </c>
      <c r="BO31" s="78"/>
      <c r="BP31" s="78"/>
      <c r="BR31" s="78"/>
      <c r="BS31" s="78"/>
      <c r="BT31" s="78"/>
      <c r="BV31" s="85" t="s">
        <v>1059</v>
      </c>
      <c r="BW31" s="86"/>
      <c r="BX31" s="87"/>
      <c r="BY31" s="83"/>
      <c r="BZ31" s="83"/>
      <c r="CA31" s="3">
        <v>1</v>
      </c>
      <c r="CB31" s="3">
        <f t="shared" si="20"/>
        <v>1</v>
      </c>
      <c r="CC31" s="3">
        <v>4.5</v>
      </c>
      <c r="CD31" s="3">
        <v>4</v>
      </c>
      <c r="CE31" s="3">
        <v>2</v>
      </c>
      <c r="CG31" s="3">
        <v>5</v>
      </c>
      <c r="CH31" s="3">
        <v>6</v>
      </c>
      <c r="CI31" s="3">
        <f t="shared" si="18"/>
        <v>-1</v>
      </c>
    </row>
    <row r="32" spans="1:87" ht="14.6" customHeight="1" x14ac:dyDescent="0.4">
      <c r="A32" s="3">
        <v>202503</v>
      </c>
      <c r="B32" s="3">
        <v>1</v>
      </c>
      <c r="C32" s="3">
        <v>4</v>
      </c>
      <c r="D32" s="3">
        <v>2</v>
      </c>
      <c r="E32" s="3">
        <v>2</v>
      </c>
      <c r="F32" s="3">
        <v>1</v>
      </c>
      <c r="G32" s="3">
        <v>1</v>
      </c>
      <c r="H32" s="3">
        <v>1</v>
      </c>
      <c r="I32" s="3">
        <v>4</v>
      </c>
      <c r="J32" s="3">
        <v>5</v>
      </c>
      <c r="K32" s="3">
        <v>3</v>
      </c>
      <c r="L32" s="3">
        <v>8</v>
      </c>
      <c r="M32" s="3">
        <v>8</v>
      </c>
      <c r="N32" s="3">
        <v>7</v>
      </c>
      <c r="O32" s="3">
        <v>9</v>
      </c>
      <c r="P32" s="3">
        <v>7</v>
      </c>
      <c r="Q32" s="3">
        <v>3</v>
      </c>
      <c r="R32" s="3">
        <v>4</v>
      </c>
      <c r="S32" s="4" t="s">
        <v>122</v>
      </c>
      <c r="T32" s="4" t="s">
        <v>122</v>
      </c>
      <c r="U32" s="3">
        <v>5</v>
      </c>
      <c r="V32" s="3">
        <v>8</v>
      </c>
      <c r="W32" s="3">
        <v>4</v>
      </c>
      <c r="X32" s="3">
        <v>5</v>
      </c>
      <c r="Y32" s="3">
        <v>6</v>
      </c>
      <c r="Z32" s="3">
        <v>2</v>
      </c>
      <c r="AA32" s="3">
        <v>2</v>
      </c>
      <c r="AB32" s="4" t="s">
        <v>122</v>
      </c>
      <c r="AC32" s="4" t="s">
        <v>122</v>
      </c>
      <c r="AD32" s="3" t="s">
        <v>122</v>
      </c>
      <c r="AE32" s="3" t="s">
        <v>122</v>
      </c>
      <c r="AF32" s="3" t="s">
        <v>122</v>
      </c>
      <c r="AG32" s="3">
        <v>5</v>
      </c>
      <c r="AH32" s="3">
        <v>5</v>
      </c>
      <c r="AI32" s="3">
        <v>3</v>
      </c>
      <c r="AJ32" s="3">
        <v>5</v>
      </c>
      <c r="AK32" s="3">
        <v>3</v>
      </c>
      <c r="AL32" s="3">
        <v>6</v>
      </c>
      <c r="AM32" s="3">
        <v>3</v>
      </c>
      <c r="AN32" s="3">
        <v>1</v>
      </c>
      <c r="AO32" s="3">
        <v>4</v>
      </c>
      <c r="AP32" s="3">
        <v>4</v>
      </c>
      <c r="AQ32" s="42">
        <v>4</v>
      </c>
      <c r="AR32" cm="1">
        <f t="array" ref="AR32">_xlfn.IFS(AQ32*1=2,1,AQ32*1=4,1,TRUE,0)</f>
        <v>1</v>
      </c>
      <c r="AS32" cm="1">
        <f t="array" ref="AS32">_xlfn.IFS(AQ32*1=1,1,AQ32*1=2,1,TRUE,0)</f>
        <v>0</v>
      </c>
      <c r="AT32" s="3">
        <v>5</v>
      </c>
      <c r="AU32" s="3">
        <v>6</v>
      </c>
      <c r="AV32" s="36">
        <f t="shared" si="0"/>
        <v>1</v>
      </c>
      <c r="AW32" s="3">
        <f t="shared" si="1"/>
        <v>0</v>
      </c>
      <c r="AX32" s="3">
        <f t="shared" si="4"/>
        <v>8</v>
      </c>
      <c r="AY32" s="3">
        <f t="shared" si="5"/>
        <v>8</v>
      </c>
      <c r="AZ32" s="3">
        <f t="shared" si="6"/>
        <v>7</v>
      </c>
      <c r="BA32" s="3">
        <f t="shared" si="7"/>
        <v>9</v>
      </c>
      <c r="BB32" s="3">
        <f t="shared" si="8"/>
        <v>7</v>
      </c>
      <c r="BC32" s="3">
        <f t="shared" si="9"/>
        <v>3</v>
      </c>
      <c r="BD32" s="3">
        <f t="shared" si="10"/>
        <v>4</v>
      </c>
      <c r="BE32" s="3">
        <f t="shared" si="11"/>
        <v>5</v>
      </c>
      <c r="BF32" s="3">
        <f t="shared" si="12"/>
        <v>8</v>
      </c>
      <c r="BG32" s="3">
        <f t="shared" si="13"/>
        <v>4</v>
      </c>
      <c r="BH32" s="3">
        <f t="shared" si="14"/>
        <v>5</v>
      </c>
      <c r="BI32" s="3">
        <f t="shared" si="15"/>
        <v>6</v>
      </c>
      <c r="BJ32" s="3">
        <f t="shared" si="16"/>
        <v>2</v>
      </c>
      <c r="BK32" s="3">
        <f t="shared" si="17"/>
        <v>2</v>
      </c>
      <c r="BV32" s="88"/>
      <c r="BW32" s="88"/>
      <c r="BX32" s="88"/>
      <c r="CA32" s="3">
        <v>1</v>
      </c>
      <c r="CB32" s="3">
        <f t="shared" si="20"/>
        <v>1</v>
      </c>
      <c r="CC32" s="3">
        <v>5</v>
      </c>
      <c r="CD32" s="3">
        <v>5</v>
      </c>
      <c r="CE32" s="3">
        <v>5</v>
      </c>
      <c r="CG32" s="3">
        <v>8</v>
      </c>
      <c r="CH32" s="3">
        <v>5</v>
      </c>
      <c r="CI32" s="3">
        <f t="shared" si="18"/>
        <v>3</v>
      </c>
    </row>
    <row r="33" spans="1:87" ht="14.6" customHeight="1" x14ac:dyDescent="0.4">
      <c r="A33" s="3">
        <v>202503</v>
      </c>
      <c r="B33" s="3">
        <v>1</v>
      </c>
      <c r="C33" s="3">
        <v>2</v>
      </c>
      <c r="D33" s="3">
        <v>3</v>
      </c>
      <c r="E33" s="3">
        <v>1</v>
      </c>
      <c r="F33" s="3">
        <v>1</v>
      </c>
      <c r="G33" s="3">
        <v>1</v>
      </c>
      <c r="H33" s="3">
        <v>1</v>
      </c>
      <c r="I33" s="3">
        <v>4</v>
      </c>
      <c r="J33" s="3">
        <v>6</v>
      </c>
      <c r="K33" s="3">
        <v>2</v>
      </c>
      <c r="L33" s="3">
        <v>8</v>
      </c>
      <c r="M33" s="3">
        <v>7</v>
      </c>
      <c r="N33" s="3">
        <v>9</v>
      </c>
      <c r="O33" s="3">
        <v>8</v>
      </c>
      <c r="P33" s="3">
        <v>7</v>
      </c>
      <c r="Q33" s="3">
        <v>3</v>
      </c>
      <c r="R33" s="3">
        <v>2</v>
      </c>
      <c r="S33" s="3">
        <v>6</v>
      </c>
      <c r="T33" s="3">
        <v>2</v>
      </c>
      <c r="U33" s="3">
        <v>7</v>
      </c>
      <c r="V33" s="3">
        <v>7</v>
      </c>
      <c r="W33" s="3">
        <v>7</v>
      </c>
      <c r="X33" s="3">
        <v>6</v>
      </c>
      <c r="Y33" s="3">
        <v>7</v>
      </c>
      <c r="Z33" s="3">
        <v>4</v>
      </c>
      <c r="AA33" s="3">
        <v>3</v>
      </c>
      <c r="AB33" s="3">
        <v>5</v>
      </c>
      <c r="AC33" s="4">
        <v>2</v>
      </c>
      <c r="AD33" s="3">
        <v>6</v>
      </c>
      <c r="AE33" s="3">
        <v>5.5</v>
      </c>
      <c r="AF33" s="3">
        <v>1</v>
      </c>
      <c r="AG33" s="3" t="s">
        <v>122</v>
      </c>
      <c r="AH33" s="3" t="s">
        <v>122</v>
      </c>
      <c r="AI33" s="3" t="s">
        <v>122</v>
      </c>
      <c r="AJ33" s="3" t="s">
        <v>122</v>
      </c>
      <c r="AK33" s="3" t="s">
        <v>122</v>
      </c>
      <c r="AL33" s="3" t="s">
        <v>122</v>
      </c>
      <c r="AM33" s="3" t="s">
        <v>122</v>
      </c>
      <c r="AN33" s="3">
        <v>1</v>
      </c>
      <c r="AO33" s="3">
        <v>4</v>
      </c>
      <c r="AP33" s="3">
        <v>3</v>
      </c>
      <c r="AQ33" s="42">
        <v>1</v>
      </c>
      <c r="AR33" cm="1">
        <f t="array" ref="AR33">_xlfn.IFS(AQ33*1=2,1,AQ33*1=4,1,TRUE,0)</f>
        <v>0</v>
      </c>
      <c r="AS33" cm="1">
        <f t="array" ref="AS33">_xlfn.IFS(AQ33*1=1,1,AQ33*1=2,1,TRUE,0)</f>
        <v>1</v>
      </c>
      <c r="AT33" s="3">
        <v>6</v>
      </c>
      <c r="AU33" s="3">
        <v>5.5</v>
      </c>
      <c r="AV33" s="36">
        <f t="shared" si="0"/>
        <v>-0.5</v>
      </c>
      <c r="AW33" s="3">
        <f t="shared" si="1"/>
        <v>0</v>
      </c>
      <c r="AX33" s="3">
        <f t="shared" si="4"/>
        <v>7</v>
      </c>
      <c r="AY33" s="3">
        <f t="shared" si="5"/>
        <v>7</v>
      </c>
      <c r="AZ33" s="3">
        <f t="shared" si="6"/>
        <v>7</v>
      </c>
      <c r="BA33" s="3">
        <f t="shared" si="7"/>
        <v>6</v>
      </c>
      <c r="BB33" s="3">
        <f t="shared" si="8"/>
        <v>7</v>
      </c>
      <c r="BC33" s="3">
        <f t="shared" si="9"/>
        <v>4</v>
      </c>
      <c r="BD33" s="3">
        <f t="shared" si="10"/>
        <v>3</v>
      </c>
      <c r="BE33" s="3">
        <f t="shared" si="11"/>
        <v>8</v>
      </c>
      <c r="BF33" s="3">
        <f t="shared" si="12"/>
        <v>7</v>
      </c>
      <c r="BG33" s="3">
        <f t="shared" si="13"/>
        <v>9</v>
      </c>
      <c r="BH33" s="3">
        <f t="shared" si="14"/>
        <v>8</v>
      </c>
      <c r="BI33" s="3">
        <f t="shared" si="15"/>
        <v>7</v>
      </c>
      <c r="BJ33" s="3">
        <f t="shared" si="16"/>
        <v>3</v>
      </c>
      <c r="BK33" s="3">
        <f t="shared" si="17"/>
        <v>2</v>
      </c>
      <c r="BV33" s="88"/>
      <c r="BW33" s="88"/>
      <c r="BX33" s="88"/>
      <c r="CA33" s="3">
        <v>1</v>
      </c>
      <c r="CB33" s="3">
        <f t="shared" si="20"/>
        <v>1</v>
      </c>
      <c r="CC33" s="3">
        <v>6</v>
      </c>
      <c r="CD33" s="3">
        <v>0</v>
      </c>
      <c r="CE33" s="3">
        <v>6</v>
      </c>
      <c r="CG33" s="3">
        <v>7</v>
      </c>
      <c r="CH33" s="3">
        <v>8</v>
      </c>
      <c r="CI33" s="3">
        <f t="shared" si="18"/>
        <v>-1</v>
      </c>
    </row>
    <row r="34" spans="1:87" ht="14.6" customHeight="1" x14ac:dyDescent="0.4">
      <c r="A34" s="3">
        <v>202503</v>
      </c>
      <c r="B34" s="3">
        <v>1</v>
      </c>
      <c r="C34" s="3">
        <v>2</v>
      </c>
      <c r="D34" s="3">
        <v>2</v>
      </c>
      <c r="E34" s="3">
        <v>2</v>
      </c>
      <c r="F34" s="3">
        <v>2</v>
      </c>
      <c r="G34" s="3">
        <v>3</v>
      </c>
      <c r="H34" s="3">
        <v>2</v>
      </c>
      <c r="I34" s="3">
        <v>4</v>
      </c>
      <c r="J34" s="3">
        <v>5</v>
      </c>
      <c r="K34" s="3">
        <v>3</v>
      </c>
      <c r="L34" s="3">
        <v>6</v>
      </c>
      <c r="M34" s="3">
        <v>8</v>
      </c>
      <c r="N34" s="3">
        <v>8</v>
      </c>
      <c r="O34" s="3">
        <v>6</v>
      </c>
      <c r="P34" s="3">
        <v>8</v>
      </c>
      <c r="Q34" s="3">
        <v>2</v>
      </c>
      <c r="R34" s="3">
        <v>3</v>
      </c>
      <c r="S34" s="4" t="s">
        <v>122</v>
      </c>
      <c r="T34" s="4" t="s">
        <v>122</v>
      </c>
      <c r="U34" s="3">
        <v>7</v>
      </c>
      <c r="V34" s="3">
        <v>8</v>
      </c>
      <c r="W34" s="3">
        <v>6</v>
      </c>
      <c r="X34" s="3">
        <v>7</v>
      </c>
      <c r="Y34" s="3">
        <v>6</v>
      </c>
      <c r="Z34" s="3">
        <v>2</v>
      </c>
      <c r="AA34" s="3">
        <v>2</v>
      </c>
      <c r="AB34" s="4" t="s">
        <v>122</v>
      </c>
      <c r="AC34" s="4" t="s">
        <v>122</v>
      </c>
      <c r="AD34" s="3" t="s">
        <v>122</v>
      </c>
      <c r="AE34" s="3" t="s">
        <v>122</v>
      </c>
      <c r="AF34" s="3" t="s">
        <v>122</v>
      </c>
      <c r="AG34" s="3">
        <v>5</v>
      </c>
      <c r="AH34" s="3">
        <v>5</v>
      </c>
      <c r="AI34" s="3">
        <v>2</v>
      </c>
      <c r="AJ34" s="3">
        <v>5</v>
      </c>
      <c r="AK34" s="3">
        <v>3</v>
      </c>
      <c r="AL34" s="3">
        <v>5.5</v>
      </c>
      <c r="AM34" s="3">
        <v>3</v>
      </c>
      <c r="AN34" s="3">
        <v>2</v>
      </c>
      <c r="AO34" s="3">
        <v>5</v>
      </c>
      <c r="AP34" s="3">
        <v>5</v>
      </c>
      <c r="AQ34" s="42">
        <v>3</v>
      </c>
      <c r="AR34" cm="1">
        <f t="array" ref="AR34">_xlfn.IFS(AQ34*1=2,1,AQ34*1=4,1,TRUE,0)</f>
        <v>0</v>
      </c>
      <c r="AS34" cm="1">
        <f t="array" ref="AS34">_xlfn.IFS(AQ34*1=1,1,AQ34*1=2,1,TRUE,0)</f>
        <v>0</v>
      </c>
      <c r="AT34" s="3">
        <v>5</v>
      </c>
      <c r="AU34" s="3">
        <v>5.5</v>
      </c>
      <c r="AV34" s="36">
        <f t="shared" ref="AV34:AV65" si="21">IF(COUNT(AU34,J34)=2,AU34-J34,"")</f>
        <v>0.5</v>
      </c>
      <c r="AW34" s="3">
        <f t="shared" ref="AW34:AW65" si="22">AT34-J34</f>
        <v>0</v>
      </c>
      <c r="AX34" s="3">
        <f t="shared" si="4"/>
        <v>7</v>
      </c>
      <c r="AY34" s="3">
        <f t="shared" si="5"/>
        <v>8</v>
      </c>
      <c r="AZ34" s="3">
        <f t="shared" si="6"/>
        <v>6</v>
      </c>
      <c r="BA34" s="3">
        <f t="shared" si="7"/>
        <v>7</v>
      </c>
      <c r="BB34" s="3">
        <f t="shared" si="8"/>
        <v>6</v>
      </c>
      <c r="BC34" s="3">
        <f t="shared" si="9"/>
        <v>2</v>
      </c>
      <c r="BD34" s="3">
        <f t="shared" si="10"/>
        <v>2</v>
      </c>
      <c r="BE34" s="3">
        <f t="shared" si="11"/>
        <v>6</v>
      </c>
      <c r="BF34" s="3">
        <f t="shared" si="12"/>
        <v>8</v>
      </c>
      <c r="BG34" s="3">
        <f t="shared" si="13"/>
        <v>8</v>
      </c>
      <c r="BH34" s="3">
        <f t="shared" si="14"/>
        <v>6</v>
      </c>
      <c r="BI34" s="3">
        <f t="shared" si="15"/>
        <v>8</v>
      </c>
      <c r="BJ34" s="3">
        <f t="shared" si="16"/>
        <v>2</v>
      </c>
      <c r="BK34" s="3">
        <f t="shared" si="17"/>
        <v>3</v>
      </c>
      <c r="BV34" s="88"/>
      <c r="BW34" s="88"/>
      <c r="BX34" s="88"/>
      <c r="CA34" s="3">
        <v>2</v>
      </c>
      <c r="CB34" s="3">
        <f t="shared" si="20"/>
        <v>0</v>
      </c>
      <c r="CC34" s="3">
        <v>5</v>
      </c>
      <c r="CD34" s="3">
        <v>0</v>
      </c>
      <c r="CE34" s="3">
        <v>5</v>
      </c>
      <c r="CG34" s="3">
        <v>7</v>
      </c>
      <c r="CH34" s="3">
        <v>6</v>
      </c>
      <c r="CI34" s="3">
        <f t="shared" si="18"/>
        <v>1</v>
      </c>
    </row>
    <row r="35" spans="1:87" ht="15" thickBot="1" x14ac:dyDescent="0.45">
      <c r="A35" s="3">
        <v>202503</v>
      </c>
      <c r="B35" s="3">
        <v>1</v>
      </c>
      <c r="C35" s="3">
        <v>2</v>
      </c>
      <c r="D35" s="3">
        <v>1</v>
      </c>
      <c r="E35" s="3">
        <v>1</v>
      </c>
      <c r="F35" s="3">
        <v>2</v>
      </c>
      <c r="G35" s="3">
        <v>2</v>
      </c>
      <c r="H35" s="3">
        <v>1</v>
      </c>
      <c r="I35" s="3">
        <v>2</v>
      </c>
      <c r="J35" s="3">
        <v>2</v>
      </c>
      <c r="K35" s="3">
        <v>1</v>
      </c>
      <c r="L35" s="3">
        <v>1</v>
      </c>
      <c r="M35" s="3">
        <v>7</v>
      </c>
      <c r="N35" s="3">
        <v>8</v>
      </c>
      <c r="O35" s="3">
        <v>1</v>
      </c>
      <c r="P35" s="3">
        <v>5</v>
      </c>
      <c r="Q35" s="3">
        <v>5</v>
      </c>
      <c r="R35" s="3">
        <v>2</v>
      </c>
      <c r="S35" s="3" t="s">
        <v>122</v>
      </c>
      <c r="T35" s="3" t="s">
        <v>122</v>
      </c>
      <c r="U35" s="3">
        <v>6</v>
      </c>
      <c r="V35" s="3">
        <v>6</v>
      </c>
      <c r="W35" s="3">
        <v>6</v>
      </c>
      <c r="X35" s="3">
        <v>6</v>
      </c>
      <c r="Y35" s="3">
        <v>5</v>
      </c>
      <c r="Z35" s="3">
        <v>2</v>
      </c>
      <c r="AA35" s="3">
        <v>2</v>
      </c>
      <c r="AB35" s="3" t="s">
        <v>122</v>
      </c>
      <c r="AC35" s="3" t="s">
        <v>122</v>
      </c>
      <c r="AD35" s="3" t="s">
        <v>122</v>
      </c>
      <c r="AE35" s="3" t="s">
        <v>122</v>
      </c>
      <c r="AF35" s="3" t="s">
        <v>122</v>
      </c>
      <c r="AG35" s="3">
        <v>0</v>
      </c>
      <c r="AH35" s="3">
        <v>0</v>
      </c>
      <c r="AI35" s="3">
        <v>2</v>
      </c>
      <c r="AJ35" s="3">
        <v>2</v>
      </c>
      <c r="AK35" s="3">
        <v>3</v>
      </c>
      <c r="AL35" s="3">
        <v>2</v>
      </c>
      <c r="AM35" s="3">
        <v>3</v>
      </c>
      <c r="AN35" s="3">
        <v>2</v>
      </c>
      <c r="AO35" s="3">
        <v>5</v>
      </c>
      <c r="AP35" s="3">
        <v>-999</v>
      </c>
      <c r="AQ35" s="42">
        <v>4</v>
      </c>
      <c r="AR35" cm="1">
        <f t="array" ref="AR35">_xlfn.IFS(AQ35*1=2,1,AQ35*1=4,1,TRUE,0)</f>
        <v>1</v>
      </c>
      <c r="AS35" cm="1">
        <f t="array" ref="AS35">_xlfn.IFS(AQ35*1=1,1,AQ35*1=2,1,TRUE,0)</f>
        <v>0</v>
      </c>
      <c r="AT35" s="3">
        <v>2</v>
      </c>
      <c r="AU35" s="3">
        <v>2</v>
      </c>
      <c r="AV35" s="36">
        <f t="shared" si="21"/>
        <v>0</v>
      </c>
      <c r="AW35" s="3">
        <f t="shared" si="22"/>
        <v>0</v>
      </c>
      <c r="AX35" s="3">
        <f t="shared" si="4"/>
        <v>1</v>
      </c>
      <c r="AY35" s="3">
        <f t="shared" si="5"/>
        <v>7</v>
      </c>
      <c r="AZ35" s="3">
        <f t="shared" si="6"/>
        <v>8</v>
      </c>
      <c r="BA35" s="3">
        <f t="shared" si="7"/>
        <v>1</v>
      </c>
      <c r="BB35" s="3">
        <f t="shared" si="8"/>
        <v>5</v>
      </c>
      <c r="BC35" s="3">
        <f t="shared" si="9"/>
        <v>5</v>
      </c>
      <c r="BD35" s="3">
        <f t="shared" si="10"/>
        <v>2</v>
      </c>
      <c r="BE35" s="3">
        <f t="shared" si="11"/>
        <v>6</v>
      </c>
      <c r="BF35" s="3">
        <f t="shared" si="12"/>
        <v>6</v>
      </c>
      <c r="BG35" s="3">
        <f t="shared" si="13"/>
        <v>6</v>
      </c>
      <c r="BH35" s="3">
        <f t="shared" si="14"/>
        <v>6</v>
      </c>
      <c r="BI35" s="3">
        <f t="shared" si="15"/>
        <v>5</v>
      </c>
      <c r="BJ35" s="3">
        <f t="shared" si="16"/>
        <v>2</v>
      </c>
      <c r="BK35" s="3">
        <f t="shared" si="17"/>
        <v>2</v>
      </c>
      <c r="BV35" s="88"/>
      <c r="BW35" s="88"/>
      <c r="BX35" s="88"/>
      <c r="CA35" s="3">
        <v>2</v>
      </c>
      <c r="CB35" s="3">
        <f t="shared" si="20"/>
        <v>0</v>
      </c>
      <c r="CC35" s="3">
        <v>2</v>
      </c>
      <c r="CD35" s="3">
        <v>0</v>
      </c>
      <c r="CE35" s="3">
        <v>4</v>
      </c>
      <c r="CG35" s="3">
        <v>1</v>
      </c>
      <c r="CH35" s="3">
        <v>6</v>
      </c>
      <c r="CI35" s="3">
        <f t="shared" si="18"/>
        <v>-5</v>
      </c>
    </row>
    <row r="36" spans="1:87" x14ac:dyDescent="0.4">
      <c r="A36" s="3">
        <v>202503</v>
      </c>
      <c r="B36" s="3">
        <v>1</v>
      </c>
      <c r="C36" s="3">
        <v>3</v>
      </c>
      <c r="D36" s="3">
        <v>3</v>
      </c>
      <c r="E36" s="3">
        <v>1</v>
      </c>
      <c r="F36" s="3">
        <v>1</v>
      </c>
      <c r="G36" s="3">
        <v>1</v>
      </c>
      <c r="H36" s="3">
        <v>1</v>
      </c>
      <c r="I36" s="3">
        <v>4</v>
      </c>
      <c r="J36" s="3">
        <v>4.5</v>
      </c>
      <c r="K36" s="3">
        <v>3</v>
      </c>
      <c r="L36" s="3">
        <v>8</v>
      </c>
      <c r="M36" s="3">
        <v>9</v>
      </c>
      <c r="N36" s="3">
        <v>6</v>
      </c>
      <c r="O36" s="3">
        <v>8</v>
      </c>
      <c r="P36" s="3">
        <v>8</v>
      </c>
      <c r="Q36" s="3">
        <v>3</v>
      </c>
      <c r="R36" s="3">
        <v>4</v>
      </c>
      <c r="S36" s="3">
        <v>5.5</v>
      </c>
      <c r="T36" s="3">
        <v>3</v>
      </c>
      <c r="U36" s="3">
        <v>3</v>
      </c>
      <c r="V36" s="3">
        <v>7</v>
      </c>
      <c r="W36" s="3">
        <v>4</v>
      </c>
      <c r="X36" s="3">
        <v>2</v>
      </c>
      <c r="Y36" s="3">
        <v>6</v>
      </c>
      <c r="Z36" s="3">
        <v>5</v>
      </c>
      <c r="AA36" s="3">
        <v>4</v>
      </c>
      <c r="AB36" s="3">
        <v>0</v>
      </c>
      <c r="AC36" s="3" t="s">
        <v>122</v>
      </c>
      <c r="AD36" s="3">
        <v>0</v>
      </c>
      <c r="AE36" s="3">
        <v>5.5</v>
      </c>
      <c r="AF36" s="3">
        <v>3</v>
      </c>
      <c r="AG36" s="3" t="s">
        <v>122</v>
      </c>
      <c r="AH36" s="3" t="s">
        <v>122</v>
      </c>
      <c r="AI36" s="3" t="s">
        <v>122</v>
      </c>
      <c r="AJ36" s="3" t="s">
        <v>122</v>
      </c>
      <c r="AK36" s="3" t="s">
        <v>122</v>
      </c>
      <c r="AL36" s="3" t="s">
        <v>122</v>
      </c>
      <c r="AM36" s="3" t="s">
        <v>122</v>
      </c>
      <c r="AN36" s="3">
        <v>1</v>
      </c>
      <c r="AO36" s="3">
        <v>3</v>
      </c>
      <c r="AP36" s="3">
        <v>1</v>
      </c>
      <c r="AQ36" s="42">
        <v>2</v>
      </c>
      <c r="AR36" cm="1">
        <f t="array" ref="AR36">_xlfn.IFS(AQ36*1=2,1,AQ36*1=4,1,TRUE,0)</f>
        <v>1</v>
      </c>
      <c r="AS36" cm="1">
        <f t="array" ref="AS36">_xlfn.IFS(AQ36*1=1,1,AQ36*1=2,1,TRUE,0)</f>
        <v>1</v>
      </c>
      <c r="AT36" s="3">
        <v>0</v>
      </c>
      <c r="AU36" s="3">
        <v>5.5</v>
      </c>
      <c r="AV36" s="36">
        <f t="shared" si="21"/>
        <v>1</v>
      </c>
      <c r="AW36" s="3">
        <f t="shared" si="22"/>
        <v>-4.5</v>
      </c>
      <c r="AX36" s="3">
        <f t="shared" si="4"/>
        <v>8</v>
      </c>
      <c r="AY36" s="3">
        <f t="shared" si="5"/>
        <v>9</v>
      </c>
      <c r="AZ36" s="3">
        <f t="shared" si="6"/>
        <v>6</v>
      </c>
      <c r="BA36" s="3">
        <f t="shared" si="7"/>
        <v>8</v>
      </c>
      <c r="BB36" s="3">
        <f t="shared" si="8"/>
        <v>8</v>
      </c>
      <c r="BC36" s="3">
        <f t="shared" si="9"/>
        <v>3</v>
      </c>
      <c r="BD36" s="3">
        <f t="shared" si="10"/>
        <v>4</v>
      </c>
      <c r="BE36" s="3">
        <f t="shared" si="11"/>
        <v>3</v>
      </c>
      <c r="BF36" s="3">
        <f t="shared" si="12"/>
        <v>7</v>
      </c>
      <c r="BG36" s="3">
        <f t="shared" si="13"/>
        <v>4</v>
      </c>
      <c r="BH36" s="3">
        <f t="shared" si="14"/>
        <v>2</v>
      </c>
      <c r="BI36" s="3">
        <f t="shared" si="15"/>
        <v>6</v>
      </c>
      <c r="BJ36" s="3">
        <f t="shared" si="16"/>
        <v>5</v>
      </c>
      <c r="BK36" s="3">
        <f t="shared" si="17"/>
        <v>4</v>
      </c>
      <c r="BO36" s="78"/>
      <c r="BP36" s="78"/>
      <c r="BR36" s="78"/>
      <c r="BS36" s="78"/>
      <c r="BT36" s="78"/>
      <c r="BV36" s="89"/>
      <c r="BW36" s="90"/>
      <c r="BX36" s="91"/>
      <c r="BY36" s="83"/>
      <c r="BZ36" s="83"/>
      <c r="CA36" s="3">
        <v>1</v>
      </c>
      <c r="CB36" s="3">
        <f t="shared" si="20"/>
        <v>1</v>
      </c>
      <c r="CC36" s="3">
        <v>4.5</v>
      </c>
      <c r="CD36" s="3">
        <v>2</v>
      </c>
      <c r="CE36" s="3">
        <v>5.5</v>
      </c>
      <c r="CG36" s="3">
        <v>8</v>
      </c>
      <c r="CH36" s="3">
        <v>3</v>
      </c>
      <c r="CI36" s="3">
        <f t="shared" si="18"/>
        <v>5</v>
      </c>
    </row>
    <row r="37" spans="1:87" x14ac:dyDescent="0.4">
      <c r="A37" s="3">
        <v>202503</v>
      </c>
      <c r="B37" s="3">
        <v>1</v>
      </c>
      <c r="C37" s="3">
        <v>2</v>
      </c>
      <c r="D37" s="3">
        <v>1</v>
      </c>
      <c r="E37" s="3">
        <v>2</v>
      </c>
      <c r="F37" s="3">
        <v>4</v>
      </c>
      <c r="G37" s="3">
        <v>3</v>
      </c>
      <c r="H37" s="3">
        <v>1</v>
      </c>
      <c r="I37" s="3">
        <v>3</v>
      </c>
      <c r="J37" s="3">
        <v>5</v>
      </c>
      <c r="K37" s="3">
        <v>1</v>
      </c>
      <c r="L37" s="3">
        <v>7</v>
      </c>
      <c r="M37" s="3">
        <v>5</v>
      </c>
      <c r="N37" s="3">
        <v>6</v>
      </c>
      <c r="O37" s="3">
        <v>7</v>
      </c>
      <c r="P37" s="3">
        <v>8</v>
      </c>
      <c r="Q37" s="3">
        <v>2</v>
      </c>
      <c r="R37" s="3">
        <v>3</v>
      </c>
      <c r="S37" s="3" t="s">
        <v>122</v>
      </c>
      <c r="T37" s="3" t="s">
        <v>122</v>
      </c>
      <c r="U37" s="3">
        <v>7</v>
      </c>
      <c r="V37" s="3">
        <v>5</v>
      </c>
      <c r="W37" s="3">
        <v>7</v>
      </c>
      <c r="X37" s="3">
        <v>6</v>
      </c>
      <c r="Y37" s="3">
        <v>8</v>
      </c>
      <c r="Z37" s="3">
        <v>3</v>
      </c>
      <c r="AA37" s="3">
        <v>3</v>
      </c>
      <c r="AB37" s="3" t="s">
        <v>122</v>
      </c>
      <c r="AC37" s="3" t="s">
        <v>122</v>
      </c>
      <c r="AD37" s="3" t="s">
        <v>122</v>
      </c>
      <c r="AE37" s="3" t="s">
        <v>122</v>
      </c>
      <c r="AF37" s="3" t="s">
        <v>122</v>
      </c>
      <c r="AG37" s="3">
        <v>6</v>
      </c>
      <c r="AH37" s="3">
        <v>5</v>
      </c>
      <c r="AI37" s="3">
        <v>2</v>
      </c>
      <c r="AJ37" s="3">
        <v>5.5</v>
      </c>
      <c r="AK37" s="3">
        <v>3</v>
      </c>
      <c r="AL37" s="3">
        <v>5</v>
      </c>
      <c r="AM37" s="3">
        <v>2</v>
      </c>
      <c r="AN37" s="3">
        <v>2</v>
      </c>
      <c r="AO37" s="3">
        <v>3</v>
      </c>
      <c r="AP37" s="3">
        <v>-999</v>
      </c>
      <c r="AQ37" s="42">
        <v>4</v>
      </c>
      <c r="AR37" cm="1">
        <f t="array" ref="AR37">_xlfn.IFS(AQ37*1=2,1,AQ37*1=4,1,TRUE,0)</f>
        <v>1</v>
      </c>
      <c r="AS37" cm="1">
        <f t="array" ref="AS37">_xlfn.IFS(AQ37*1=1,1,AQ37*1=2,1,TRUE,0)</f>
        <v>0</v>
      </c>
      <c r="AT37" s="3">
        <v>5.5</v>
      </c>
      <c r="AU37" s="3">
        <v>5</v>
      </c>
      <c r="AV37" s="36">
        <f t="shared" si="21"/>
        <v>0</v>
      </c>
      <c r="AW37" s="3">
        <f t="shared" si="22"/>
        <v>0.5</v>
      </c>
      <c r="AX37" s="3">
        <f t="shared" si="4"/>
        <v>7</v>
      </c>
      <c r="AY37" s="3">
        <f t="shared" si="5"/>
        <v>5</v>
      </c>
      <c r="AZ37" s="3">
        <f t="shared" si="6"/>
        <v>6</v>
      </c>
      <c r="BA37" s="3">
        <f t="shared" si="7"/>
        <v>7</v>
      </c>
      <c r="BB37" s="3">
        <f t="shared" si="8"/>
        <v>8</v>
      </c>
      <c r="BC37" s="3">
        <f t="shared" si="9"/>
        <v>2</v>
      </c>
      <c r="BD37" s="3">
        <f t="shared" si="10"/>
        <v>3</v>
      </c>
      <c r="BE37" s="3">
        <f t="shared" si="11"/>
        <v>7</v>
      </c>
      <c r="BF37" s="3">
        <f t="shared" si="12"/>
        <v>5</v>
      </c>
      <c r="BG37" s="3">
        <f t="shared" si="13"/>
        <v>7</v>
      </c>
      <c r="BH37" s="3">
        <f t="shared" si="14"/>
        <v>6</v>
      </c>
      <c r="BI37" s="3">
        <f t="shared" si="15"/>
        <v>8</v>
      </c>
      <c r="BJ37" s="3">
        <f t="shared" si="16"/>
        <v>3</v>
      </c>
      <c r="BK37" s="3">
        <f t="shared" si="17"/>
        <v>3</v>
      </c>
      <c r="BO37" s="81" t="s">
        <v>1053</v>
      </c>
      <c r="BP37" s="81" t="s">
        <v>32</v>
      </c>
      <c r="BR37" s="81" t="s">
        <v>1054</v>
      </c>
      <c r="BS37" s="81"/>
      <c r="BT37" s="79"/>
      <c r="BV37" s="92"/>
      <c r="BW37" s="93"/>
      <c r="BX37" s="94"/>
      <c r="BY37" s="83"/>
      <c r="BZ37" s="83"/>
      <c r="CA37" s="3">
        <v>2</v>
      </c>
      <c r="CB37" s="3">
        <f t="shared" si="20"/>
        <v>0</v>
      </c>
      <c r="CC37" s="3">
        <v>5</v>
      </c>
      <c r="CD37" s="3">
        <v>5.5</v>
      </c>
      <c r="CE37" s="3">
        <v>4</v>
      </c>
      <c r="CG37" s="3">
        <v>7</v>
      </c>
      <c r="CH37" s="3">
        <v>7</v>
      </c>
      <c r="CI37" s="3">
        <f t="shared" si="18"/>
        <v>0</v>
      </c>
    </row>
    <row r="38" spans="1:87" x14ac:dyDescent="0.4">
      <c r="A38" s="3">
        <v>202503</v>
      </c>
      <c r="B38" s="3">
        <v>1</v>
      </c>
      <c r="C38" s="3">
        <v>2</v>
      </c>
      <c r="D38" s="3">
        <v>2</v>
      </c>
      <c r="E38" s="3">
        <v>1</v>
      </c>
      <c r="F38" s="3">
        <v>3</v>
      </c>
      <c r="G38" s="3">
        <v>2</v>
      </c>
      <c r="H38" s="3">
        <v>1</v>
      </c>
      <c r="I38" s="3">
        <v>3</v>
      </c>
      <c r="J38" s="3">
        <v>5</v>
      </c>
      <c r="K38" s="3">
        <v>2</v>
      </c>
      <c r="L38" s="3">
        <v>7</v>
      </c>
      <c r="M38" s="3">
        <v>7</v>
      </c>
      <c r="N38" s="3">
        <v>6</v>
      </c>
      <c r="O38" s="3">
        <v>8</v>
      </c>
      <c r="P38" s="3">
        <v>8</v>
      </c>
      <c r="Q38" s="3">
        <v>3</v>
      </c>
      <c r="R38" s="3">
        <v>4</v>
      </c>
      <c r="S38" s="4">
        <v>5.5</v>
      </c>
      <c r="T38" s="4">
        <v>2</v>
      </c>
      <c r="U38" s="3">
        <v>6</v>
      </c>
      <c r="V38" s="3">
        <v>7</v>
      </c>
      <c r="W38" s="3">
        <v>6</v>
      </c>
      <c r="X38" s="3">
        <v>6</v>
      </c>
      <c r="Y38" s="3">
        <v>7</v>
      </c>
      <c r="Z38" s="3">
        <v>4</v>
      </c>
      <c r="AA38" s="3">
        <v>2</v>
      </c>
      <c r="AB38" s="4">
        <v>4</v>
      </c>
      <c r="AC38" s="4">
        <v>2</v>
      </c>
      <c r="AD38" s="3">
        <v>5</v>
      </c>
      <c r="AE38" s="3">
        <v>4</v>
      </c>
      <c r="AF38" s="3">
        <v>2</v>
      </c>
      <c r="AG38" s="3" t="s">
        <v>122</v>
      </c>
      <c r="AH38" s="3" t="s">
        <v>122</v>
      </c>
      <c r="AI38" s="3" t="s">
        <v>122</v>
      </c>
      <c r="AJ38" s="3" t="s">
        <v>122</v>
      </c>
      <c r="AK38" s="3" t="s">
        <v>122</v>
      </c>
      <c r="AL38" s="3" t="s">
        <v>122</v>
      </c>
      <c r="AM38" s="3" t="s">
        <v>122</v>
      </c>
      <c r="AN38" s="3">
        <v>1</v>
      </c>
      <c r="AO38" s="3">
        <v>3</v>
      </c>
      <c r="AP38" s="3">
        <v>1</v>
      </c>
      <c r="AQ38" s="42">
        <v>1</v>
      </c>
      <c r="AR38" cm="1">
        <f t="array" ref="AR38">_xlfn.IFS(AQ38*1=2,1,AQ38*1=4,1,TRUE,0)</f>
        <v>0</v>
      </c>
      <c r="AS38" cm="1">
        <f t="array" ref="AS38">_xlfn.IFS(AQ38*1=1,1,AQ38*1=2,1,TRUE,0)</f>
        <v>1</v>
      </c>
      <c r="AT38" s="3">
        <v>5</v>
      </c>
      <c r="AU38" s="3">
        <v>4</v>
      </c>
      <c r="AV38" s="36">
        <f t="shared" si="21"/>
        <v>-1</v>
      </c>
      <c r="AW38" s="3">
        <f t="shared" si="22"/>
        <v>0</v>
      </c>
      <c r="AX38" s="3">
        <f t="shared" si="4"/>
        <v>6</v>
      </c>
      <c r="AY38" s="3">
        <f t="shared" si="5"/>
        <v>7</v>
      </c>
      <c r="AZ38" s="3">
        <f t="shared" si="6"/>
        <v>6</v>
      </c>
      <c r="BA38" s="3">
        <f t="shared" si="7"/>
        <v>6</v>
      </c>
      <c r="BB38" s="3">
        <f t="shared" si="8"/>
        <v>7</v>
      </c>
      <c r="BC38" s="3">
        <f t="shared" si="9"/>
        <v>4</v>
      </c>
      <c r="BD38" s="3">
        <f t="shared" si="10"/>
        <v>2</v>
      </c>
      <c r="BE38" s="3">
        <f t="shared" si="11"/>
        <v>7</v>
      </c>
      <c r="BF38" s="3">
        <f t="shared" si="12"/>
        <v>7</v>
      </c>
      <c r="BG38" s="3">
        <f t="shared" si="13"/>
        <v>6</v>
      </c>
      <c r="BH38" s="3">
        <f t="shared" si="14"/>
        <v>8</v>
      </c>
      <c r="BI38" s="3">
        <f t="shared" si="15"/>
        <v>8</v>
      </c>
      <c r="BJ38" s="3">
        <f t="shared" si="16"/>
        <v>3</v>
      </c>
      <c r="BK38" s="3">
        <f t="shared" si="17"/>
        <v>4</v>
      </c>
      <c r="BO38" s="78"/>
      <c r="BP38" s="78"/>
      <c r="BR38" s="78"/>
      <c r="BS38" s="78"/>
      <c r="BT38" s="78"/>
      <c r="BV38" s="92"/>
      <c r="BW38" s="93"/>
      <c r="BX38" s="94"/>
      <c r="BY38" s="83"/>
      <c r="BZ38" s="83"/>
      <c r="CA38" s="3">
        <v>1</v>
      </c>
      <c r="CB38" s="3">
        <f t="shared" si="20"/>
        <v>1</v>
      </c>
      <c r="CC38" s="3">
        <v>5</v>
      </c>
      <c r="CD38" s="3">
        <v>4.5</v>
      </c>
      <c r="CE38" s="3">
        <v>4</v>
      </c>
      <c r="CG38" s="3">
        <v>6</v>
      </c>
      <c r="CH38" s="3">
        <v>7</v>
      </c>
      <c r="CI38" s="3">
        <f t="shared" si="18"/>
        <v>-1</v>
      </c>
    </row>
    <row r="39" spans="1:87" ht="15" thickBot="1" x14ac:dyDescent="0.45">
      <c r="A39" s="3">
        <v>202503</v>
      </c>
      <c r="B39" s="3">
        <v>1</v>
      </c>
      <c r="C39" s="3">
        <v>4</v>
      </c>
      <c r="D39" s="3">
        <v>3</v>
      </c>
      <c r="E39" s="3">
        <v>1</v>
      </c>
      <c r="F39" s="3">
        <v>1</v>
      </c>
      <c r="G39" s="3">
        <v>2</v>
      </c>
      <c r="H39" s="3">
        <v>1</v>
      </c>
      <c r="I39" s="3">
        <v>4</v>
      </c>
      <c r="J39" s="3">
        <v>4</v>
      </c>
      <c r="K39" s="3">
        <v>2</v>
      </c>
      <c r="L39" s="3">
        <v>8</v>
      </c>
      <c r="M39" s="3">
        <v>8</v>
      </c>
      <c r="N39" s="3">
        <v>7</v>
      </c>
      <c r="O39" s="3">
        <v>8</v>
      </c>
      <c r="P39" s="3">
        <v>8</v>
      </c>
      <c r="Q39" s="3">
        <v>3</v>
      </c>
      <c r="R39" s="3">
        <v>3</v>
      </c>
      <c r="S39" s="4">
        <v>5</v>
      </c>
      <c r="T39" s="4">
        <v>2</v>
      </c>
      <c r="U39" s="3">
        <v>6</v>
      </c>
      <c r="V39" s="3">
        <v>6</v>
      </c>
      <c r="W39" s="3">
        <v>4</v>
      </c>
      <c r="X39" s="3">
        <v>8</v>
      </c>
      <c r="Y39" s="3">
        <v>8</v>
      </c>
      <c r="Z39" s="3">
        <v>3</v>
      </c>
      <c r="AA39" s="3">
        <v>3</v>
      </c>
      <c r="AB39" s="4">
        <v>5</v>
      </c>
      <c r="AC39" s="4">
        <v>2</v>
      </c>
      <c r="AD39" s="3">
        <v>4.5</v>
      </c>
      <c r="AE39" s="3">
        <v>5</v>
      </c>
      <c r="AF39" s="3">
        <v>2</v>
      </c>
      <c r="AG39" s="3" t="s">
        <v>122</v>
      </c>
      <c r="AH39" s="3" t="s">
        <v>122</v>
      </c>
      <c r="AI39" s="3" t="s">
        <v>122</v>
      </c>
      <c r="AJ39" s="3" t="s">
        <v>122</v>
      </c>
      <c r="AK39" s="3" t="s">
        <v>122</v>
      </c>
      <c r="AL39" s="3" t="s">
        <v>122</v>
      </c>
      <c r="AM39" s="3" t="s">
        <v>122</v>
      </c>
      <c r="AN39" s="3">
        <v>1</v>
      </c>
      <c r="AO39" s="3">
        <v>3</v>
      </c>
      <c r="AP39" s="3">
        <v>-999</v>
      </c>
      <c r="AQ39" s="42">
        <v>2</v>
      </c>
      <c r="AR39" cm="1">
        <f t="array" ref="AR39">_xlfn.IFS(AQ39*1=2,1,AQ39*1=4,1,TRUE,0)</f>
        <v>1</v>
      </c>
      <c r="AS39" cm="1">
        <f t="array" ref="AS39">_xlfn.IFS(AQ39*1=1,1,AQ39*1=2,1,TRUE,0)</f>
        <v>1</v>
      </c>
      <c r="AT39" s="3">
        <v>4.5</v>
      </c>
      <c r="AU39" s="3">
        <v>5</v>
      </c>
      <c r="AV39" s="36">
        <f t="shared" si="21"/>
        <v>1</v>
      </c>
      <c r="AW39" s="3">
        <f t="shared" si="22"/>
        <v>0.5</v>
      </c>
      <c r="AX39" s="3">
        <f t="shared" si="4"/>
        <v>8</v>
      </c>
      <c r="AY39" s="3">
        <f t="shared" si="5"/>
        <v>8</v>
      </c>
      <c r="AZ39" s="3">
        <f t="shared" si="6"/>
        <v>7</v>
      </c>
      <c r="BA39" s="3">
        <f t="shared" si="7"/>
        <v>8</v>
      </c>
      <c r="BB39" s="3">
        <f t="shared" si="8"/>
        <v>8</v>
      </c>
      <c r="BC39" s="3">
        <f t="shared" si="9"/>
        <v>3</v>
      </c>
      <c r="BD39" s="3">
        <f t="shared" si="10"/>
        <v>3</v>
      </c>
      <c r="BE39" s="3">
        <f t="shared" si="11"/>
        <v>6</v>
      </c>
      <c r="BF39" s="3">
        <f t="shared" si="12"/>
        <v>6</v>
      </c>
      <c r="BG39" s="3">
        <f t="shared" si="13"/>
        <v>4</v>
      </c>
      <c r="BH39" s="3">
        <f t="shared" si="14"/>
        <v>8</v>
      </c>
      <c r="BI39" s="3">
        <f t="shared" si="15"/>
        <v>8</v>
      </c>
      <c r="BJ39" s="3">
        <f t="shared" si="16"/>
        <v>3</v>
      </c>
      <c r="BK39" s="3">
        <f t="shared" si="17"/>
        <v>3</v>
      </c>
      <c r="BO39" s="79" t="s">
        <v>1046</v>
      </c>
      <c r="BP39" s="78">
        <v>6</v>
      </c>
      <c r="BR39" s="79" t="s">
        <v>1046</v>
      </c>
      <c r="BS39" s="78">
        <v>6</v>
      </c>
      <c r="BT39" s="78">
        <v>6</v>
      </c>
      <c r="BV39" s="95"/>
      <c r="BW39" s="96"/>
      <c r="BX39" s="97"/>
      <c r="BY39" s="83"/>
      <c r="BZ39" s="83"/>
      <c r="CA39" s="3">
        <v>1</v>
      </c>
      <c r="CB39" s="3">
        <f t="shared" si="20"/>
        <v>1</v>
      </c>
      <c r="CC39" s="3">
        <v>4</v>
      </c>
      <c r="CD39" s="3">
        <v>7</v>
      </c>
      <c r="CE39" s="3">
        <v>0</v>
      </c>
      <c r="CG39" s="3">
        <v>8</v>
      </c>
      <c r="CH39" s="3">
        <v>6</v>
      </c>
      <c r="CI39" s="3">
        <f t="shared" si="18"/>
        <v>2</v>
      </c>
    </row>
    <row r="40" spans="1:87" x14ac:dyDescent="0.4">
      <c r="A40" s="3">
        <v>202503</v>
      </c>
      <c r="B40" s="3">
        <v>1</v>
      </c>
      <c r="C40" s="3">
        <v>3</v>
      </c>
      <c r="D40" s="3">
        <v>2</v>
      </c>
      <c r="E40" s="3">
        <v>1</v>
      </c>
      <c r="F40" s="3">
        <v>1</v>
      </c>
      <c r="G40" s="3">
        <v>1</v>
      </c>
      <c r="H40" s="3">
        <v>1</v>
      </c>
      <c r="I40" s="3">
        <v>3</v>
      </c>
      <c r="J40" s="3">
        <v>6</v>
      </c>
      <c r="K40" s="3">
        <v>3</v>
      </c>
      <c r="L40" s="3">
        <v>7</v>
      </c>
      <c r="M40" s="3">
        <v>8</v>
      </c>
      <c r="N40" s="3">
        <v>8</v>
      </c>
      <c r="O40" s="3">
        <v>7</v>
      </c>
      <c r="P40" s="3">
        <v>8</v>
      </c>
      <c r="Q40" s="3">
        <v>4</v>
      </c>
      <c r="R40" s="3">
        <v>3</v>
      </c>
      <c r="S40" s="4">
        <v>7</v>
      </c>
      <c r="T40" s="4">
        <v>2</v>
      </c>
      <c r="U40" s="3">
        <v>6</v>
      </c>
      <c r="V40" s="3">
        <v>8</v>
      </c>
      <c r="W40" s="3">
        <v>6</v>
      </c>
      <c r="X40" s="3">
        <v>4</v>
      </c>
      <c r="Y40" s="3">
        <v>8</v>
      </c>
      <c r="Z40" s="3">
        <v>1</v>
      </c>
      <c r="AA40" s="3">
        <v>3</v>
      </c>
      <c r="AB40" s="4">
        <v>5</v>
      </c>
      <c r="AC40" s="4">
        <v>2</v>
      </c>
      <c r="AD40" s="3">
        <v>5</v>
      </c>
      <c r="AE40" s="3">
        <v>6</v>
      </c>
      <c r="AF40" s="3">
        <v>2</v>
      </c>
      <c r="AG40" s="3" t="s">
        <v>122</v>
      </c>
      <c r="AH40" s="3" t="s">
        <v>122</v>
      </c>
      <c r="AI40" s="3" t="s">
        <v>122</v>
      </c>
      <c r="AJ40" s="3" t="s">
        <v>122</v>
      </c>
      <c r="AK40" s="3" t="s">
        <v>122</v>
      </c>
      <c r="AL40" s="3" t="s">
        <v>122</v>
      </c>
      <c r="AM40" s="3" t="s">
        <v>122</v>
      </c>
      <c r="AN40" s="3">
        <v>2</v>
      </c>
      <c r="AO40" s="3">
        <v>5</v>
      </c>
      <c r="AP40" s="3">
        <v>5</v>
      </c>
      <c r="AQ40" s="42">
        <v>2</v>
      </c>
      <c r="AR40" cm="1">
        <f t="array" ref="AR40">_xlfn.IFS(AQ40*1=2,1,AQ40*1=4,1,TRUE,0)</f>
        <v>1</v>
      </c>
      <c r="AS40" cm="1">
        <f t="array" ref="AS40">_xlfn.IFS(AQ40*1=1,1,AQ40*1=2,1,TRUE,0)</f>
        <v>1</v>
      </c>
      <c r="AT40" s="3">
        <v>5</v>
      </c>
      <c r="AU40" s="3">
        <v>6</v>
      </c>
      <c r="AV40" s="36">
        <f t="shared" si="21"/>
        <v>0</v>
      </c>
      <c r="AW40" s="3">
        <f t="shared" si="22"/>
        <v>-1</v>
      </c>
      <c r="AX40" s="3">
        <f t="shared" si="4"/>
        <v>7</v>
      </c>
      <c r="AY40" s="3">
        <f t="shared" si="5"/>
        <v>8</v>
      </c>
      <c r="AZ40" s="3">
        <f t="shared" si="6"/>
        <v>8</v>
      </c>
      <c r="BA40" s="3">
        <f t="shared" si="7"/>
        <v>7</v>
      </c>
      <c r="BB40" s="3">
        <f t="shared" si="8"/>
        <v>8</v>
      </c>
      <c r="BC40" s="3">
        <f t="shared" si="9"/>
        <v>4</v>
      </c>
      <c r="BD40" s="3">
        <f t="shared" si="10"/>
        <v>3</v>
      </c>
      <c r="BE40" s="3">
        <f t="shared" si="11"/>
        <v>6</v>
      </c>
      <c r="BF40" s="3">
        <f t="shared" si="12"/>
        <v>8</v>
      </c>
      <c r="BG40" s="3">
        <f t="shared" si="13"/>
        <v>6</v>
      </c>
      <c r="BH40" s="3">
        <f t="shared" si="14"/>
        <v>4</v>
      </c>
      <c r="BI40" s="3">
        <f t="shared" si="15"/>
        <v>8</v>
      </c>
      <c r="BJ40" s="3">
        <f t="shared" si="16"/>
        <v>1</v>
      </c>
      <c r="BK40" s="3">
        <f t="shared" si="17"/>
        <v>3</v>
      </c>
      <c r="BX40" s="77"/>
      <c r="BY40" s="77"/>
      <c r="BZ40" s="77"/>
      <c r="CA40" s="3">
        <v>2</v>
      </c>
      <c r="CB40" s="3">
        <f t="shared" si="20"/>
        <v>0</v>
      </c>
      <c r="CC40" s="3">
        <v>6</v>
      </c>
      <c r="CD40" s="3">
        <v>0</v>
      </c>
      <c r="CE40" s="3">
        <v>5</v>
      </c>
      <c r="CG40" s="3">
        <v>7</v>
      </c>
      <c r="CH40" s="3">
        <v>6</v>
      </c>
      <c r="CI40" s="3">
        <f t="shared" si="18"/>
        <v>1</v>
      </c>
    </row>
    <row r="41" spans="1:87" x14ac:dyDescent="0.4">
      <c r="A41" s="3">
        <v>202503</v>
      </c>
      <c r="B41" s="3">
        <v>1</v>
      </c>
      <c r="C41" s="3">
        <v>2</v>
      </c>
      <c r="D41" s="3">
        <v>4</v>
      </c>
      <c r="E41" s="3">
        <v>1</v>
      </c>
      <c r="F41" s="3">
        <v>1</v>
      </c>
      <c r="G41" s="3">
        <v>1</v>
      </c>
      <c r="H41" s="3">
        <v>1</v>
      </c>
      <c r="I41" s="3">
        <v>2</v>
      </c>
      <c r="J41" s="3">
        <v>2</v>
      </c>
      <c r="K41" s="3">
        <v>3</v>
      </c>
      <c r="L41" s="3">
        <v>4</v>
      </c>
      <c r="M41" s="3">
        <v>9</v>
      </c>
      <c r="N41" s="3">
        <v>6</v>
      </c>
      <c r="O41" s="3">
        <v>4</v>
      </c>
      <c r="P41" s="3">
        <v>7</v>
      </c>
      <c r="Q41" s="3">
        <v>1</v>
      </c>
      <c r="R41" s="3">
        <v>1</v>
      </c>
      <c r="S41" s="4" t="s">
        <v>122</v>
      </c>
      <c r="T41" s="4" t="s">
        <v>122</v>
      </c>
      <c r="U41" s="3">
        <v>8</v>
      </c>
      <c r="V41" s="3">
        <v>9</v>
      </c>
      <c r="W41" s="3">
        <v>8</v>
      </c>
      <c r="X41" s="3">
        <v>8</v>
      </c>
      <c r="Y41" s="3">
        <v>8</v>
      </c>
      <c r="Z41" s="3">
        <v>3</v>
      </c>
      <c r="AA41" s="3">
        <v>4</v>
      </c>
      <c r="AB41" s="4" t="s">
        <v>122</v>
      </c>
      <c r="AC41" s="4" t="s">
        <v>122</v>
      </c>
      <c r="AD41" s="3" t="s">
        <v>122</v>
      </c>
      <c r="AE41" s="3" t="s">
        <v>122</v>
      </c>
      <c r="AF41" s="3" t="s">
        <v>122</v>
      </c>
      <c r="AG41" s="3">
        <v>2</v>
      </c>
      <c r="AH41" s="3">
        <v>4.5</v>
      </c>
      <c r="AI41" s="3">
        <v>3</v>
      </c>
      <c r="AJ41" s="3">
        <v>4.5</v>
      </c>
      <c r="AK41" s="3">
        <v>3</v>
      </c>
      <c r="AL41" s="3">
        <v>4.5</v>
      </c>
      <c r="AM41" s="3">
        <v>3</v>
      </c>
      <c r="AN41" s="3">
        <v>1</v>
      </c>
      <c r="AO41" s="3">
        <v>3</v>
      </c>
      <c r="AP41" s="3">
        <v>3</v>
      </c>
      <c r="AQ41" s="42">
        <v>3</v>
      </c>
      <c r="AR41" cm="1">
        <f t="array" ref="AR41">_xlfn.IFS(AQ41*1=2,1,AQ41*1=4,1,TRUE,0)</f>
        <v>0</v>
      </c>
      <c r="AS41" cm="1">
        <f t="array" ref="AS41">_xlfn.IFS(AQ41*1=1,1,AQ41*1=2,1,TRUE,0)</f>
        <v>0</v>
      </c>
      <c r="AT41" s="3">
        <v>4.5</v>
      </c>
      <c r="AU41" s="3">
        <v>4.5</v>
      </c>
      <c r="AV41" s="36">
        <f t="shared" si="21"/>
        <v>2.5</v>
      </c>
      <c r="AW41" s="3">
        <f t="shared" si="22"/>
        <v>2.5</v>
      </c>
      <c r="AX41" s="3">
        <f t="shared" si="4"/>
        <v>8</v>
      </c>
      <c r="AY41" s="3">
        <f t="shared" si="5"/>
        <v>9</v>
      </c>
      <c r="AZ41" s="3">
        <f t="shared" si="6"/>
        <v>8</v>
      </c>
      <c r="BA41" s="3">
        <f t="shared" si="7"/>
        <v>8</v>
      </c>
      <c r="BB41" s="3">
        <f t="shared" si="8"/>
        <v>8</v>
      </c>
      <c r="BC41" s="3">
        <f t="shared" si="9"/>
        <v>3</v>
      </c>
      <c r="BD41" s="3">
        <f t="shared" si="10"/>
        <v>4</v>
      </c>
      <c r="BE41" s="3">
        <f t="shared" si="11"/>
        <v>4</v>
      </c>
      <c r="BF41" s="3">
        <f t="shared" si="12"/>
        <v>9</v>
      </c>
      <c r="BG41" s="3">
        <f t="shared" si="13"/>
        <v>6</v>
      </c>
      <c r="BH41" s="3">
        <f t="shared" si="14"/>
        <v>4</v>
      </c>
      <c r="BI41" s="3">
        <f t="shared" si="15"/>
        <v>7</v>
      </c>
      <c r="BJ41" s="3">
        <f t="shared" si="16"/>
        <v>1</v>
      </c>
      <c r="BK41" s="3">
        <f t="shared" si="17"/>
        <v>1</v>
      </c>
      <c r="BO41" s="78" t="s">
        <v>1048</v>
      </c>
      <c r="BP41" s="78">
        <v>2</v>
      </c>
      <c r="BR41" s="78" t="s">
        <v>1048</v>
      </c>
      <c r="BS41" s="78">
        <v>2</v>
      </c>
      <c r="BT41" s="78">
        <v>2</v>
      </c>
      <c r="BX41" s="83"/>
      <c r="BY41" s="83"/>
      <c r="BZ41" s="83"/>
      <c r="CA41" s="3">
        <v>1</v>
      </c>
      <c r="CB41" s="3">
        <f t="shared" si="20"/>
        <v>1</v>
      </c>
      <c r="CC41" s="3">
        <v>2</v>
      </c>
      <c r="CD41" s="3">
        <v>0</v>
      </c>
      <c r="CE41" s="3">
        <v>6</v>
      </c>
      <c r="CG41" s="3">
        <v>8</v>
      </c>
      <c r="CH41" s="3">
        <v>4</v>
      </c>
      <c r="CI41" s="3">
        <f t="shared" si="18"/>
        <v>4</v>
      </c>
    </row>
    <row r="42" spans="1:87" x14ac:dyDescent="0.4">
      <c r="A42" s="3">
        <v>202503</v>
      </c>
      <c r="B42" s="3">
        <v>1</v>
      </c>
      <c r="C42" s="3">
        <v>3</v>
      </c>
      <c r="D42" s="3">
        <v>5</v>
      </c>
      <c r="E42" s="3">
        <v>2</v>
      </c>
      <c r="F42" s="3">
        <v>1</v>
      </c>
      <c r="G42" s="3">
        <v>1</v>
      </c>
      <c r="H42" s="3">
        <v>2</v>
      </c>
      <c r="I42" s="3">
        <v>3</v>
      </c>
      <c r="J42" s="3">
        <v>2</v>
      </c>
      <c r="K42" s="3">
        <v>2</v>
      </c>
      <c r="L42" s="3">
        <v>8</v>
      </c>
      <c r="M42" s="3">
        <v>8</v>
      </c>
      <c r="N42" s="3">
        <v>8</v>
      </c>
      <c r="O42" s="3">
        <v>7</v>
      </c>
      <c r="P42" s="3">
        <v>5</v>
      </c>
      <c r="Q42" s="3">
        <v>2</v>
      </c>
      <c r="R42" s="3">
        <v>4</v>
      </c>
      <c r="S42" s="3" t="s">
        <v>122</v>
      </c>
      <c r="T42" s="3" t="s">
        <v>122</v>
      </c>
      <c r="U42" s="3">
        <v>4</v>
      </c>
      <c r="V42" s="3">
        <v>7</v>
      </c>
      <c r="W42" s="3">
        <v>3</v>
      </c>
      <c r="X42" s="3">
        <v>4</v>
      </c>
      <c r="Y42" s="3">
        <v>3</v>
      </c>
      <c r="Z42" s="3">
        <v>2</v>
      </c>
      <c r="AA42" s="3">
        <v>2</v>
      </c>
      <c r="AB42" s="3" t="s">
        <v>122</v>
      </c>
      <c r="AC42" s="3" t="s">
        <v>122</v>
      </c>
      <c r="AD42" s="3" t="s">
        <v>122</v>
      </c>
      <c r="AE42" s="3" t="s">
        <v>122</v>
      </c>
      <c r="AF42" s="3" t="s">
        <v>122</v>
      </c>
      <c r="AG42" s="3">
        <v>4</v>
      </c>
      <c r="AH42" s="3">
        <v>5.5</v>
      </c>
      <c r="AI42" s="3">
        <v>3</v>
      </c>
      <c r="AJ42" s="3">
        <v>4.5</v>
      </c>
      <c r="AK42" s="3">
        <v>2</v>
      </c>
      <c r="AL42" s="3">
        <v>5</v>
      </c>
      <c r="AM42" s="3">
        <v>2</v>
      </c>
      <c r="AN42" s="3">
        <v>1</v>
      </c>
      <c r="AO42" s="3">
        <v>3</v>
      </c>
      <c r="AP42" s="3">
        <v>1</v>
      </c>
      <c r="AQ42" s="42">
        <v>4</v>
      </c>
      <c r="AR42" cm="1">
        <f t="array" ref="AR42">_xlfn.IFS(AQ42*1=2,1,AQ42*1=4,1,TRUE,0)</f>
        <v>1</v>
      </c>
      <c r="AS42" cm="1">
        <f t="array" ref="AS42">_xlfn.IFS(AQ42*1=1,1,AQ42*1=2,1,TRUE,0)</f>
        <v>0</v>
      </c>
      <c r="AT42" s="3">
        <v>4.5</v>
      </c>
      <c r="AU42" s="3">
        <v>5</v>
      </c>
      <c r="AV42" s="36">
        <f t="shared" si="21"/>
        <v>3</v>
      </c>
      <c r="AW42" s="3">
        <f t="shared" si="22"/>
        <v>2.5</v>
      </c>
      <c r="AX42" s="3">
        <f t="shared" si="4"/>
        <v>8</v>
      </c>
      <c r="AY42" s="3">
        <f t="shared" si="5"/>
        <v>8</v>
      </c>
      <c r="AZ42" s="3">
        <f t="shared" si="6"/>
        <v>8</v>
      </c>
      <c r="BA42" s="3">
        <f t="shared" si="7"/>
        <v>7</v>
      </c>
      <c r="BB42" s="3">
        <f t="shared" si="8"/>
        <v>5</v>
      </c>
      <c r="BC42" s="3">
        <f t="shared" si="9"/>
        <v>2</v>
      </c>
      <c r="BD42" s="3">
        <f t="shared" si="10"/>
        <v>4</v>
      </c>
      <c r="BE42" s="3">
        <f t="shared" si="11"/>
        <v>4</v>
      </c>
      <c r="BF42" s="3">
        <f t="shared" si="12"/>
        <v>7</v>
      </c>
      <c r="BG42" s="3">
        <f t="shared" si="13"/>
        <v>3</v>
      </c>
      <c r="BH42" s="3">
        <f t="shared" si="14"/>
        <v>4</v>
      </c>
      <c r="BI42" s="3">
        <f t="shared" si="15"/>
        <v>3</v>
      </c>
      <c r="BJ42" s="3">
        <f t="shared" si="16"/>
        <v>2</v>
      </c>
      <c r="BK42" s="3">
        <f t="shared" si="17"/>
        <v>2</v>
      </c>
      <c r="BO42" s="78" t="s">
        <v>1049</v>
      </c>
      <c r="BP42" s="80">
        <f>(BP21-BP39)/(BP22/SQRT(BP20))</f>
        <v>-8.5808704781280483</v>
      </c>
      <c r="BR42" s="78" t="s">
        <v>1049</v>
      </c>
      <c r="BS42" s="82">
        <f>(BS21-BS39)/(BS22/SQRT(BS20))</f>
        <v>0.60742531824198498</v>
      </c>
      <c r="BT42" s="80">
        <f>(BT21-BT39)/(BT22/SQRT(BT20))</f>
        <v>-1.7160253686957303</v>
      </c>
      <c r="CA42" s="3">
        <v>1</v>
      </c>
      <c r="CB42" s="3">
        <f t="shared" si="20"/>
        <v>1</v>
      </c>
      <c r="CC42" s="3">
        <v>2</v>
      </c>
      <c r="CD42" s="3">
        <v>2</v>
      </c>
      <c r="CE42" s="3">
        <v>6.5</v>
      </c>
      <c r="CG42" s="3">
        <v>8</v>
      </c>
      <c r="CH42" s="3">
        <v>4</v>
      </c>
      <c r="CI42" s="3">
        <f t="shared" si="18"/>
        <v>4</v>
      </c>
    </row>
    <row r="43" spans="1:87" x14ac:dyDescent="0.4">
      <c r="A43" s="3">
        <v>202503</v>
      </c>
      <c r="B43" s="3">
        <v>1</v>
      </c>
      <c r="C43" s="3">
        <v>3</v>
      </c>
      <c r="D43" s="3">
        <v>4</v>
      </c>
      <c r="E43" s="3">
        <v>1</v>
      </c>
      <c r="F43" s="3">
        <v>1</v>
      </c>
      <c r="G43" s="3">
        <v>5</v>
      </c>
      <c r="H43" s="3">
        <v>1</v>
      </c>
      <c r="I43" s="3">
        <v>2</v>
      </c>
      <c r="J43" s="3">
        <v>4</v>
      </c>
      <c r="K43" s="3">
        <v>3</v>
      </c>
      <c r="L43" s="3">
        <v>6</v>
      </c>
      <c r="M43" s="3">
        <v>8</v>
      </c>
      <c r="N43" s="3">
        <v>8</v>
      </c>
      <c r="O43" s="3">
        <v>3</v>
      </c>
      <c r="P43" s="3">
        <v>6</v>
      </c>
      <c r="Q43" s="3">
        <v>4</v>
      </c>
      <c r="R43" s="3">
        <v>2</v>
      </c>
      <c r="S43" s="3" t="s">
        <v>122</v>
      </c>
      <c r="T43" s="3" t="s">
        <v>122</v>
      </c>
      <c r="U43" s="3">
        <v>7</v>
      </c>
      <c r="V43" s="3">
        <v>7</v>
      </c>
      <c r="W43" s="3">
        <v>4</v>
      </c>
      <c r="X43" s="3">
        <v>7</v>
      </c>
      <c r="Y43" s="3">
        <v>7</v>
      </c>
      <c r="Z43" s="3">
        <v>3</v>
      </c>
      <c r="AA43" s="3">
        <v>3</v>
      </c>
      <c r="AB43" s="3" t="s">
        <v>122</v>
      </c>
      <c r="AC43" s="3" t="s">
        <v>122</v>
      </c>
      <c r="AD43" s="3" t="s">
        <v>122</v>
      </c>
      <c r="AE43" s="3" t="s">
        <v>122</v>
      </c>
      <c r="AF43" s="3" t="s">
        <v>122</v>
      </c>
      <c r="AG43" s="3">
        <v>5</v>
      </c>
      <c r="AH43" s="3">
        <v>5</v>
      </c>
      <c r="AI43" s="3">
        <v>3</v>
      </c>
      <c r="AJ43" s="3">
        <v>4</v>
      </c>
      <c r="AK43" s="3">
        <v>3</v>
      </c>
      <c r="AL43" s="3">
        <v>0</v>
      </c>
      <c r="AM43" s="3" t="s">
        <v>122</v>
      </c>
      <c r="AN43" s="3">
        <v>2</v>
      </c>
      <c r="AO43" s="3">
        <v>3</v>
      </c>
      <c r="AP43" s="3">
        <v>1</v>
      </c>
      <c r="AQ43" s="42">
        <v>4</v>
      </c>
      <c r="AR43" cm="1">
        <f t="array" ref="AR43">_xlfn.IFS(AQ43*1=2,1,AQ43*1=4,1,TRUE,0)</f>
        <v>1</v>
      </c>
      <c r="AS43" cm="1">
        <f t="array" ref="AS43">_xlfn.IFS(AQ43*1=1,1,AQ43*1=2,1,TRUE,0)</f>
        <v>0</v>
      </c>
      <c r="AT43" s="3">
        <v>4</v>
      </c>
      <c r="AU43" s="3">
        <v>0</v>
      </c>
      <c r="AV43" s="36">
        <f t="shared" si="21"/>
        <v>-4</v>
      </c>
      <c r="AW43" s="3">
        <f t="shared" si="22"/>
        <v>0</v>
      </c>
      <c r="AX43" s="3">
        <f t="shared" si="4"/>
        <v>6</v>
      </c>
      <c r="AY43" s="3">
        <f t="shared" si="5"/>
        <v>8</v>
      </c>
      <c r="AZ43" s="3">
        <f t="shared" si="6"/>
        <v>8</v>
      </c>
      <c r="BA43" s="3">
        <f t="shared" si="7"/>
        <v>3</v>
      </c>
      <c r="BB43" s="3">
        <f t="shared" si="8"/>
        <v>6</v>
      </c>
      <c r="BC43" s="3">
        <f t="shared" si="9"/>
        <v>4</v>
      </c>
      <c r="BD43" s="3">
        <f t="shared" si="10"/>
        <v>2</v>
      </c>
      <c r="BE43" s="3">
        <f t="shared" si="11"/>
        <v>7</v>
      </c>
      <c r="BF43" s="3">
        <f t="shared" si="12"/>
        <v>7</v>
      </c>
      <c r="BG43" s="3">
        <f t="shared" si="13"/>
        <v>4</v>
      </c>
      <c r="BH43" s="3">
        <f t="shared" si="14"/>
        <v>7</v>
      </c>
      <c r="BI43" s="3">
        <f t="shared" si="15"/>
        <v>7</v>
      </c>
      <c r="BJ43" s="3">
        <f t="shared" si="16"/>
        <v>3</v>
      </c>
      <c r="BK43" s="3">
        <f t="shared" si="17"/>
        <v>3</v>
      </c>
      <c r="BO43" s="78" t="s">
        <v>1050</v>
      </c>
      <c r="BP43" s="80">
        <f>BP23</f>
        <v>1.9823833701756892</v>
      </c>
      <c r="BR43" s="78" t="s">
        <v>1050</v>
      </c>
      <c r="BS43" s="80">
        <f>BS23</f>
        <v>1.9823833701756892</v>
      </c>
      <c r="BT43" s="80">
        <f>BT23</f>
        <v>1.9823833701756892</v>
      </c>
      <c r="CA43" s="3">
        <v>2</v>
      </c>
      <c r="CB43" s="3">
        <f t="shared" si="20"/>
        <v>0</v>
      </c>
      <c r="CC43" s="3">
        <v>4</v>
      </c>
      <c r="CD43" s="3">
        <v>6</v>
      </c>
      <c r="CE43" s="3">
        <v>5</v>
      </c>
      <c r="CG43" s="3">
        <v>6</v>
      </c>
      <c r="CH43" s="3">
        <v>7</v>
      </c>
      <c r="CI43" s="3">
        <f t="shared" si="18"/>
        <v>-1</v>
      </c>
    </row>
    <row r="44" spans="1:87" x14ac:dyDescent="0.4">
      <c r="A44" s="3">
        <v>202503</v>
      </c>
      <c r="B44" s="3">
        <v>1</v>
      </c>
      <c r="C44" s="3">
        <v>1</v>
      </c>
      <c r="D44" s="3">
        <v>2</v>
      </c>
      <c r="E44" s="3">
        <v>1</v>
      </c>
      <c r="F44" s="3">
        <v>2</v>
      </c>
      <c r="G44" s="3">
        <v>2</v>
      </c>
      <c r="H44" s="3">
        <v>2</v>
      </c>
      <c r="I44" s="3">
        <v>3</v>
      </c>
      <c r="J44" s="3">
        <v>5.5</v>
      </c>
      <c r="K44" s="3">
        <v>2</v>
      </c>
      <c r="L44" s="3">
        <v>9</v>
      </c>
      <c r="M44" s="3">
        <v>9</v>
      </c>
      <c r="N44" s="3">
        <v>7</v>
      </c>
      <c r="O44" s="3">
        <v>9</v>
      </c>
      <c r="P44" s="3">
        <v>9</v>
      </c>
      <c r="Q44" s="3">
        <v>3</v>
      </c>
      <c r="R44" s="3">
        <v>3</v>
      </c>
      <c r="S44" s="4" t="s">
        <v>122</v>
      </c>
      <c r="T44" s="4" t="s">
        <v>122</v>
      </c>
      <c r="U44" s="3">
        <v>8</v>
      </c>
      <c r="V44" s="3">
        <v>9</v>
      </c>
      <c r="W44" s="3">
        <v>9</v>
      </c>
      <c r="X44" s="3">
        <v>8</v>
      </c>
      <c r="Y44" s="3">
        <v>8</v>
      </c>
      <c r="Z44" s="3">
        <v>4</v>
      </c>
      <c r="AA44" s="3">
        <v>4</v>
      </c>
      <c r="AB44" s="4" t="s">
        <v>122</v>
      </c>
      <c r="AC44" s="4" t="s">
        <v>122</v>
      </c>
      <c r="AD44" s="3" t="s">
        <v>122</v>
      </c>
      <c r="AE44" s="3" t="s">
        <v>122</v>
      </c>
      <c r="AF44" s="3" t="s">
        <v>122</v>
      </c>
      <c r="AG44" s="3">
        <v>5</v>
      </c>
      <c r="AH44" s="3">
        <v>5</v>
      </c>
      <c r="AI44" s="3">
        <v>3</v>
      </c>
      <c r="AJ44" s="3">
        <v>6.5</v>
      </c>
      <c r="AK44" s="3">
        <v>3</v>
      </c>
      <c r="AL44" s="3">
        <v>4.5</v>
      </c>
      <c r="AM44" s="3">
        <v>3</v>
      </c>
      <c r="AN44" s="3">
        <v>2</v>
      </c>
      <c r="AO44" s="3">
        <v>3</v>
      </c>
      <c r="AP44" s="3">
        <v>-999</v>
      </c>
      <c r="AQ44" s="42">
        <v>3</v>
      </c>
      <c r="AR44" cm="1">
        <f t="array" ref="AR44">_xlfn.IFS(AQ44*1=2,1,AQ44*1=4,1,TRUE,0)</f>
        <v>0</v>
      </c>
      <c r="AS44" cm="1">
        <f t="array" ref="AS44">_xlfn.IFS(AQ44*1=1,1,AQ44*1=2,1,TRUE,0)</f>
        <v>0</v>
      </c>
      <c r="AT44" s="3">
        <v>6.5</v>
      </c>
      <c r="AU44" s="3">
        <v>4.5</v>
      </c>
      <c r="AV44" s="36">
        <f t="shared" si="21"/>
        <v>-1</v>
      </c>
      <c r="AW44" s="3">
        <f t="shared" si="22"/>
        <v>1</v>
      </c>
      <c r="AX44" s="3">
        <f t="shared" si="4"/>
        <v>8</v>
      </c>
      <c r="AY44" s="3">
        <f t="shared" si="5"/>
        <v>9</v>
      </c>
      <c r="AZ44" s="3">
        <f t="shared" si="6"/>
        <v>9</v>
      </c>
      <c r="BA44" s="3">
        <f t="shared" si="7"/>
        <v>8</v>
      </c>
      <c r="BB44" s="3">
        <f t="shared" si="8"/>
        <v>8</v>
      </c>
      <c r="BC44" s="3">
        <f t="shared" si="9"/>
        <v>4</v>
      </c>
      <c r="BD44" s="3">
        <f t="shared" si="10"/>
        <v>4</v>
      </c>
      <c r="BE44" s="3">
        <f t="shared" si="11"/>
        <v>9</v>
      </c>
      <c r="BF44" s="3">
        <f t="shared" si="12"/>
        <v>9</v>
      </c>
      <c r="BG44" s="3">
        <f t="shared" si="13"/>
        <v>7</v>
      </c>
      <c r="BH44" s="3">
        <f t="shared" si="14"/>
        <v>9</v>
      </c>
      <c r="BI44" s="3">
        <f t="shared" si="15"/>
        <v>9</v>
      </c>
      <c r="BJ44" s="3">
        <f t="shared" si="16"/>
        <v>3</v>
      </c>
      <c r="BK44" s="3">
        <f t="shared" si="17"/>
        <v>3</v>
      </c>
      <c r="BO44" s="78" t="s">
        <v>1051</v>
      </c>
      <c r="BP44" s="78" t="str">
        <f>IF(ABS(BP42)&gt;(BP43),"Reject H_0","Do not reject H_0")</f>
        <v>Reject H_0</v>
      </c>
      <c r="BR44" s="78" t="s">
        <v>1051</v>
      </c>
      <c r="BS44" s="78" t="str">
        <f>IF(ABS(BS42)&gt;(BS43),"Reject H_0","Do not reject H_0")</f>
        <v>Do not reject H_0</v>
      </c>
      <c r="BT44" s="78" t="str">
        <f>IF(ABS(BT42)&gt;(BT43),"Reject H_0","Do not reject H_0")</f>
        <v>Do not reject H_0</v>
      </c>
      <c r="CA44" s="3">
        <v>2</v>
      </c>
      <c r="CB44" s="3">
        <f t="shared" si="20"/>
        <v>0</v>
      </c>
      <c r="CC44" s="3">
        <v>5.5</v>
      </c>
      <c r="CD44" s="3">
        <v>2</v>
      </c>
      <c r="CE44" s="3">
        <v>4</v>
      </c>
      <c r="CG44" s="3">
        <v>8</v>
      </c>
      <c r="CH44" s="3">
        <v>9</v>
      </c>
      <c r="CI44" s="3">
        <f t="shared" si="18"/>
        <v>-1</v>
      </c>
    </row>
    <row r="45" spans="1:87" x14ac:dyDescent="0.4">
      <c r="A45" s="3">
        <v>202503</v>
      </c>
      <c r="B45" s="3">
        <v>1</v>
      </c>
      <c r="C45" s="3">
        <v>2</v>
      </c>
      <c r="D45" s="3">
        <v>2</v>
      </c>
      <c r="E45" s="3">
        <v>2</v>
      </c>
      <c r="F45" s="3">
        <v>3</v>
      </c>
      <c r="G45" s="3">
        <v>2</v>
      </c>
      <c r="H45" s="3">
        <v>2</v>
      </c>
      <c r="I45" s="3">
        <v>2</v>
      </c>
      <c r="J45" s="3">
        <v>6</v>
      </c>
      <c r="K45" s="3">
        <v>2</v>
      </c>
      <c r="L45" s="3">
        <v>6</v>
      </c>
      <c r="M45" s="3">
        <v>7</v>
      </c>
      <c r="N45" s="3">
        <v>5</v>
      </c>
      <c r="O45" s="3">
        <v>4</v>
      </c>
      <c r="P45" s="3">
        <v>7</v>
      </c>
      <c r="Q45" s="3">
        <v>2</v>
      </c>
      <c r="R45" s="3">
        <v>3</v>
      </c>
      <c r="S45" s="4">
        <v>5</v>
      </c>
      <c r="T45" s="4">
        <v>2</v>
      </c>
      <c r="U45" s="3">
        <v>7</v>
      </c>
      <c r="V45" s="3">
        <v>6</v>
      </c>
      <c r="W45" s="3">
        <v>5</v>
      </c>
      <c r="X45" s="3">
        <v>7</v>
      </c>
      <c r="Y45" s="3">
        <v>6</v>
      </c>
      <c r="Z45" s="3">
        <v>2</v>
      </c>
      <c r="AA45" s="3">
        <v>3</v>
      </c>
      <c r="AB45" s="4">
        <v>6</v>
      </c>
      <c r="AC45" s="4">
        <v>2</v>
      </c>
      <c r="AD45" s="3">
        <v>5</v>
      </c>
      <c r="AE45" s="3">
        <v>6</v>
      </c>
      <c r="AF45" s="3">
        <v>2</v>
      </c>
      <c r="AG45" s="3" t="s">
        <v>122</v>
      </c>
      <c r="AH45" s="3" t="s">
        <v>122</v>
      </c>
      <c r="AI45" s="3" t="s">
        <v>122</v>
      </c>
      <c r="AJ45" s="3" t="s">
        <v>122</v>
      </c>
      <c r="AK45" s="3" t="s">
        <v>122</v>
      </c>
      <c r="AL45" s="3" t="s">
        <v>122</v>
      </c>
      <c r="AM45" s="3" t="s">
        <v>122</v>
      </c>
      <c r="AN45" s="3">
        <v>1</v>
      </c>
      <c r="AO45" s="3">
        <v>4</v>
      </c>
      <c r="AP45" s="3">
        <v>2</v>
      </c>
      <c r="AQ45" s="42">
        <v>1</v>
      </c>
      <c r="AR45" cm="1">
        <f t="array" ref="AR45">_xlfn.IFS(AQ45*1=2,1,AQ45*1=4,1,TRUE,0)</f>
        <v>0</v>
      </c>
      <c r="AS45" cm="1">
        <f t="array" ref="AS45">_xlfn.IFS(AQ45*1=1,1,AQ45*1=2,1,TRUE,0)</f>
        <v>1</v>
      </c>
      <c r="AT45" s="3">
        <v>5</v>
      </c>
      <c r="AU45" s="3">
        <v>6</v>
      </c>
      <c r="AV45" s="36">
        <f t="shared" si="21"/>
        <v>0</v>
      </c>
      <c r="AW45" s="3">
        <f t="shared" si="22"/>
        <v>-1</v>
      </c>
      <c r="AX45" s="3">
        <f t="shared" si="4"/>
        <v>7</v>
      </c>
      <c r="AY45" s="3">
        <f t="shared" si="5"/>
        <v>6</v>
      </c>
      <c r="AZ45" s="3">
        <f t="shared" si="6"/>
        <v>5</v>
      </c>
      <c r="BA45" s="3">
        <f t="shared" si="7"/>
        <v>7</v>
      </c>
      <c r="BB45" s="3">
        <f t="shared" si="8"/>
        <v>6</v>
      </c>
      <c r="BC45" s="3">
        <f t="shared" si="9"/>
        <v>2</v>
      </c>
      <c r="BD45" s="3">
        <f t="shared" si="10"/>
        <v>3</v>
      </c>
      <c r="BE45" s="3">
        <f t="shared" si="11"/>
        <v>6</v>
      </c>
      <c r="BF45" s="3">
        <f t="shared" si="12"/>
        <v>7</v>
      </c>
      <c r="BG45" s="3">
        <f t="shared" si="13"/>
        <v>5</v>
      </c>
      <c r="BH45" s="3">
        <f t="shared" si="14"/>
        <v>4</v>
      </c>
      <c r="BI45" s="3">
        <f t="shared" si="15"/>
        <v>7</v>
      </c>
      <c r="BJ45" s="3">
        <f t="shared" si="16"/>
        <v>2</v>
      </c>
      <c r="BK45" s="3">
        <f t="shared" si="17"/>
        <v>3</v>
      </c>
      <c r="CA45" s="3">
        <v>1</v>
      </c>
      <c r="CB45" s="3">
        <f t="shared" si="20"/>
        <v>1</v>
      </c>
      <c r="CC45" s="3">
        <v>6</v>
      </c>
      <c r="CD45" s="3">
        <v>0</v>
      </c>
      <c r="CE45" s="3">
        <v>4.5</v>
      </c>
      <c r="CG45" s="3">
        <v>7</v>
      </c>
      <c r="CH45" s="3">
        <v>6</v>
      </c>
      <c r="CI45" s="3">
        <f t="shared" si="18"/>
        <v>1</v>
      </c>
    </row>
    <row r="46" spans="1:87" x14ac:dyDescent="0.4">
      <c r="A46" s="3">
        <v>202503</v>
      </c>
      <c r="B46" s="3">
        <v>1</v>
      </c>
      <c r="C46" s="3">
        <v>5</v>
      </c>
      <c r="D46" s="3">
        <v>5</v>
      </c>
      <c r="E46" s="3">
        <v>2</v>
      </c>
      <c r="F46" s="3">
        <v>2</v>
      </c>
      <c r="G46" s="3">
        <v>2</v>
      </c>
      <c r="H46" s="3">
        <v>1</v>
      </c>
      <c r="I46" s="3">
        <v>4</v>
      </c>
      <c r="J46" s="3">
        <v>6</v>
      </c>
      <c r="K46" s="4">
        <v>2</v>
      </c>
      <c r="L46" s="3">
        <v>5</v>
      </c>
      <c r="M46" s="3">
        <v>5</v>
      </c>
      <c r="N46" s="3">
        <v>5</v>
      </c>
      <c r="O46" s="3">
        <v>4</v>
      </c>
      <c r="P46" s="3">
        <v>3</v>
      </c>
      <c r="Q46" s="3">
        <v>2</v>
      </c>
      <c r="R46" s="3">
        <v>2</v>
      </c>
      <c r="S46" s="3">
        <v>6</v>
      </c>
      <c r="T46" s="4">
        <v>1</v>
      </c>
      <c r="U46" s="3">
        <v>6</v>
      </c>
      <c r="V46" s="3">
        <v>7</v>
      </c>
      <c r="W46" s="3">
        <v>6</v>
      </c>
      <c r="X46" s="3">
        <v>7</v>
      </c>
      <c r="Y46" s="3">
        <v>6</v>
      </c>
      <c r="Z46" s="3">
        <v>3</v>
      </c>
      <c r="AA46" s="3">
        <v>3</v>
      </c>
      <c r="AB46" s="3">
        <v>6</v>
      </c>
      <c r="AC46" s="4">
        <v>3</v>
      </c>
      <c r="AD46" s="3">
        <v>6</v>
      </c>
      <c r="AE46" s="3">
        <v>6</v>
      </c>
      <c r="AF46" s="3">
        <v>2</v>
      </c>
      <c r="AG46" s="3" t="s">
        <v>122</v>
      </c>
      <c r="AH46" s="3" t="s">
        <v>122</v>
      </c>
      <c r="AI46" s="3" t="s">
        <v>122</v>
      </c>
      <c r="AJ46" s="3" t="s">
        <v>122</v>
      </c>
      <c r="AK46" s="3" t="s">
        <v>122</v>
      </c>
      <c r="AL46" s="3" t="s">
        <v>122</v>
      </c>
      <c r="AM46" s="3" t="s">
        <v>122</v>
      </c>
      <c r="AN46" s="3">
        <v>1</v>
      </c>
      <c r="AO46" s="3">
        <v>3</v>
      </c>
      <c r="AP46" s="3">
        <v>1</v>
      </c>
      <c r="AQ46" s="42">
        <v>2</v>
      </c>
      <c r="AR46" cm="1">
        <f t="array" ref="AR46">_xlfn.IFS(AQ46*1=2,1,AQ46*1=4,1,TRUE,0)</f>
        <v>1</v>
      </c>
      <c r="AS46" cm="1">
        <f t="array" ref="AS46">_xlfn.IFS(AQ46*1=1,1,AQ46*1=2,1,TRUE,0)</f>
        <v>1</v>
      </c>
      <c r="AT46" s="3">
        <v>6</v>
      </c>
      <c r="AU46" s="3">
        <v>6</v>
      </c>
      <c r="AV46" s="36">
        <f t="shared" si="21"/>
        <v>0</v>
      </c>
      <c r="AW46" s="3">
        <f t="shared" si="22"/>
        <v>0</v>
      </c>
      <c r="AX46" s="3">
        <f t="shared" si="4"/>
        <v>5</v>
      </c>
      <c r="AY46" s="3">
        <f t="shared" si="5"/>
        <v>5</v>
      </c>
      <c r="AZ46" s="3">
        <f t="shared" si="6"/>
        <v>5</v>
      </c>
      <c r="BA46" s="3">
        <f t="shared" si="7"/>
        <v>4</v>
      </c>
      <c r="BB46" s="3">
        <f t="shared" si="8"/>
        <v>3</v>
      </c>
      <c r="BC46" s="3">
        <f t="shared" si="9"/>
        <v>2</v>
      </c>
      <c r="BD46" s="3">
        <f t="shared" si="10"/>
        <v>2</v>
      </c>
      <c r="BE46" s="3">
        <f t="shared" si="11"/>
        <v>6</v>
      </c>
      <c r="BF46" s="3">
        <f t="shared" si="12"/>
        <v>7</v>
      </c>
      <c r="BG46" s="3">
        <f t="shared" si="13"/>
        <v>6</v>
      </c>
      <c r="BH46" s="3">
        <f t="shared" si="14"/>
        <v>7</v>
      </c>
      <c r="BI46" s="3">
        <f t="shared" si="15"/>
        <v>6</v>
      </c>
      <c r="BJ46" s="3">
        <f t="shared" si="16"/>
        <v>3</v>
      </c>
      <c r="BK46" s="3">
        <f t="shared" si="17"/>
        <v>3</v>
      </c>
      <c r="BO46" s="78" t="s">
        <v>1052</v>
      </c>
      <c r="BP46" s="80">
        <f>_xlfn.T.DIST.2T(ABS(BP42),BP20-1)</f>
        <v>8.1112505103528431E-14</v>
      </c>
      <c r="BQ46" s="76"/>
      <c r="BR46" s="78" t="s">
        <v>1052</v>
      </c>
      <c r="BS46" s="80">
        <f t="shared" ref="BS46" si="23">_xlfn.T.DIST.2T(ABS(BS42),BS20-1)</f>
        <v>0.54485563376460422</v>
      </c>
      <c r="BT46" s="80">
        <f>_xlfn.T.DIST.2T(ABS(BT42),BT20-1)</f>
        <v>8.905138416246354E-2</v>
      </c>
      <c r="CA46" s="3">
        <v>1</v>
      </c>
      <c r="CB46" s="3">
        <f t="shared" si="20"/>
        <v>1</v>
      </c>
      <c r="CC46" s="3">
        <v>6</v>
      </c>
      <c r="CD46" s="3">
        <v>6</v>
      </c>
      <c r="CE46" s="3">
        <v>5</v>
      </c>
      <c r="CG46" s="3">
        <v>5</v>
      </c>
      <c r="CH46" s="3">
        <v>6</v>
      </c>
      <c r="CI46" s="3">
        <f t="shared" si="18"/>
        <v>-1</v>
      </c>
    </row>
    <row r="47" spans="1:87" x14ac:dyDescent="0.4">
      <c r="A47" s="3">
        <v>202503</v>
      </c>
      <c r="B47" s="3">
        <v>1</v>
      </c>
      <c r="C47" s="3">
        <v>5</v>
      </c>
      <c r="D47" s="3">
        <v>1</v>
      </c>
      <c r="E47" s="3">
        <v>1</v>
      </c>
      <c r="F47" s="3">
        <v>1</v>
      </c>
      <c r="G47" s="3">
        <v>1</v>
      </c>
      <c r="H47" s="3">
        <v>2</v>
      </c>
      <c r="I47" s="3">
        <v>3</v>
      </c>
      <c r="J47" s="3">
        <v>5.5</v>
      </c>
      <c r="K47" s="3">
        <v>3</v>
      </c>
      <c r="L47" s="3">
        <v>5</v>
      </c>
      <c r="M47" s="3">
        <v>6</v>
      </c>
      <c r="N47" s="3">
        <v>5</v>
      </c>
      <c r="O47" s="3">
        <v>4</v>
      </c>
      <c r="P47" s="3">
        <v>5</v>
      </c>
      <c r="Q47" s="3">
        <v>4</v>
      </c>
      <c r="R47" s="3">
        <v>1</v>
      </c>
      <c r="S47" s="3" t="s">
        <v>122</v>
      </c>
      <c r="T47" s="3" t="s">
        <v>122</v>
      </c>
      <c r="U47" s="3">
        <v>5</v>
      </c>
      <c r="V47" s="3">
        <v>6</v>
      </c>
      <c r="W47" s="3">
        <v>5</v>
      </c>
      <c r="X47" s="3">
        <v>4</v>
      </c>
      <c r="Y47" s="3">
        <v>6</v>
      </c>
      <c r="Z47" s="3">
        <v>2</v>
      </c>
      <c r="AA47" s="3">
        <v>2</v>
      </c>
      <c r="AB47" s="3" t="s">
        <v>122</v>
      </c>
      <c r="AC47" s="3" t="s">
        <v>122</v>
      </c>
      <c r="AD47" s="3" t="s">
        <v>122</v>
      </c>
      <c r="AE47" s="3" t="s">
        <v>122</v>
      </c>
      <c r="AF47" s="3" t="s">
        <v>122</v>
      </c>
      <c r="AG47" s="3">
        <v>0</v>
      </c>
      <c r="AH47" s="3">
        <v>7</v>
      </c>
      <c r="AI47" s="3">
        <v>2</v>
      </c>
      <c r="AJ47" s="3">
        <v>5.5</v>
      </c>
      <c r="AK47" s="3">
        <v>2</v>
      </c>
      <c r="AL47" s="3">
        <v>0</v>
      </c>
      <c r="AM47" s="3" t="s">
        <v>122</v>
      </c>
      <c r="AN47" s="3">
        <v>2</v>
      </c>
      <c r="AO47" s="3">
        <v>3</v>
      </c>
      <c r="AP47" s="3">
        <v>5</v>
      </c>
      <c r="AQ47" s="42">
        <v>4</v>
      </c>
      <c r="AR47" cm="1">
        <f t="array" ref="AR47">_xlfn.IFS(AQ47*1=2,1,AQ47*1=4,1,TRUE,0)</f>
        <v>1</v>
      </c>
      <c r="AS47" cm="1">
        <f t="array" ref="AS47">_xlfn.IFS(AQ47*1=1,1,AQ47*1=2,1,TRUE,0)</f>
        <v>0</v>
      </c>
      <c r="AT47" s="3">
        <v>5.5</v>
      </c>
      <c r="AU47" s="3">
        <v>0</v>
      </c>
      <c r="AV47" s="36">
        <f t="shared" si="21"/>
        <v>-5.5</v>
      </c>
      <c r="AW47" s="3">
        <f t="shared" si="22"/>
        <v>0</v>
      </c>
      <c r="AX47" s="3">
        <f t="shared" si="4"/>
        <v>5</v>
      </c>
      <c r="AY47" s="3">
        <f t="shared" si="5"/>
        <v>6</v>
      </c>
      <c r="AZ47" s="3">
        <f t="shared" si="6"/>
        <v>5</v>
      </c>
      <c r="BA47" s="3">
        <f t="shared" si="7"/>
        <v>4</v>
      </c>
      <c r="BB47" s="3">
        <f t="shared" si="8"/>
        <v>5</v>
      </c>
      <c r="BC47" s="3">
        <f t="shared" si="9"/>
        <v>4</v>
      </c>
      <c r="BD47" s="3">
        <f t="shared" si="10"/>
        <v>1</v>
      </c>
      <c r="BE47" s="3">
        <f t="shared" si="11"/>
        <v>5</v>
      </c>
      <c r="BF47" s="3">
        <f t="shared" si="12"/>
        <v>6</v>
      </c>
      <c r="BG47" s="3">
        <f t="shared" si="13"/>
        <v>5</v>
      </c>
      <c r="BH47" s="3">
        <f t="shared" si="14"/>
        <v>4</v>
      </c>
      <c r="BI47" s="3">
        <f t="shared" si="15"/>
        <v>6</v>
      </c>
      <c r="BJ47" s="3">
        <f t="shared" si="16"/>
        <v>2</v>
      </c>
      <c r="BK47" s="3">
        <f t="shared" si="17"/>
        <v>2</v>
      </c>
      <c r="BO47" s="78" t="s">
        <v>1051</v>
      </c>
      <c r="BP47" s="78" t="str">
        <f>IF(BP46&lt;BP19,"Reject H_0","Do not reject H_0")</f>
        <v>Reject H_0</v>
      </c>
      <c r="BR47" s="78" t="s">
        <v>1051</v>
      </c>
      <c r="BS47" s="78" t="str">
        <f t="shared" ref="BS47:BT47" si="24">IF(BS46&lt;BS19,"Reject H_0","Do not reject H_0")</f>
        <v>Do not reject H_0</v>
      </c>
      <c r="BT47" s="78" t="str">
        <f t="shared" si="24"/>
        <v>Do not reject H_0</v>
      </c>
      <c r="CA47" s="3">
        <v>2</v>
      </c>
      <c r="CB47" s="3">
        <f t="shared" si="20"/>
        <v>0</v>
      </c>
      <c r="CC47" s="3">
        <v>5.5</v>
      </c>
      <c r="CD47" s="3">
        <v>6.5</v>
      </c>
      <c r="CE47" s="3">
        <v>6</v>
      </c>
      <c r="CG47" s="3">
        <v>5</v>
      </c>
      <c r="CH47" s="3">
        <v>5</v>
      </c>
      <c r="CI47" s="3">
        <f t="shared" si="18"/>
        <v>0</v>
      </c>
    </row>
    <row r="48" spans="1:87" x14ac:dyDescent="0.4">
      <c r="A48" s="3">
        <v>202503</v>
      </c>
      <c r="B48" s="3">
        <v>1</v>
      </c>
      <c r="C48" s="3">
        <v>2</v>
      </c>
      <c r="D48" s="3">
        <v>4</v>
      </c>
      <c r="E48" s="3">
        <v>1</v>
      </c>
      <c r="F48" s="3">
        <v>2</v>
      </c>
      <c r="G48" s="3">
        <v>2</v>
      </c>
      <c r="H48" s="3">
        <v>1</v>
      </c>
      <c r="I48" s="3">
        <v>2</v>
      </c>
      <c r="J48" s="3">
        <v>5</v>
      </c>
      <c r="K48" s="3">
        <v>2</v>
      </c>
      <c r="L48" s="3">
        <v>7</v>
      </c>
      <c r="M48" s="3">
        <v>7</v>
      </c>
      <c r="N48" s="3">
        <v>8</v>
      </c>
      <c r="O48" s="3">
        <v>8</v>
      </c>
      <c r="P48" s="3">
        <v>8</v>
      </c>
      <c r="Q48" s="3">
        <v>1</v>
      </c>
      <c r="R48" s="3">
        <v>2</v>
      </c>
      <c r="S48" s="4" t="s">
        <v>122</v>
      </c>
      <c r="T48" s="4" t="s">
        <v>122</v>
      </c>
      <c r="U48" s="3">
        <v>7</v>
      </c>
      <c r="V48" s="3">
        <v>6</v>
      </c>
      <c r="W48" s="3">
        <v>7</v>
      </c>
      <c r="X48" s="3">
        <v>7</v>
      </c>
      <c r="Y48" s="3">
        <v>8</v>
      </c>
      <c r="Z48" s="3">
        <v>3</v>
      </c>
      <c r="AA48" s="3">
        <v>2</v>
      </c>
      <c r="AB48" s="4" t="s">
        <v>122</v>
      </c>
      <c r="AC48" s="4" t="s">
        <v>122</v>
      </c>
      <c r="AD48" s="3" t="s">
        <v>122</v>
      </c>
      <c r="AE48" s="3" t="s">
        <v>122</v>
      </c>
      <c r="AF48" s="3" t="s">
        <v>122</v>
      </c>
      <c r="AG48" s="3">
        <v>5</v>
      </c>
      <c r="AH48" s="3">
        <v>5</v>
      </c>
      <c r="AI48" s="3">
        <v>2</v>
      </c>
      <c r="AJ48" s="3">
        <v>5</v>
      </c>
      <c r="AK48" s="3">
        <v>2</v>
      </c>
      <c r="AL48" s="3">
        <v>5</v>
      </c>
      <c r="AM48" s="3">
        <v>2</v>
      </c>
      <c r="AN48" s="3">
        <v>1</v>
      </c>
      <c r="AO48" s="3">
        <v>3</v>
      </c>
      <c r="AP48" s="3">
        <v>6</v>
      </c>
      <c r="AQ48" s="42">
        <v>3</v>
      </c>
      <c r="AR48" cm="1">
        <f t="array" ref="AR48">_xlfn.IFS(AQ48*1=2,1,AQ48*1=4,1,TRUE,0)</f>
        <v>0</v>
      </c>
      <c r="AS48" cm="1">
        <f t="array" ref="AS48">_xlfn.IFS(AQ48*1=1,1,AQ48*1=2,1,TRUE,0)</f>
        <v>0</v>
      </c>
      <c r="AT48" s="3">
        <v>5</v>
      </c>
      <c r="AU48" s="3">
        <v>5</v>
      </c>
      <c r="AV48" s="36">
        <f t="shared" si="21"/>
        <v>0</v>
      </c>
      <c r="AW48" s="3">
        <f t="shared" si="22"/>
        <v>0</v>
      </c>
      <c r="AX48" s="3">
        <f t="shared" si="4"/>
        <v>7</v>
      </c>
      <c r="AY48" s="3">
        <f t="shared" si="5"/>
        <v>6</v>
      </c>
      <c r="AZ48" s="3">
        <f t="shared" si="6"/>
        <v>7</v>
      </c>
      <c r="BA48" s="3">
        <f t="shared" si="7"/>
        <v>7</v>
      </c>
      <c r="BB48" s="3">
        <f t="shared" si="8"/>
        <v>8</v>
      </c>
      <c r="BC48" s="3">
        <f t="shared" si="9"/>
        <v>3</v>
      </c>
      <c r="BD48" s="3">
        <f t="shared" si="10"/>
        <v>2</v>
      </c>
      <c r="BE48" s="3">
        <f t="shared" si="11"/>
        <v>7</v>
      </c>
      <c r="BF48" s="3">
        <f t="shared" si="12"/>
        <v>7</v>
      </c>
      <c r="BG48" s="3">
        <f t="shared" si="13"/>
        <v>8</v>
      </c>
      <c r="BH48" s="3">
        <f t="shared" si="14"/>
        <v>8</v>
      </c>
      <c r="BI48" s="3">
        <f t="shared" si="15"/>
        <v>8</v>
      </c>
      <c r="BJ48" s="3">
        <f t="shared" si="16"/>
        <v>1</v>
      </c>
      <c r="BK48" s="3">
        <f t="shared" si="17"/>
        <v>2</v>
      </c>
      <c r="BS48" s="76"/>
      <c r="BT48" s="76"/>
      <c r="BU48" s="76"/>
      <c r="BV48" s="76"/>
      <c r="CA48" s="3">
        <v>1</v>
      </c>
      <c r="CB48" s="3">
        <f t="shared" si="20"/>
        <v>1</v>
      </c>
      <c r="CC48" s="3">
        <v>5</v>
      </c>
      <c r="CD48" s="3">
        <v>4</v>
      </c>
      <c r="CE48" s="3">
        <v>5</v>
      </c>
      <c r="CG48" s="3">
        <v>7</v>
      </c>
      <c r="CH48" s="3">
        <v>7</v>
      </c>
      <c r="CI48" s="3">
        <f t="shared" si="18"/>
        <v>0</v>
      </c>
    </row>
    <row r="49" spans="1:87" x14ac:dyDescent="0.4">
      <c r="A49" s="3">
        <v>202503</v>
      </c>
      <c r="B49" s="3">
        <v>1</v>
      </c>
      <c r="C49" s="3">
        <v>2</v>
      </c>
      <c r="D49" s="3">
        <v>5</v>
      </c>
      <c r="E49" s="3">
        <v>1</v>
      </c>
      <c r="F49" s="3">
        <v>1</v>
      </c>
      <c r="G49" s="3">
        <v>1</v>
      </c>
      <c r="H49" s="3">
        <v>1</v>
      </c>
      <c r="I49" s="3">
        <v>5</v>
      </c>
      <c r="J49" s="3">
        <v>0</v>
      </c>
      <c r="K49" s="3" t="s">
        <v>122</v>
      </c>
      <c r="L49" s="3">
        <v>6</v>
      </c>
      <c r="M49" s="3">
        <v>4</v>
      </c>
      <c r="N49" s="3">
        <v>4</v>
      </c>
      <c r="O49" s="3">
        <v>7</v>
      </c>
      <c r="P49" s="3">
        <v>6</v>
      </c>
      <c r="Q49" s="3">
        <v>2</v>
      </c>
      <c r="R49" s="3">
        <v>3</v>
      </c>
      <c r="S49" s="4">
        <v>0</v>
      </c>
      <c r="T49" s="4" t="s">
        <v>122</v>
      </c>
      <c r="U49" s="3">
        <v>1</v>
      </c>
      <c r="V49" s="3">
        <v>7</v>
      </c>
      <c r="W49" s="3">
        <v>6</v>
      </c>
      <c r="X49" s="3">
        <v>2</v>
      </c>
      <c r="Y49" s="3">
        <v>8</v>
      </c>
      <c r="Z49" s="3">
        <v>4</v>
      </c>
      <c r="AA49" s="3">
        <v>2</v>
      </c>
      <c r="AB49" s="4">
        <v>0</v>
      </c>
      <c r="AC49" s="4" t="s">
        <v>122</v>
      </c>
      <c r="AD49" s="3">
        <v>0</v>
      </c>
      <c r="AE49" s="3">
        <v>0</v>
      </c>
      <c r="AF49" s="3">
        <v>3</v>
      </c>
      <c r="AG49" s="3" t="s">
        <v>122</v>
      </c>
      <c r="AH49" s="3" t="s">
        <v>122</v>
      </c>
      <c r="AI49" s="3" t="s">
        <v>122</v>
      </c>
      <c r="AJ49" s="3" t="s">
        <v>122</v>
      </c>
      <c r="AK49" s="3" t="s">
        <v>122</v>
      </c>
      <c r="AL49" s="3" t="s">
        <v>122</v>
      </c>
      <c r="AM49" s="3" t="s">
        <v>122</v>
      </c>
      <c r="AN49" s="3">
        <v>1</v>
      </c>
      <c r="AO49" s="3">
        <v>3</v>
      </c>
      <c r="AP49" s="3">
        <v>1</v>
      </c>
      <c r="AQ49" s="42">
        <v>1</v>
      </c>
      <c r="AR49" cm="1">
        <f t="array" ref="AR49">_xlfn.IFS(AQ49*1=2,1,AQ49*1=4,1,TRUE,0)</f>
        <v>0</v>
      </c>
      <c r="AS49" cm="1">
        <f t="array" ref="AS49">_xlfn.IFS(AQ49*1=1,1,AQ49*1=2,1,TRUE,0)</f>
        <v>1</v>
      </c>
      <c r="AT49" s="3">
        <v>0</v>
      </c>
      <c r="AU49" s="3">
        <v>0</v>
      </c>
      <c r="AV49" s="36">
        <f t="shared" si="21"/>
        <v>0</v>
      </c>
      <c r="AW49" s="3">
        <f t="shared" si="22"/>
        <v>0</v>
      </c>
      <c r="AX49" s="3">
        <f t="shared" si="4"/>
        <v>1</v>
      </c>
      <c r="AY49" s="3">
        <f t="shared" si="5"/>
        <v>7</v>
      </c>
      <c r="AZ49" s="3">
        <f t="shared" si="6"/>
        <v>6</v>
      </c>
      <c r="BA49" s="3">
        <f t="shared" si="7"/>
        <v>2</v>
      </c>
      <c r="BB49" s="3">
        <f t="shared" si="8"/>
        <v>8</v>
      </c>
      <c r="BC49" s="3">
        <f t="shared" si="9"/>
        <v>4</v>
      </c>
      <c r="BD49" s="3">
        <f t="shared" si="10"/>
        <v>2</v>
      </c>
      <c r="BE49" s="3">
        <f t="shared" si="11"/>
        <v>6</v>
      </c>
      <c r="BF49" s="3">
        <f t="shared" si="12"/>
        <v>4</v>
      </c>
      <c r="BG49" s="3">
        <f t="shared" si="13"/>
        <v>4</v>
      </c>
      <c r="BH49" s="3">
        <f t="shared" si="14"/>
        <v>7</v>
      </c>
      <c r="BI49" s="3">
        <f t="shared" si="15"/>
        <v>6</v>
      </c>
      <c r="BJ49" s="3">
        <f t="shared" si="16"/>
        <v>2</v>
      </c>
      <c r="BK49" s="3">
        <f t="shared" si="17"/>
        <v>3</v>
      </c>
      <c r="CA49" s="3">
        <v>1</v>
      </c>
      <c r="CB49" s="3">
        <f t="shared" si="20"/>
        <v>1</v>
      </c>
      <c r="CC49" s="3">
        <v>0</v>
      </c>
      <c r="CD49" s="3">
        <v>4</v>
      </c>
      <c r="CE49" s="3">
        <v>5</v>
      </c>
      <c r="CG49" s="3">
        <v>1</v>
      </c>
      <c r="CH49" s="3">
        <v>6</v>
      </c>
      <c r="CI49" s="3">
        <f t="shared" si="18"/>
        <v>-5</v>
      </c>
    </row>
    <row r="50" spans="1:87" x14ac:dyDescent="0.4">
      <c r="A50" s="3">
        <v>202503</v>
      </c>
      <c r="B50" s="3">
        <v>1</v>
      </c>
      <c r="C50" s="3">
        <v>3</v>
      </c>
      <c r="D50" s="3">
        <v>2</v>
      </c>
      <c r="E50" s="3">
        <v>2</v>
      </c>
      <c r="F50" s="3">
        <v>4</v>
      </c>
      <c r="G50" s="3">
        <v>4</v>
      </c>
      <c r="H50" s="3">
        <v>4</v>
      </c>
      <c r="I50" s="3">
        <v>2</v>
      </c>
      <c r="J50" s="3">
        <v>7</v>
      </c>
      <c r="K50" s="4">
        <v>3</v>
      </c>
      <c r="L50" s="3">
        <v>7</v>
      </c>
      <c r="M50" s="3">
        <v>8</v>
      </c>
      <c r="N50" s="3">
        <v>7</v>
      </c>
      <c r="O50" s="3">
        <v>7</v>
      </c>
      <c r="P50" s="3">
        <v>8</v>
      </c>
      <c r="Q50" s="3">
        <v>2</v>
      </c>
      <c r="R50" s="3">
        <v>4</v>
      </c>
      <c r="S50" s="3">
        <v>7</v>
      </c>
      <c r="T50" s="4">
        <v>3</v>
      </c>
      <c r="U50" s="3">
        <v>6</v>
      </c>
      <c r="V50" s="3">
        <v>7</v>
      </c>
      <c r="W50" s="3">
        <v>7</v>
      </c>
      <c r="X50" s="3">
        <v>6</v>
      </c>
      <c r="Y50" s="3">
        <v>5</v>
      </c>
      <c r="Z50" s="3">
        <v>2</v>
      </c>
      <c r="AA50" s="3">
        <v>4</v>
      </c>
      <c r="AB50" s="3">
        <v>6.5</v>
      </c>
      <c r="AC50" s="4">
        <v>3</v>
      </c>
      <c r="AD50" s="3">
        <v>7</v>
      </c>
      <c r="AE50" s="3">
        <v>6.5</v>
      </c>
      <c r="AF50" s="3">
        <v>3</v>
      </c>
      <c r="AG50" s="3" t="s">
        <v>122</v>
      </c>
      <c r="AH50" s="3" t="s">
        <v>122</v>
      </c>
      <c r="AI50" s="3" t="s">
        <v>122</v>
      </c>
      <c r="AJ50" s="3" t="s">
        <v>122</v>
      </c>
      <c r="AK50" s="3" t="s">
        <v>122</v>
      </c>
      <c r="AL50" s="3" t="s">
        <v>122</v>
      </c>
      <c r="AM50" s="3" t="s">
        <v>122</v>
      </c>
      <c r="AN50" s="3">
        <v>1</v>
      </c>
      <c r="AO50" s="3">
        <v>5</v>
      </c>
      <c r="AP50" s="3">
        <v>6</v>
      </c>
      <c r="AQ50" s="42">
        <v>1</v>
      </c>
      <c r="AR50" cm="1">
        <f t="array" ref="AR50">_xlfn.IFS(AQ50*1=2,1,AQ50*1=4,1,TRUE,0)</f>
        <v>0</v>
      </c>
      <c r="AS50" cm="1">
        <f t="array" ref="AS50">_xlfn.IFS(AQ50*1=1,1,AQ50*1=2,1,TRUE,0)</f>
        <v>1</v>
      </c>
      <c r="AT50" s="3">
        <v>7</v>
      </c>
      <c r="AU50" s="3">
        <v>6.5</v>
      </c>
      <c r="AV50" s="36">
        <f t="shared" si="21"/>
        <v>-0.5</v>
      </c>
      <c r="AW50" s="3">
        <f t="shared" si="22"/>
        <v>0</v>
      </c>
      <c r="AX50" s="3">
        <f t="shared" si="4"/>
        <v>6</v>
      </c>
      <c r="AY50" s="3">
        <f t="shared" si="5"/>
        <v>7</v>
      </c>
      <c r="AZ50" s="3">
        <f t="shared" si="6"/>
        <v>7</v>
      </c>
      <c r="BA50" s="3">
        <f t="shared" si="7"/>
        <v>6</v>
      </c>
      <c r="BB50" s="3">
        <f t="shared" si="8"/>
        <v>5</v>
      </c>
      <c r="BC50" s="3">
        <f t="shared" si="9"/>
        <v>2</v>
      </c>
      <c r="BD50" s="3">
        <f t="shared" si="10"/>
        <v>4</v>
      </c>
      <c r="BE50" s="3">
        <f t="shared" si="11"/>
        <v>7</v>
      </c>
      <c r="BF50" s="3">
        <f t="shared" si="12"/>
        <v>8</v>
      </c>
      <c r="BG50" s="3">
        <f t="shared" si="13"/>
        <v>7</v>
      </c>
      <c r="BH50" s="3">
        <f t="shared" si="14"/>
        <v>7</v>
      </c>
      <c r="BI50" s="3">
        <f t="shared" si="15"/>
        <v>8</v>
      </c>
      <c r="BJ50" s="3">
        <f t="shared" si="16"/>
        <v>2</v>
      </c>
      <c r="BK50" s="3">
        <f t="shared" si="17"/>
        <v>4</v>
      </c>
      <c r="CA50" s="3">
        <v>1</v>
      </c>
      <c r="CB50" s="3">
        <f t="shared" si="20"/>
        <v>1</v>
      </c>
      <c r="CC50" s="3">
        <v>7</v>
      </c>
      <c r="CD50" s="3">
        <v>6</v>
      </c>
      <c r="CG50" s="3">
        <v>6</v>
      </c>
      <c r="CH50" s="3">
        <v>7</v>
      </c>
      <c r="CI50" s="3">
        <f t="shared" si="18"/>
        <v>-1</v>
      </c>
    </row>
    <row r="51" spans="1:87" x14ac:dyDescent="0.4">
      <c r="A51" s="3">
        <v>202503</v>
      </c>
      <c r="B51" s="3">
        <v>1</v>
      </c>
      <c r="C51" s="3">
        <v>2</v>
      </c>
      <c r="D51" s="3">
        <v>2</v>
      </c>
      <c r="E51" s="3">
        <v>1</v>
      </c>
      <c r="F51" s="3">
        <v>1</v>
      </c>
      <c r="G51" s="3">
        <v>1</v>
      </c>
      <c r="H51" s="3">
        <v>1</v>
      </c>
      <c r="I51" s="3">
        <v>2</v>
      </c>
      <c r="J51" s="3">
        <v>4</v>
      </c>
      <c r="K51" s="3">
        <v>3</v>
      </c>
      <c r="L51" s="3">
        <v>6</v>
      </c>
      <c r="M51" s="3">
        <v>8</v>
      </c>
      <c r="N51" s="3">
        <v>8</v>
      </c>
      <c r="O51" s="3">
        <v>6</v>
      </c>
      <c r="P51" s="3">
        <v>8</v>
      </c>
      <c r="Q51" s="3">
        <v>4</v>
      </c>
      <c r="R51" s="3">
        <v>3</v>
      </c>
      <c r="S51" s="4" t="s">
        <v>122</v>
      </c>
      <c r="T51" s="4" t="s">
        <v>122</v>
      </c>
      <c r="U51" s="3">
        <v>3</v>
      </c>
      <c r="V51" s="3">
        <v>6</v>
      </c>
      <c r="W51" s="3">
        <v>3</v>
      </c>
      <c r="X51" s="3">
        <v>3</v>
      </c>
      <c r="Y51" s="3">
        <v>4</v>
      </c>
      <c r="Z51" s="3">
        <v>2</v>
      </c>
      <c r="AA51" s="3">
        <v>2</v>
      </c>
      <c r="AB51" s="4" t="s">
        <v>122</v>
      </c>
      <c r="AC51" s="4" t="s">
        <v>122</v>
      </c>
      <c r="AD51" s="3" t="s">
        <v>122</v>
      </c>
      <c r="AE51" s="3" t="s">
        <v>122</v>
      </c>
      <c r="AF51" s="3" t="s">
        <v>122</v>
      </c>
      <c r="AG51" s="3">
        <v>4</v>
      </c>
      <c r="AH51" s="3">
        <v>4</v>
      </c>
      <c r="AI51" s="3">
        <v>1</v>
      </c>
      <c r="AJ51" s="3">
        <v>0</v>
      </c>
      <c r="AK51" s="3" t="s">
        <v>122</v>
      </c>
      <c r="AL51" s="3">
        <v>4</v>
      </c>
      <c r="AM51" s="3">
        <v>2</v>
      </c>
      <c r="AN51" s="3">
        <v>1</v>
      </c>
      <c r="AO51" s="3">
        <v>5</v>
      </c>
      <c r="AP51" s="3">
        <v>3</v>
      </c>
      <c r="AQ51" s="42">
        <v>4</v>
      </c>
      <c r="AR51" cm="1">
        <f t="array" ref="AR51">_xlfn.IFS(AQ51*1=2,1,AQ51*1=4,1,TRUE,0)</f>
        <v>1</v>
      </c>
      <c r="AS51" cm="1">
        <f t="array" ref="AS51">_xlfn.IFS(AQ51*1=1,1,AQ51*1=2,1,TRUE,0)</f>
        <v>0</v>
      </c>
      <c r="AT51" s="3">
        <v>0</v>
      </c>
      <c r="AU51" s="3">
        <v>4</v>
      </c>
      <c r="AV51" s="36">
        <f t="shared" si="21"/>
        <v>0</v>
      </c>
      <c r="AW51" s="3">
        <f t="shared" si="22"/>
        <v>-4</v>
      </c>
      <c r="AX51" s="3">
        <f t="shared" si="4"/>
        <v>6</v>
      </c>
      <c r="AY51" s="3">
        <f t="shared" si="5"/>
        <v>8</v>
      </c>
      <c r="AZ51" s="3">
        <f t="shared" si="6"/>
        <v>8</v>
      </c>
      <c r="BA51" s="3">
        <f t="shared" si="7"/>
        <v>6</v>
      </c>
      <c r="BB51" s="3">
        <f t="shared" si="8"/>
        <v>8</v>
      </c>
      <c r="BC51" s="3">
        <f t="shared" si="9"/>
        <v>4</v>
      </c>
      <c r="BD51" s="3">
        <f t="shared" si="10"/>
        <v>3</v>
      </c>
      <c r="BE51" s="3">
        <f t="shared" si="11"/>
        <v>3</v>
      </c>
      <c r="BF51" s="3">
        <f t="shared" si="12"/>
        <v>6</v>
      </c>
      <c r="BG51" s="3">
        <f t="shared" si="13"/>
        <v>3</v>
      </c>
      <c r="BH51" s="3">
        <f t="shared" si="14"/>
        <v>3</v>
      </c>
      <c r="BI51" s="3">
        <f t="shared" si="15"/>
        <v>4</v>
      </c>
      <c r="BJ51" s="3">
        <f t="shared" si="16"/>
        <v>2</v>
      </c>
      <c r="BK51" s="3">
        <f t="shared" si="17"/>
        <v>2</v>
      </c>
      <c r="CA51" s="3">
        <v>1</v>
      </c>
      <c r="CB51" s="3">
        <f t="shared" si="20"/>
        <v>1</v>
      </c>
      <c r="CC51" s="3">
        <v>4</v>
      </c>
      <c r="CD51" s="3">
        <v>0</v>
      </c>
      <c r="CG51" s="3">
        <v>6</v>
      </c>
      <c r="CH51" s="3">
        <v>3</v>
      </c>
      <c r="CI51" s="3">
        <f t="shared" si="18"/>
        <v>3</v>
      </c>
    </row>
    <row r="52" spans="1:87" x14ac:dyDescent="0.4">
      <c r="A52" s="3">
        <v>202503</v>
      </c>
      <c r="B52" s="3">
        <v>1</v>
      </c>
      <c r="C52" s="3">
        <v>5</v>
      </c>
      <c r="D52" s="3">
        <v>5</v>
      </c>
      <c r="E52" s="3">
        <v>2</v>
      </c>
      <c r="F52" s="3">
        <v>1</v>
      </c>
      <c r="G52" s="3">
        <v>1</v>
      </c>
      <c r="H52" s="3">
        <v>1</v>
      </c>
      <c r="I52" s="3">
        <v>3</v>
      </c>
      <c r="J52" s="3">
        <v>5</v>
      </c>
      <c r="K52" s="4">
        <v>3</v>
      </c>
      <c r="L52" s="3">
        <v>5</v>
      </c>
      <c r="M52" s="3">
        <v>8</v>
      </c>
      <c r="N52" s="3">
        <v>7</v>
      </c>
      <c r="O52" s="3">
        <v>6</v>
      </c>
      <c r="P52" s="3">
        <v>6</v>
      </c>
      <c r="Q52" s="3">
        <v>3</v>
      </c>
      <c r="R52" s="3">
        <v>2</v>
      </c>
      <c r="S52" s="3" t="s">
        <v>122</v>
      </c>
      <c r="T52" s="4" t="s">
        <v>122</v>
      </c>
      <c r="U52" s="3">
        <v>7</v>
      </c>
      <c r="V52" s="3">
        <v>8</v>
      </c>
      <c r="W52" s="3">
        <v>5</v>
      </c>
      <c r="X52" s="3">
        <v>7</v>
      </c>
      <c r="Y52" s="3">
        <v>7</v>
      </c>
      <c r="Z52" s="3">
        <v>3</v>
      </c>
      <c r="AA52" s="3">
        <v>3</v>
      </c>
      <c r="AB52" s="3" t="s">
        <v>122</v>
      </c>
      <c r="AC52" s="4" t="s">
        <v>122</v>
      </c>
      <c r="AD52" s="3" t="s">
        <v>122</v>
      </c>
      <c r="AE52" s="3" t="s">
        <v>122</v>
      </c>
      <c r="AF52" s="3" t="s">
        <v>122</v>
      </c>
      <c r="AG52" s="3">
        <v>6.5</v>
      </c>
      <c r="AH52" s="3">
        <v>6.5</v>
      </c>
      <c r="AI52" s="3">
        <v>3</v>
      </c>
      <c r="AJ52" s="3">
        <v>5</v>
      </c>
      <c r="AK52" s="3">
        <v>3</v>
      </c>
      <c r="AL52" s="3">
        <v>6</v>
      </c>
      <c r="AM52" s="3">
        <v>3</v>
      </c>
      <c r="AN52" s="3">
        <v>1</v>
      </c>
      <c r="AO52" s="3">
        <v>3</v>
      </c>
      <c r="AP52" s="3">
        <v>5</v>
      </c>
      <c r="AQ52" s="42">
        <v>3</v>
      </c>
      <c r="AR52" cm="1">
        <f t="array" ref="AR52">_xlfn.IFS(AQ52*1=2,1,AQ52*1=4,1,TRUE,0)</f>
        <v>0</v>
      </c>
      <c r="AS52" cm="1">
        <f t="array" ref="AS52">_xlfn.IFS(AQ52*1=1,1,AQ52*1=2,1,TRUE,0)</f>
        <v>0</v>
      </c>
      <c r="AT52" s="3">
        <v>5</v>
      </c>
      <c r="AU52" s="3">
        <v>6</v>
      </c>
      <c r="AV52" s="36">
        <f t="shared" si="21"/>
        <v>1</v>
      </c>
      <c r="AW52" s="3">
        <f t="shared" si="22"/>
        <v>0</v>
      </c>
      <c r="AX52" s="3">
        <f t="shared" si="4"/>
        <v>7</v>
      </c>
      <c r="AY52" s="3">
        <f t="shared" si="5"/>
        <v>8</v>
      </c>
      <c r="AZ52" s="3">
        <f t="shared" si="6"/>
        <v>5</v>
      </c>
      <c r="BA52" s="3">
        <f t="shared" si="7"/>
        <v>7</v>
      </c>
      <c r="BB52" s="3">
        <f t="shared" si="8"/>
        <v>7</v>
      </c>
      <c r="BC52" s="3">
        <f t="shared" si="9"/>
        <v>3</v>
      </c>
      <c r="BD52" s="3">
        <f t="shared" si="10"/>
        <v>3</v>
      </c>
      <c r="BE52" s="3">
        <f t="shared" si="11"/>
        <v>5</v>
      </c>
      <c r="BF52" s="3">
        <f t="shared" si="12"/>
        <v>8</v>
      </c>
      <c r="BG52" s="3">
        <f t="shared" si="13"/>
        <v>7</v>
      </c>
      <c r="BH52" s="3">
        <f t="shared" si="14"/>
        <v>6</v>
      </c>
      <c r="BI52" s="3">
        <f t="shared" si="15"/>
        <v>6</v>
      </c>
      <c r="BJ52" s="3">
        <f t="shared" si="16"/>
        <v>3</v>
      </c>
      <c r="BK52" s="3">
        <f t="shared" si="17"/>
        <v>2</v>
      </c>
      <c r="CA52" s="3">
        <v>1</v>
      </c>
      <c r="CB52" s="3">
        <f t="shared" si="20"/>
        <v>1</v>
      </c>
      <c r="CC52" s="3">
        <v>5</v>
      </c>
      <c r="CD52" s="3">
        <v>6</v>
      </c>
      <c r="CG52" s="3">
        <v>7</v>
      </c>
      <c r="CH52" s="3">
        <v>5</v>
      </c>
      <c r="CI52" s="3">
        <f t="shared" si="18"/>
        <v>2</v>
      </c>
    </row>
    <row r="53" spans="1:87" x14ac:dyDescent="0.4">
      <c r="A53" s="3">
        <v>202503</v>
      </c>
      <c r="B53" s="3">
        <v>1</v>
      </c>
      <c r="C53" s="3">
        <v>4</v>
      </c>
      <c r="D53" s="3">
        <v>5</v>
      </c>
      <c r="E53" s="3">
        <v>1</v>
      </c>
      <c r="F53" s="3">
        <v>1</v>
      </c>
      <c r="G53" s="3">
        <v>1</v>
      </c>
      <c r="H53" s="3">
        <v>1</v>
      </c>
      <c r="I53" s="3">
        <v>3</v>
      </c>
      <c r="J53" s="3">
        <v>0</v>
      </c>
      <c r="K53" s="3" t="s">
        <v>122</v>
      </c>
      <c r="L53" s="3">
        <v>7</v>
      </c>
      <c r="M53" s="3">
        <v>8</v>
      </c>
      <c r="N53" s="3">
        <v>5</v>
      </c>
      <c r="O53" s="3">
        <v>6</v>
      </c>
      <c r="P53" s="3">
        <v>8</v>
      </c>
      <c r="Q53" s="3">
        <v>3</v>
      </c>
      <c r="R53" s="3">
        <v>3</v>
      </c>
      <c r="S53" s="3">
        <v>0</v>
      </c>
      <c r="T53" s="3" t="s">
        <v>122</v>
      </c>
      <c r="U53" s="3">
        <v>6</v>
      </c>
      <c r="V53" s="3">
        <v>6</v>
      </c>
      <c r="W53" s="3">
        <v>6</v>
      </c>
      <c r="X53" s="3">
        <v>6</v>
      </c>
      <c r="Y53" s="3">
        <v>4</v>
      </c>
      <c r="Z53" s="3">
        <v>2</v>
      </c>
      <c r="AA53" s="3">
        <v>2</v>
      </c>
      <c r="AB53" s="3">
        <v>0</v>
      </c>
      <c r="AC53" s="3" t="s">
        <v>122</v>
      </c>
      <c r="AD53" s="3">
        <v>0</v>
      </c>
      <c r="AE53" s="3">
        <v>0</v>
      </c>
      <c r="AF53" s="3">
        <v>3</v>
      </c>
      <c r="AG53" s="3" t="s">
        <v>122</v>
      </c>
      <c r="AH53" s="3" t="s">
        <v>122</v>
      </c>
      <c r="AI53" s="3" t="s">
        <v>122</v>
      </c>
      <c r="AJ53" s="3" t="s">
        <v>122</v>
      </c>
      <c r="AK53" s="3" t="s">
        <v>122</v>
      </c>
      <c r="AL53" s="3" t="s">
        <v>122</v>
      </c>
      <c r="AM53" s="3" t="s">
        <v>122</v>
      </c>
      <c r="AN53" s="3">
        <v>1</v>
      </c>
      <c r="AO53" s="3">
        <v>3</v>
      </c>
      <c r="AP53" s="3">
        <v>-999</v>
      </c>
      <c r="AQ53" s="42">
        <v>2</v>
      </c>
      <c r="AR53" cm="1">
        <f t="array" ref="AR53">_xlfn.IFS(AQ53*1=2,1,AQ53*1=4,1,TRUE,0)</f>
        <v>1</v>
      </c>
      <c r="AS53" cm="1">
        <f t="array" ref="AS53">_xlfn.IFS(AQ53*1=1,1,AQ53*1=2,1,TRUE,0)</f>
        <v>1</v>
      </c>
      <c r="AT53" s="3">
        <v>0</v>
      </c>
      <c r="AU53" s="3">
        <v>0</v>
      </c>
      <c r="AV53" s="36">
        <f t="shared" si="21"/>
        <v>0</v>
      </c>
      <c r="AW53" s="3">
        <f t="shared" si="22"/>
        <v>0</v>
      </c>
      <c r="AX53" s="3">
        <f t="shared" si="4"/>
        <v>7</v>
      </c>
      <c r="AY53" s="3">
        <f t="shared" si="5"/>
        <v>8</v>
      </c>
      <c r="AZ53" s="3">
        <f t="shared" si="6"/>
        <v>5</v>
      </c>
      <c r="BA53" s="3">
        <f t="shared" si="7"/>
        <v>6</v>
      </c>
      <c r="BB53" s="3">
        <f t="shared" si="8"/>
        <v>8</v>
      </c>
      <c r="BC53" s="3">
        <f t="shared" si="9"/>
        <v>3</v>
      </c>
      <c r="BD53" s="3">
        <f t="shared" si="10"/>
        <v>3</v>
      </c>
      <c r="BE53" s="3">
        <f t="shared" si="11"/>
        <v>6</v>
      </c>
      <c r="BF53" s="3">
        <f t="shared" si="12"/>
        <v>6</v>
      </c>
      <c r="BG53" s="3">
        <f t="shared" si="13"/>
        <v>6</v>
      </c>
      <c r="BH53" s="3">
        <f t="shared" si="14"/>
        <v>6</v>
      </c>
      <c r="BI53" s="3">
        <f t="shared" si="15"/>
        <v>4</v>
      </c>
      <c r="BJ53" s="3">
        <f t="shared" si="16"/>
        <v>2</v>
      </c>
      <c r="BK53" s="3">
        <f t="shared" si="17"/>
        <v>2</v>
      </c>
      <c r="CA53" s="3">
        <v>1</v>
      </c>
      <c r="CB53" s="3">
        <f t="shared" si="20"/>
        <v>1</v>
      </c>
      <c r="CC53" s="3">
        <v>0</v>
      </c>
      <c r="CD53" s="3">
        <v>7</v>
      </c>
      <c r="CG53" s="3">
        <v>7</v>
      </c>
      <c r="CH53" s="3">
        <v>6</v>
      </c>
      <c r="CI53" s="3">
        <f t="shared" si="18"/>
        <v>1</v>
      </c>
    </row>
    <row r="54" spans="1:87" x14ac:dyDescent="0.4">
      <c r="A54" s="3">
        <v>202503</v>
      </c>
      <c r="B54" s="3">
        <v>1</v>
      </c>
      <c r="C54" s="3">
        <v>3</v>
      </c>
      <c r="D54" s="3">
        <v>2</v>
      </c>
      <c r="E54" s="3">
        <v>1</v>
      </c>
      <c r="F54" s="3">
        <v>1</v>
      </c>
      <c r="G54" s="3">
        <v>1</v>
      </c>
      <c r="H54" s="3">
        <v>1</v>
      </c>
      <c r="I54" s="3">
        <v>2</v>
      </c>
      <c r="J54" s="3">
        <v>4</v>
      </c>
      <c r="K54" s="3">
        <v>1</v>
      </c>
      <c r="L54" s="3">
        <v>6</v>
      </c>
      <c r="M54" s="3">
        <v>8</v>
      </c>
      <c r="N54" s="3">
        <v>8</v>
      </c>
      <c r="O54" s="3">
        <v>4</v>
      </c>
      <c r="P54" s="3">
        <v>7</v>
      </c>
      <c r="Q54" s="3">
        <v>3</v>
      </c>
      <c r="R54" s="3">
        <v>4</v>
      </c>
      <c r="S54" s="4" t="s">
        <v>122</v>
      </c>
      <c r="T54" s="4" t="s">
        <v>122</v>
      </c>
      <c r="U54" s="3">
        <v>4</v>
      </c>
      <c r="V54" s="3">
        <v>8</v>
      </c>
      <c r="W54" s="3">
        <v>6</v>
      </c>
      <c r="X54" s="3">
        <v>4</v>
      </c>
      <c r="Y54" s="3">
        <v>6</v>
      </c>
      <c r="Z54" s="3">
        <v>4</v>
      </c>
      <c r="AA54" s="3">
        <v>2</v>
      </c>
      <c r="AB54" s="4" t="s">
        <v>122</v>
      </c>
      <c r="AC54" s="4" t="s">
        <v>122</v>
      </c>
      <c r="AD54" s="3" t="s">
        <v>122</v>
      </c>
      <c r="AE54" s="3" t="s">
        <v>122</v>
      </c>
      <c r="AF54" s="3" t="s">
        <v>122</v>
      </c>
      <c r="AG54" s="3">
        <v>4.5</v>
      </c>
      <c r="AH54" s="3">
        <v>4</v>
      </c>
      <c r="AI54" s="3">
        <v>1</v>
      </c>
      <c r="AJ54" s="3">
        <v>4.5</v>
      </c>
      <c r="AK54" s="3">
        <v>2</v>
      </c>
      <c r="AL54" s="3">
        <v>2</v>
      </c>
      <c r="AM54" s="3">
        <v>2</v>
      </c>
      <c r="AN54" s="3">
        <v>2</v>
      </c>
      <c r="AO54" s="3">
        <v>3</v>
      </c>
      <c r="AP54" s="3">
        <v>1</v>
      </c>
      <c r="AQ54" s="42">
        <v>3</v>
      </c>
      <c r="AR54" cm="1">
        <f t="array" ref="AR54">_xlfn.IFS(AQ54*1=2,1,AQ54*1=4,1,TRUE,0)</f>
        <v>0</v>
      </c>
      <c r="AS54" cm="1">
        <f t="array" ref="AS54">_xlfn.IFS(AQ54*1=1,1,AQ54*1=2,1,TRUE,0)</f>
        <v>0</v>
      </c>
      <c r="AT54" s="3">
        <v>4.5</v>
      </c>
      <c r="AU54" s="3">
        <v>2</v>
      </c>
      <c r="AV54" s="36">
        <f t="shared" si="21"/>
        <v>-2</v>
      </c>
      <c r="AW54" s="3">
        <f t="shared" si="22"/>
        <v>0.5</v>
      </c>
      <c r="AX54" s="3">
        <f t="shared" si="4"/>
        <v>4</v>
      </c>
      <c r="AY54" s="3">
        <f t="shared" si="5"/>
        <v>8</v>
      </c>
      <c r="AZ54" s="3">
        <f t="shared" si="6"/>
        <v>6</v>
      </c>
      <c r="BA54" s="3">
        <f t="shared" si="7"/>
        <v>4</v>
      </c>
      <c r="BB54" s="3">
        <f t="shared" si="8"/>
        <v>6</v>
      </c>
      <c r="BC54" s="3">
        <f t="shared" si="9"/>
        <v>4</v>
      </c>
      <c r="BD54" s="3">
        <f t="shared" si="10"/>
        <v>2</v>
      </c>
      <c r="BE54" s="3">
        <f t="shared" si="11"/>
        <v>6</v>
      </c>
      <c r="BF54" s="3">
        <f t="shared" si="12"/>
        <v>8</v>
      </c>
      <c r="BG54" s="3">
        <f t="shared" si="13"/>
        <v>8</v>
      </c>
      <c r="BH54" s="3">
        <f t="shared" si="14"/>
        <v>4</v>
      </c>
      <c r="BI54" s="3">
        <f t="shared" si="15"/>
        <v>7</v>
      </c>
      <c r="BJ54" s="3">
        <f t="shared" si="16"/>
        <v>3</v>
      </c>
      <c r="BK54" s="3">
        <f t="shared" si="17"/>
        <v>4</v>
      </c>
      <c r="BO54" s="74"/>
      <c r="CA54" s="3">
        <v>2</v>
      </c>
      <c r="CB54" s="3">
        <f t="shared" si="20"/>
        <v>0</v>
      </c>
      <c r="CC54" s="3">
        <v>4</v>
      </c>
      <c r="CD54" s="3">
        <v>4.5</v>
      </c>
      <c r="CG54" s="3">
        <v>4</v>
      </c>
      <c r="CH54" s="3">
        <v>6</v>
      </c>
      <c r="CI54" s="3">
        <f t="shared" si="18"/>
        <v>-2</v>
      </c>
    </row>
    <row r="55" spans="1:87" ht="14.6" customHeight="1" x14ac:dyDescent="0.4">
      <c r="A55" s="3">
        <v>202503</v>
      </c>
      <c r="B55" s="3">
        <v>1</v>
      </c>
      <c r="C55" s="3">
        <v>2</v>
      </c>
      <c r="D55" s="3">
        <v>2</v>
      </c>
      <c r="E55" s="3">
        <v>1</v>
      </c>
      <c r="F55" s="3">
        <v>1</v>
      </c>
      <c r="G55" s="3">
        <v>1</v>
      </c>
      <c r="H55" s="3">
        <v>1</v>
      </c>
      <c r="I55" s="3">
        <v>2</v>
      </c>
      <c r="J55" s="3">
        <v>0</v>
      </c>
      <c r="K55" s="4" t="s">
        <v>122</v>
      </c>
      <c r="L55" s="3">
        <v>5</v>
      </c>
      <c r="M55" s="3">
        <v>5</v>
      </c>
      <c r="N55" s="3">
        <v>6</v>
      </c>
      <c r="O55" s="3">
        <v>6</v>
      </c>
      <c r="P55" s="3">
        <v>5</v>
      </c>
      <c r="Q55" s="3">
        <v>2</v>
      </c>
      <c r="R55" s="3">
        <v>4</v>
      </c>
      <c r="S55" s="4">
        <v>0</v>
      </c>
      <c r="T55" s="4" t="s">
        <v>122</v>
      </c>
      <c r="U55" s="3">
        <v>3</v>
      </c>
      <c r="V55" s="3">
        <v>5</v>
      </c>
      <c r="W55" s="3">
        <v>3</v>
      </c>
      <c r="X55" s="3">
        <v>3</v>
      </c>
      <c r="Y55" s="3">
        <v>3</v>
      </c>
      <c r="Z55" s="3">
        <v>2</v>
      </c>
      <c r="AA55" s="3">
        <v>1</v>
      </c>
      <c r="AB55" s="4">
        <v>0</v>
      </c>
      <c r="AC55" s="4" t="s">
        <v>122</v>
      </c>
      <c r="AD55" s="3">
        <v>0</v>
      </c>
      <c r="AE55" s="3">
        <v>0</v>
      </c>
      <c r="AF55" s="3">
        <v>3</v>
      </c>
      <c r="AG55" s="3" t="s">
        <v>122</v>
      </c>
      <c r="AH55" s="3" t="s">
        <v>122</v>
      </c>
      <c r="AI55" s="3" t="s">
        <v>122</v>
      </c>
      <c r="AJ55" s="3" t="s">
        <v>122</v>
      </c>
      <c r="AK55" s="3" t="s">
        <v>122</v>
      </c>
      <c r="AL55" s="3" t="s">
        <v>122</v>
      </c>
      <c r="AM55" s="3" t="s">
        <v>122</v>
      </c>
      <c r="AN55" s="3">
        <v>1</v>
      </c>
      <c r="AO55" s="3">
        <v>2</v>
      </c>
      <c r="AP55" s="3">
        <v>-999</v>
      </c>
      <c r="AQ55" s="42">
        <v>2</v>
      </c>
      <c r="AR55" cm="1">
        <f t="array" ref="AR55">_xlfn.IFS(AQ55*1=2,1,AQ55*1=4,1,TRUE,0)</f>
        <v>1</v>
      </c>
      <c r="AS55" cm="1">
        <f t="array" ref="AS55">_xlfn.IFS(AQ55*1=1,1,AQ55*1=2,1,TRUE,0)</f>
        <v>1</v>
      </c>
      <c r="AT55" s="3">
        <v>0</v>
      </c>
      <c r="AU55" s="3">
        <v>0</v>
      </c>
      <c r="AV55" s="36">
        <f t="shared" si="21"/>
        <v>0</v>
      </c>
      <c r="AW55" s="3">
        <f t="shared" si="22"/>
        <v>0</v>
      </c>
      <c r="AX55" s="3">
        <f t="shared" si="4"/>
        <v>5</v>
      </c>
      <c r="AY55" s="3">
        <f t="shared" si="5"/>
        <v>5</v>
      </c>
      <c r="AZ55" s="3">
        <f t="shared" si="6"/>
        <v>6</v>
      </c>
      <c r="BA55" s="3">
        <f t="shared" si="7"/>
        <v>6</v>
      </c>
      <c r="BB55" s="3">
        <f t="shared" si="8"/>
        <v>5</v>
      </c>
      <c r="BC55" s="3">
        <f t="shared" si="9"/>
        <v>2</v>
      </c>
      <c r="BD55" s="3">
        <f t="shared" si="10"/>
        <v>4</v>
      </c>
      <c r="BE55" s="3">
        <f t="shared" si="11"/>
        <v>3</v>
      </c>
      <c r="BF55" s="3">
        <f t="shared" si="12"/>
        <v>5</v>
      </c>
      <c r="BG55" s="3">
        <f t="shared" si="13"/>
        <v>3</v>
      </c>
      <c r="BH55" s="3">
        <f t="shared" si="14"/>
        <v>3</v>
      </c>
      <c r="BI55" s="3">
        <f t="shared" si="15"/>
        <v>3</v>
      </c>
      <c r="BJ55" s="3">
        <f t="shared" si="16"/>
        <v>2</v>
      </c>
      <c r="BK55" s="3">
        <f t="shared" si="17"/>
        <v>1</v>
      </c>
      <c r="BO55"/>
      <c r="CA55" s="3">
        <v>1</v>
      </c>
      <c r="CB55" s="3">
        <f t="shared" si="20"/>
        <v>1</v>
      </c>
      <c r="CC55" s="3">
        <v>0</v>
      </c>
      <c r="CD55" s="3">
        <v>5</v>
      </c>
      <c r="CG55" s="3">
        <v>5</v>
      </c>
      <c r="CH55" s="3">
        <v>3</v>
      </c>
      <c r="CI55" s="3">
        <f t="shared" si="18"/>
        <v>2</v>
      </c>
    </row>
    <row r="56" spans="1:87" ht="14.6" customHeight="1" x14ac:dyDescent="0.4">
      <c r="A56" s="3">
        <v>202503</v>
      </c>
      <c r="B56" s="3">
        <v>1</v>
      </c>
      <c r="C56" s="3">
        <v>2</v>
      </c>
      <c r="D56" s="3">
        <v>2</v>
      </c>
      <c r="E56" s="3">
        <v>1</v>
      </c>
      <c r="F56" s="3">
        <v>3</v>
      </c>
      <c r="G56" s="3">
        <v>2</v>
      </c>
      <c r="H56" s="3">
        <v>1</v>
      </c>
      <c r="I56" s="3">
        <v>2</v>
      </c>
      <c r="J56" s="3">
        <v>8</v>
      </c>
      <c r="K56" s="3">
        <v>2</v>
      </c>
      <c r="L56" s="3">
        <v>8</v>
      </c>
      <c r="M56" s="3">
        <v>6</v>
      </c>
      <c r="N56" s="3">
        <v>7</v>
      </c>
      <c r="O56" s="3">
        <v>8</v>
      </c>
      <c r="P56" s="3">
        <v>8</v>
      </c>
      <c r="Q56" s="3">
        <v>3</v>
      </c>
      <c r="R56" s="3">
        <v>2</v>
      </c>
      <c r="S56" s="3">
        <v>7</v>
      </c>
      <c r="T56" s="3">
        <v>3</v>
      </c>
      <c r="U56" s="3">
        <v>4</v>
      </c>
      <c r="V56" s="3">
        <v>6</v>
      </c>
      <c r="W56" s="3">
        <v>6</v>
      </c>
      <c r="X56" s="3">
        <v>6</v>
      </c>
      <c r="Y56" s="3">
        <v>7</v>
      </c>
      <c r="Z56" s="3">
        <v>4</v>
      </c>
      <c r="AA56" s="3">
        <v>4</v>
      </c>
      <c r="AB56" s="3">
        <v>4</v>
      </c>
      <c r="AC56" s="3">
        <v>3</v>
      </c>
      <c r="AD56" s="3">
        <v>7</v>
      </c>
      <c r="AE56" s="3">
        <v>6</v>
      </c>
      <c r="AF56" s="3">
        <v>3</v>
      </c>
      <c r="AG56" s="3" t="s">
        <v>122</v>
      </c>
      <c r="AH56" s="3" t="s">
        <v>122</v>
      </c>
      <c r="AI56" s="3" t="s">
        <v>122</v>
      </c>
      <c r="AJ56" s="3" t="s">
        <v>122</v>
      </c>
      <c r="AK56" s="3" t="s">
        <v>122</v>
      </c>
      <c r="AL56" s="3" t="s">
        <v>122</v>
      </c>
      <c r="AM56" s="3" t="s">
        <v>122</v>
      </c>
      <c r="AN56" s="3">
        <v>2</v>
      </c>
      <c r="AO56" s="3">
        <v>4</v>
      </c>
      <c r="AP56" s="3">
        <v>2</v>
      </c>
      <c r="AQ56" s="42">
        <v>1</v>
      </c>
      <c r="AR56" cm="1">
        <f t="array" ref="AR56">_xlfn.IFS(AQ56*1=2,1,AQ56*1=4,1,TRUE,0)</f>
        <v>0</v>
      </c>
      <c r="AS56" cm="1">
        <f t="array" ref="AS56">_xlfn.IFS(AQ56*1=1,1,AQ56*1=2,1,TRUE,0)</f>
        <v>1</v>
      </c>
      <c r="AT56" s="3">
        <v>7</v>
      </c>
      <c r="AU56" s="3">
        <v>6</v>
      </c>
      <c r="AV56" s="36">
        <f t="shared" si="21"/>
        <v>-2</v>
      </c>
      <c r="AW56" s="3">
        <f t="shared" si="22"/>
        <v>-1</v>
      </c>
      <c r="AX56" s="3">
        <f t="shared" si="4"/>
        <v>4</v>
      </c>
      <c r="AY56" s="3">
        <f t="shared" si="5"/>
        <v>6</v>
      </c>
      <c r="AZ56" s="3">
        <f t="shared" si="6"/>
        <v>6</v>
      </c>
      <c r="BA56" s="3">
        <f t="shared" si="7"/>
        <v>6</v>
      </c>
      <c r="BB56" s="3">
        <f t="shared" si="8"/>
        <v>7</v>
      </c>
      <c r="BC56" s="3">
        <f t="shared" si="9"/>
        <v>4</v>
      </c>
      <c r="BD56" s="3">
        <f t="shared" si="10"/>
        <v>4</v>
      </c>
      <c r="BE56" s="3">
        <f t="shared" si="11"/>
        <v>8</v>
      </c>
      <c r="BF56" s="3">
        <f t="shared" si="12"/>
        <v>6</v>
      </c>
      <c r="BG56" s="3">
        <f t="shared" si="13"/>
        <v>7</v>
      </c>
      <c r="BH56" s="3">
        <f t="shared" si="14"/>
        <v>8</v>
      </c>
      <c r="BI56" s="3">
        <f t="shared" si="15"/>
        <v>8</v>
      </c>
      <c r="BJ56" s="3">
        <f t="shared" si="16"/>
        <v>3</v>
      </c>
      <c r="BK56" s="3">
        <f t="shared" si="17"/>
        <v>2</v>
      </c>
      <c r="BO56" s="74" t="s">
        <v>1055</v>
      </c>
      <c r="CA56" s="3">
        <v>2</v>
      </c>
      <c r="CB56" s="3">
        <f t="shared" si="20"/>
        <v>0</v>
      </c>
      <c r="CC56" s="3">
        <v>8</v>
      </c>
      <c r="CD56" s="3">
        <v>4.5</v>
      </c>
      <c r="CG56" s="3">
        <v>4</v>
      </c>
      <c r="CH56" s="3">
        <v>8</v>
      </c>
      <c r="CI56" s="3">
        <f t="shared" si="18"/>
        <v>-4</v>
      </c>
    </row>
    <row r="57" spans="1:87" ht="14.6" customHeight="1" x14ac:dyDescent="0.4">
      <c r="A57" s="3">
        <v>202503</v>
      </c>
      <c r="B57" s="3">
        <v>1</v>
      </c>
      <c r="C57" s="3">
        <v>5</v>
      </c>
      <c r="D57" s="3">
        <v>2</v>
      </c>
      <c r="E57" s="3">
        <v>1</v>
      </c>
      <c r="F57" s="3">
        <v>1</v>
      </c>
      <c r="G57" s="3">
        <v>1</v>
      </c>
      <c r="H57" s="3">
        <v>1</v>
      </c>
      <c r="I57" s="3">
        <v>4</v>
      </c>
      <c r="J57" s="3">
        <v>7</v>
      </c>
      <c r="K57" s="3">
        <v>2</v>
      </c>
      <c r="L57" s="3">
        <v>7</v>
      </c>
      <c r="M57" s="3">
        <v>7</v>
      </c>
      <c r="N57" s="3">
        <v>8</v>
      </c>
      <c r="O57" s="3">
        <v>7</v>
      </c>
      <c r="P57" s="3">
        <v>8</v>
      </c>
      <c r="Q57" s="3">
        <v>2</v>
      </c>
      <c r="R57" s="3">
        <v>4</v>
      </c>
      <c r="S57" s="3" t="s">
        <v>122</v>
      </c>
      <c r="T57" s="3" t="s">
        <v>122</v>
      </c>
      <c r="U57" s="3">
        <v>3</v>
      </c>
      <c r="V57" s="3">
        <v>5</v>
      </c>
      <c r="W57" s="3">
        <v>2</v>
      </c>
      <c r="X57" s="3">
        <v>1</v>
      </c>
      <c r="Y57" s="3">
        <v>6</v>
      </c>
      <c r="Z57" s="3">
        <v>2</v>
      </c>
      <c r="AA57" s="3">
        <v>1</v>
      </c>
      <c r="AB57" s="3" t="s">
        <v>122</v>
      </c>
      <c r="AC57" s="4" t="s">
        <v>122</v>
      </c>
      <c r="AD57" s="3" t="s">
        <v>122</v>
      </c>
      <c r="AE57" s="3" t="s">
        <v>122</v>
      </c>
      <c r="AF57" s="3" t="s">
        <v>122</v>
      </c>
      <c r="AG57" s="3">
        <v>2</v>
      </c>
      <c r="AH57" s="3">
        <v>2</v>
      </c>
      <c r="AI57" s="3">
        <v>3</v>
      </c>
      <c r="AJ57" s="3">
        <v>0</v>
      </c>
      <c r="AK57" s="3" t="s">
        <v>122</v>
      </c>
      <c r="AL57" s="3">
        <v>2</v>
      </c>
      <c r="AM57" s="3">
        <v>3</v>
      </c>
      <c r="AN57" s="3">
        <v>2</v>
      </c>
      <c r="AO57" s="3">
        <v>5</v>
      </c>
      <c r="AP57" s="3">
        <v>2</v>
      </c>
      <c r="AQ57" s="42">
        <v>4</v>
      </c>
      <c r="AR57" cm="1">
        <f t="array" ref="AR57">_xlfn.IFS(AQ57*1=2,1,AQ57*1=4,1,TRUE,0)</f>
        <v>1</v>
      </c>
      <c r="AS57" cm="1">
        <f t="array" ref="AS57">_xlfn.IFS(AQ57*1=1,1,AQ57*1=2,1,TRUE,0)</f>
        <v>0</v>
      </c>
      <c r="AT57" s="3">
        <v>0</v>
      </c>
      <c r="AU57" s="3">
        <v>2</v>
      </c>
      <c r="AV57" s="36">
        <f t="shared" si="21"/>
        <v>-5</v>
      </c>
      <c r="AW57" s="3">
        <f t="shared" si="22"/>
        <v>-7</v>
      </c>
      <c r="AX57" s="3">
        <f t="shared" si="4"/>
        <v>7</v>
      </c>
      <c r="AY57" s="3">
        <f t="shared" si="5"/>
        <v>7</v>
      </c>
      <c r="AZ57" s="3">
        <f t="shared" si="6"/>
        <v>8</v>
      </c>
      <c r="BA57" s="3">
        <f t="shared" si="7"/>
        <v>7</v>
      </c>
      <c r="BB57" s="3">
        <f t="shared" si="8"/>
        <v>8</v>
      </c>
      <c r="BC57" s="3">
        <f t="shared" si="9"/>
        <v>2</v>
      </c>
      <c r="BD57" s="3">
        <f t="shared" si="10"/>
        <v>4</v>
      </c>
      <c r="BE57" s="3">
        <f t="shared" si="11"/>
        <v>3</v>
      </c>
      <c r="BF57" s="3">
        <f t="shared" si="12"/>
        <v>5</v>
      </c>
      <c r="BG57" s="3">
        <f t="shared" si="13"/>
        <v>2</v>
      </c>
      <c r="BH57" s="3">
        <f t="shared" si="14"/>
        <v>1</v>
      </c>
      <c r="BI57" s="3">
        <f t="shared" si="15"/>
        <v>6</v>
      </c>
      <c r="BJ57" s="3">
        <f t="shared" si="16"/>
        <v>2</v>
      </c>
      <c r="BK57" s="3">
        <f t="shared" si="17"/>
        <v>1</v>
      </c>
      <c r="BO57"/>
      <c r="CA57" s="3">
        <v>2</v>
      </c>
      <c r="CB57" s="3">
        <f t="shared" si="20"/>
        <v>0</v>
      </c>
      <c r="CC57" s="3">
        <v>7</v>
      </c>
      <c r="CD57" s="3">
        <v>2</v>
      </c>
      <c r="CG57" s="3">
        <v>7</v>
      </c>
      <c r="CH57" s="3">
        <v>3</v>
      </c>
      <c r="CI57" s="3">
        <f t="shared" si="18"/>
        <v>4</v>
      </c>
    </row>
    <row r="58" spans="1:87" ht="14.6" customHeight="1" x14ac:dyDescent="0.4">
      <c r="A58" s="3">
        <v>202503</v>
      </c>
      <c r="B58" s="3">
        <v>1</v>
      </c>
      <c r="C58" s="3">
        <v>3</v>
      </c>
      <c r="D58" s="3">
        <v>3</v>
      </c>
      <c r="E58" s="3">
        <v>1</v>
      </c>
      <c r="F58" s="3">
        <v>1</v>
      </c>
      <c r="G58" s="3">
        <v>1</v>
      </c>
      <c r="H58" s="3">
        <v>1</v>
      </c>
      <c r="I58" s="3">
        <v>3</v>
      </c>
      <c r="J58" s="3">
        <v>0</v>
      </c>
      <c r="K58" s="3" t="s">
        <v>122</v>
      </c>
      <c r="L58" s="3">
        <v>8</v>
      </c>
      <c r="M58" s="3">
        <v>8</v>
      </c>
      <c r="N58" s="3">
        <v>9</v>
      </c>
      <c r="O58" s="3">
        <v>8</v>
      </c>
      <c r="P58" s="3">
        <v>8</v>
      </c>
      <c r="Q58" s="3">
        <v>3</v>
      </c>
      <c r="R58" s="3">
        <v>2</v>
      </c>
      <c r="S58" s="4" t="s">
        <v>122</v>
      </c>
      <c r="T58" s="4" t="s">
        <v>122</v>
      </c>
      <c r="U58" s="3">
        <v>6</v>
      </c>
      <c r="V58" s="3">
        <v>7</v>
      </c>
      <c r="W58" s="3">
        <v>6</v>
      </c>
      <c r="X58" s="3">
        <v>6</v>
      </c>
      <c r="Y58" s="3">
        <v>7</v>
      </c>
      <c r="Z58" s="3">
        <v>2</v>
      </c>
      <c r="AA58" s="3">
        <v>4</v>
      </c>
      <c r="AB58" s="4" t="s">
        <v>122</v>
      </c>
      <c r="AC58" s="4" t="s">
        <v>122</v>
      </c>
      <c r="AD58" s="3" t="s">
        <v>122</v>
      </c>
      <c r="AE58" s="3" t="s">
        <v>122</v>
      </c>
      <c r="AF58" s="3" t="s">
        <v>122</v>
      </c>
      <c r="AG58" s="3">
        <v>0</v>
      </c>
      <c r="AH58" s="3">
        <v>0</v>
      </c>
      <c r="AI58" s="3">
        <v>3</v>
      </c>
      <c r="AJ58" s="3">
        <v>4.5</v>
      </c>
      <c r="AK58" s="3">
        <v>2</v>
      </c>
      <c r="AL58" s="3">
        <v>4.5</v>
      </c>
      <c r="AM58" s="3">
        <v>2</v>
      </c>
      <c r="AN58" s="3">
        <v>1</v>
      </c>
      <c r="AO58" s="3">
        <v>4</v>
      </c>
      <c r="AP58" s="3">
        <v>2</v>
      </c>
      <c r="AQ58" s="42">
        <v>3</v>
      </c>
      <c r="AR58" cm="1">
        <f t="array" ref="AR58">_xlfn.IFS(AQ58*1=2,1,AQ58*1=4,1,TRUE,0)</f>
        <v>0</v>
      </c>
      <c r="AS58" cm="1">
        <f t="array" ref="AS58">_xlfn.IFS(AQ58*1=1,1,AQ58*1=2,1,TRUE,0)</f>
        <v>0</v>
      </c>
      <c r="AT58" s="3">
        <v>4.5</v>
      </c>
      <c r="AU58" s="3">
        <v>4.5</v>
      </c>
      <c r="AV58" s="36">
        <f t="shared" si="21"/>
        <v>4.5</v>
      </c>
      <c r="AW58" s="3">
        <f t="shared" si="22"/>
        <v>4.5</v>
      </c>
      <c r="AX58" s="3">
        <f t="shared" si="4"/>
        <v>6</v>
      </c>
      <c r="AY58" s="3">
        <f t="shared" si="5"/>
        <v>7</v>
      </c>
      <c r="AZ58" s="3">
        <f t="shared" si="6"/>
        <v>6</v>
      </c>
      <c r="BA58" s="3">
        <f t="shared" si="7"/>
        <v>6</v>
      </c>
      <c r="BB58" s="3">
        <f t="shared" si="8"/>
        <v>7</v>
      </c>
      <c r="BC58" s="3">
        <f t="shared" si="9"/>
        <v>2</v>
      </c>
      <c r="BD58" s="3">
        <f t="shared" si="10"/>
        <v>4</v>
      </c>
      <c r="BE58" s="3">
        <f t="shared" si="11"/>
        <v>8</v>
      </c>
      <c r="BF58" s="3">
        <f t="shared" si="12"/>
        <v>8</v>
      </c>
      <c r="BG58" s="3">
        <f t="shared" si="13"/>
        <v>9</v>
      </c>
      <c r="BH58" s="3">
        <f t="shared" si="14"/>
        <v>8</v>
      </c>
      <c r="BI58" s="3">
        <f t="shared" si="15"/>
        <v>8</v>
      </c>
      <c r="BJ58" s="3">
        <f t="shared" si="16"/>
        <v>3</v>
      </c>
      <c r="BK58" s="3">
        <f t="shared" si="17"/>
        <v>2</v>
      </c>
      <c r="BO58" s="74" t="s">
        <v>1056</v>
      </c>
      <c r="CA58" s="3">
        <v>1</v>
      </c>
      <c r="CB58" s="3">
        <f t="shared" si="20"/>
        <v>1</v>
      </c>
      <c r="CC58" s="3">
        <v>0</v>
      </c>
      <c r="CD58" s="3">
        <v>6</v>
      </c>
      <c r="CG58" s="3">
        <v>6</v>
      </c>
      <c r="CH58" s="3">
        <v>8</v>
      </c>
      <c r="CI58" s="3">
        <f t="shared" si="18"/>
        <v>-2</v>
      </c>
    </row>
    <row r="59" spans="1:87" ht="14.6" customHeight="1" x14ac:dyDescent="0.4">
      <c r="A59" s="3">
        <v>202503</v>
      </c>
      <c r="B59" s="3">
        <v>1</v>
      </c>
      <c r="C59" s="3">
        <v>3</v>
      </c>
      <c r="D59" s="3">
        <v>1</v>
      </c>
      <c r="E59" s="3">
        <v>2</v>
      </c>
      <c r="F59" s="3">
        <v>4</v>
      </c>
      <c r="G59" s="3">
        <v>3</v>
      </c>
      <c r="H59" s="3">
        <v>3</v>
      </c>
      <c r="I59" s="3">
        <v>2</v>
      </c>
      <c r="J59" s="3">
        <v>5.5</v>
      </c>
      <c r="K59" s="4">
        <v>3</v>
      </c>
      <c r="L59" s="3">
        <v>3</v>
      </c>
      <c r="M59" s="3">
        <v>7</v>
      </c>
      <c r="N59" s="3">
        <v>3</v>
      </c>
      <c r="O59" s="3">
        <v>3</v>
      </c>
      <c r="P59" s="3">
        <v>6</v>
      </c>
      <c r="Q59" s="3">
        <v>3</v>
      </c>
      <c r="R59" s="3">
        <v>4</v>
      </c>
      <c r="S59" s="3">
        <v>4.5</v>
      </c>
      <c r="T59" s="4">
        <v>2</v>
      </c>
      <c r="U59" s="3">
        <v>7</v>
      </c>
      <c r="V59" s="3">
        <v>7</v>
      </c>
      <c r="W59" s="3">
        <v>6</v>
      </c>
      <c r="X59" s="3">
        <v>6</v>
      </c>
      <c r="Y59" s="3">
        <v>6</v>
      </c>
      <c r="Z59" s="3">
        <v>3</v>
      </c>
      <c r="AA59" s="3">
        <v>3</v>
      </c>
      <c r="AB59" s="3">
        <v>6.5</v>
      </c>
      <c r="AC59" s="4">
        <v>3</v>
      </c>
      <c r="AD59" s="3">
        <v>4.5</v>
      </c>
      <c r="AE59" s="3">
        <v>6</v>
      </c>
      <c r="AF59" s="3">
        <v>3</v>
      </c>
      <c r="AG59" s="3" t="s">
        <v>122</v>
      </c>
      <c r="AH59" s="3" t="s">
        <v>122</v>
      </c>
      <c r="AI59" s="3" t="s">
        <v>122</v>
      </c>
      <c r="AJ59" s="3" t="s">
        <v>122</v>
      </c>
      <c r="AK59" s="3" t="s">
        <v>122</v>
      </c>
      <c r="AL59" s="3" t="s">
        <v>122</v>
      </c>
      <c r="AM59" s="3" t="s">
        <v>122</v>
      </c>
      <c r="AN59" s="3">
        <v>2</v>
      </c>
      <c r="AO59" s="3">
        <v>5</v>
      </c>
      <c r="AP59" s="3">
        <v>-999</v>
      </c>
      <c r="AQ59" s="42">
        <v>1</v>
      </c>
      <c r="AR59" cm="1">
        <f t="array" ref="AR59">_xlfn.IFS(AQ59*1=2,1,AQ59*1=4,1,TRUE,0)</f>
        <v>0</v>
      </c>
      <c r="AS59" cm="1">
        <f t="array" ref="AS59">_xlfn.IFS(AQ59*1=1,1,AQ59*1=2,1,TRUE,0)</f>
        <v>1</v>
      </c>
      <c r="AT59" s="3">
        <v>4.5</v>
      </c>
      <c r="AU59" s="3">
        <v>6</v>
      </c>
      <c r="AV59" s="36">
        <f t="shared" si="21"/>
        <v>0.5</v>
      </c>
      <c r="AW59" s="3">
        <f t="shared" si="22"/>
        <v>-1</v>
      </c>
      <c r="AX59" s="3">
        <f t="shared" si="4"/>
        <v>7</v>
      </c>
      <c r="AY59" s="3">
        <f t="shared" si="5"/>
        <v>7</v>
      </c>
      <c r="AZ59" s="3">
        <f t="shared" si="6"/>
        <v>6</v>
      </c>
      <c r="BA59" s="3">
        <f t="shared" si="7"/>
        <v>6</v>
      </c>
      <c r="BB59" s="3">
        <f t="shared" si="8"/>
        <v>6</v>
      </c>
      <c r="BC59" s="3">
        <f t="shared" si="9"/>
        <v>3</v>
      </c>
      <c r="BD59" s="3">
        <f t="shared" si="10"/>
        <v>3</v>
      </c>
      <c r="BE59" s="3">
        <f t="shared" si="11"/>
        <v>3</v>
      </c>
      <c r="BF59" s="3">
        <f t="shared" si="12"/>
        <v>7</v>
      </c>
      <c r="BG59" s="3">
        <f t="shared" si="13"/>
        <v>3</v>
      </c>
      <c r="BH59" s="3">
        <f t="shared" si="14"/>
        <v>3</v>
      </c>
      <c r="BI59" s="3">
        <f t="shared" si="15"/>
        <v>6</v>
      </c>
      <c r="BJ59" s="3">
        <f t="shared" si="16"/>
        <v>3</v>
      </c>
      <c r="BK59" s="3">
        <f t="shared" si="17"/>
        <v>4</v>
      </c>
      <c r="CA59" s="3">
        <v>2</v>
      </c>
      <c r="CB59" s="3">
        <f t="shared" si="20"/>
        <v>0</v>
      </c>
      <c r="CC59" s="3">
        <v>5.5</v>
      </c>
      <c r="CD59" s="3">
        <v>0</v>
      </c>
      <c r="CG59" s="3">
        <v>7</v>
      </c>
      <c r="CH59" s="3">
        <v>3</v>
      </c>
      <c r="CI59" s="3">
        <f t="shared" si="18"/>
        <v>4</v>
      </c>
    </row>
    <row r="60" spans="1:87" ht="14.6" customHeight="1" x14ac:dyDescent="0.4">
      <c r="A60" s="3">
        <v>202503</v>
      </c>
      <c r="B60" s="3">
        <v>0</v>
      </c>
      <c r="C60" s="3">
        <v>3</v>
      </c>
      <c r="D60" s="3">
        <v>2</v>
      </c>
      <c r="E60" s="3">
        <v>1</v>
      </c>
      <c r="F60" s="3">
        <v>3</v>
      </c>
      <c r="G60" s="3">
        <v>4</v>
      </c>
      <c r="H60" s="3">
        <v>5</v>
      </c>
      <c r="I60" s="3">
        <v>3</v>
      </c>
      <c r="J60" s="3">
        <v>4.5</v>
      </c>
      <c r="K60" s="3">
        <v>2</v>
      </c>
      <c r="L60" s="3">
        <v>7</v>
      </c>
      <c r="M60" s="3">
        <v>9</v>
      </c>
      <c r="N60" s="3">
        <v>6</v>
      </c>
      <c r="O60" s="3">
        <v>9</v>
      </c>
      <c r="P60" s="3">
        <v>8</v>
      </c>
      <c r="Q60" s="3">
        <v>3</v>
      </c>
      <c r="R60" s="3">
        <v>3</v>
      </c>
      <c r="S60" s="4">
        <v>5.5</v>
      </c>
      <c r="T60" s="4">
        <v>3</v>
      </c>
      <c r="U60" s="3">
        <v>4</v>
      </c>
      <c r="V60" s="3">
        <v>9</v>
      </c>
      <c r="W60" s="3">
        <v>4</v>
      </c>
      <c r="X60" s="3">
        <v>4</v>
      </c>
      <c r="Y60" s="3">
        <v>5</v>
      </c>
      <c r="Z60" s="3">
        <v>2</v>
      </c>
      <c r="AA60" s="3">
        <v>4</v>
      </c>
      <c r="AB60" s="4">
        <v>0</v>
      </c>
      <c r="AC60" s="4" t="s">
        <v>122</v>
      </c>
      <c r="AD60" s="3">
        <v>4</v>
      </c>
      <c r="AE60" s="3">
        <v>6</v>
      </c>
      <c r="AF60" s="3">
        <v>2</v>
      </c>
      <c r="AG60" s="3" t="s">
        <v>122</v>
      </c>
      <c r="AH60" s="3" t="s">
        <v>122</v>
      </c>
      <c r="AI60" s="3" t="s">
        <v>122</v>
      </c>
      <c r="AJ60" s="3" t="s">
        <v>122</v>
      </c>
      <c r="AK60" s="3" t="s">
        <v>122</v>
      </c>
      <c r="AL60" s="3" t="s">
        <v>122</v>
      </c>
      <c r="AM60" s="3" t="s">
        <v>122</v>
      </c>
      <c r="AN60" s="3">
        <v>2</v>
      </c>
      <c r="AO60" s="3">
        <v>5</v>
      </c>
      <c r="AP60" s="3">
        <v>-999</v>
      </c>
      <c r="AQ60" s="42">
        <v>2</v>
      </c>
      <c r="AR60" cm="1">
        <f t="array" ref="AR60">_xlfn.IFS(AQ60*1=2,1,AQ60*1=4,1,TRUE,0)</f>
        <v>1</v>
      </c>
      <c r="AS60" cm="1">
        <f t="array" ref="AS60">_xlfn.IFS(AQ60*1=1,1,AQ60*1=2,1,TRUE,0)</f>
        <v>1</v>
      </c>
      <c r="AT60" s="3">
        <v>4</v>
      </c>
      <c r="AU60" s="3">
        <v>6</v>
      </c>
      <c r="AV60" s="36">
        <f t="shared" si="21"/>
        <v>1.5</v>
      </c>
      <c r="AW60" s="3">
        <f t="shared" si="22"/>
        <v>-0.5</v>
      </c>
      <c r="AX60" s="3">
        <f t="shared" si="4"/>
        <v>7</v>
      </c>
      <c r="AY60" s="3">
        <f t="shared" si="5"/>
        <v>9</v>
      </c>
      <c r="AZ60" s="3">
        <f t="shared" si="6"/>
        <v>6</v>
      </c>
      <c r="BA60" s="3">
        <f t="shared" si="7"/>
        <v>9</v>
      </c>
      <c r="BB60" s="3">
        <f t="shared" si="8"/>
        <v>8</v>
      </c>
      <c r="BC60" s="3">
        <f t="shared" si="9"/>
        <v>3</v>
      </c>
      <c r="BD60" s="3">
        <f t="shared" si="10"/>
        <v>3</v>
      </c>
      <c r="BE60" s="3">
        <f t="shared" si="11"/>
        <v>4</v>
      </c>
      <c r="BF60" s="3">
        <f t="shared" si="12"/>
        <v>9</v>
      </c>
      <c r="BG60" s="3">
        <f t="shared" si="13"/>
        <v>4</v>
      </c>
      <c r="BH60" s="3">
        <f t="shared" si="14"/>
        <v>4</v>
      </c>
      <c r="BI60" s="3">
        <f t="shared" si="15"/>
        <v>5</v>
      </c>
      <c r="BJ60" s="3">
        <f t="shared" si="16"/>
        <v>2</v>
      </c>
      <c r="BK60" s="3">
        <f t="shared" si="17"/>
        <v>4</v>
      </c>
      <c r="CA60" s="3">
        <v>2</v>
      </c>
      <c r="CB60" s="3">
        <f t="shared" si="20"/>
        <v>0</v>
      </c>
      <c r="CC60" s="3">
        <v>4.5</v>
      </c>
      <c r="CD60" s="3">
        <v>4.5</v>
      </c>
      <c r="CG60" s="3">
        <v>7</v>
      </c>
      <c r="CH60" s="3">
        <v>4</v>
      </c>
      <c r="CI60" s="3">
        <f t="shared" si="18"/>
        <v>3</v>
      </c>
    </row>
    <row r="61" spans="1:87" ht="14.6" customHeight="1" x14ac:dyDescent="0.4">
      <c r="A61" s="3">
        <v>202503</v>
      </c>
      <c r="B61" s="3">
        <v>1</v>
      </c>
      <c r="C61" s="3">
        <v>2</v>
      </c>
      <c r="D61" s="3">
        <v>4</v>
      </c>
      <c r="E61" s="3">
        <v>1</v>
      </c>
      <c r="F61" s="3">
        <v>1</v>
      </c>
      <c r="G61" s="3">
        <v>1</v>
      </c>
      <c r="H61" s="3">
        <v>1</v>
      </c>
      <c r="I61" s="3">
        <v>3</v>
      </c>
      <c r="J61" s="3">
        <v>2</v>
      </c>
      <c r="K61" s="3">
        <v>2</v>
      </c>
      <c r="L61" s="3">
        <v>7</v>
      </c>
      <c r="M61" s="3">
        <v>9</v>
      </c>
      <c r="N61" s="3">
        <v>6</v>
      </c>
      <c r="O61" s="3">
        <v>6</v>
      </c>
      <c r="P61" s="3">
        <v>8</v>
      </c>
      <c r="Q61" s="3">
        <v>4</v>
      </c>
      <c r="R61" s="3">
        <v>4</v>
      </c>
      <c r="S61" s="3" t="s">
        <v>122</v>
      </c>
      <c r="T61" s="3" t="s">
        <v>122</v>
      </c>
      <c r="U61" s="3">
        <v>5</v>
      </c>
      <c r="V61" s="3">
        <v>7</v>
      </c>
      <c r="W61" s="3">
        <v>8</v>
      </c>
      <c r="X61" s="3">
        <v>4</v>
      </c>
      <c r="Y61" s="3">
        <v>7</v>
      </c>
      <c r="Z61" s="3">
        <v>4</v>
      </c>
      <c r="AA61" s="3">
        <v>5</v>
      </c>
      <c r="AB61" s="3" t="s">
        <v>122</v>
      </c>
      <c r="AC61" s="3" t="s">
        <v>122</v>
      </c>
      <c r="AD61" s="3" t="s">
        <v>122</v>
      </c>
      <c r="AE61" s="3" t="s">
        <v>122</v>
      </c>
      <c r="AF61" s="3" t="s">
        <v>122</v>
      </c>
      <c r="AG61" s="3">
        <v>2</v>
      </c>
      <c r="AH61" s="3">
        <v>2</v>
      </c>
      <c r="AI61" s="3">
        <v>2</v>
      </c>
      <c r="AJ61" s="3">
        <v>4</v>
      </c>
      <c r="AK61" s="3">
        <v>3</v>
      </c>
      <c r="AL61" s="3">
        <v>2</v>
      </c>
      <c r="AM61" s="3">
        <v>3</v>
      </c>
      <c r="AN61" s="3">
        <v>1</v>
      </c>
      <c r="AO61" s="3">
        <v>4</v>
      </c>
      <c r="AP61" s="3">
        <v>3</v>
      </c>
      <c r="AQ61" s="42">
        <v>3</v>
      </c>
      <c r="AR61" cm="1">
        <f t="array" ref="AR61">_xlfn.IFS(AQ61*1=2,1,AQ61*1=4,1,TRUE,0)</f>
        <v>0</v>
      </c>
      <c r="AS61" cm="1">
        <f t="array" ref="AS61">_xlfn.IFS(AQ61*1=1,1,AQ61*1=2,1,TRUE,0)</f>
        <v>0</v>
      </c>
      <c r="AT61" s="3">
        <v>4</v>
      </c>
      <c r="AU61" s="3">
        <v>2</v>
      </c>
      <c r="AV61" s="36">
        <f t="shared" si="21"/>
        <v>0</v>
      </c>
      <c r="AW61" s="3">
        <f t="shared" si="22"/>
        <v>2</v>
      </c>
      <c r="AX61" s="3">
        <f t="shared" si="4"/>
        <v>5</v>
      </c>
      <c r="AY61" s="3">
        <f t="shared" si="5"/>
        <v>7</v>
      </c>
      <c r="AZ61" s="3">
        <f t="shared" si="6"/>
        <v>8</v>
      </c>
      <c r="BA61" s="3">
        <f t="shared" si="7"/>
        <v>4</v>
      </c>
      <c r="BB61" s="3">
        <f t="shared" si="8"/>
        <v>7</v>
      </c>
      <c r="BC61" s="3">
        <f t="shared" si="9"/>
        <v>4</v>
      </c>
      <c r="BD61" s="3">
        <f t="shared" si="10"/>
        <v>5</v>
      </c>
      <c r="BE61" s="3">
        <f t="shared" si="11"/>
        <v>7</v>
      </c>
      <c r="BF61" s="3">
        <f t="shared" si="12"/>
        <v>9</v>
      </c>
      <c r="BG61" s="3">
        <f t="shared" si="13"/>
        <v>6</v>
      </c>
      <c r="BH61" s="3">
        <f t="shared" si="14"/>
        <v>6</v>
      </c>
      <c r="BI61" s="3">
        <f t="shared" si="15"/>
        <v>8</v>
      </c>
      <c r="BJ61" s="3">
        <f t="shared" si="16"/>
        <v>4</v>
      </c>
      <c r="BK61" s="3">
        <f t="shared" si="17"/>
        <v>4</v>
      </c>
      <c r="CA61" s="3">
        <v>1</v>
      </c>
      <c r="CB61" s="3">
        <f t="shared" si="20"/>
        <v>1</v>
      </c>
      <c r="CC61" s="3">
        <v>2</v>
      </c>
      <c r="CD61" s="3">
        <v>6.5</v>
      </c>
      <c r="CG61" s="3">
        <v>5</v>
      </c>
      <c r="CH61" s="3">
        <v>7</v>
      </c>
      <c r="CI61" s="3">
        <f t="shared" si="18"/>
        <v>-2</v>
      </c>
    </row>
    <row r="62" spans="1:87" x14ac:dyDescent="0.4">
      <c r="A62" s="3">
        <v>202503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5</v>
      </c>
      <c r="J62" s="3">
        <v>0</v>
      </c>
      <c r="K62" s="3" t="s">
        <v>122</v>
      </c>
      <c r="L62" s="3">
        <v>4</v>
      </c>
      <c r="M62" s="3">
        <v>6</v>
      </c>
      <c r="N62" s="3">
        <v>5</v>
      </c>
      <c r="O62" s="3">
        <v>3</v>
      </c>
      <c r="P62" s="3">
        <v>5</v>
      </c>
      <c r="Q62" s="3">
        <v>2</v>
      </c>
      <c r="R62" s="3">
        <v>2</v>
      </c>
      <c r="S62" s="4">
        <v>0</v>
      </c>
      <c r="T62" s="4" t="s">
        <v>122</v>
      </c>
      <c r="U62" s="3">
        <v>1</v>
      </c>
      <c r="V62" s="3">
        <v>4</v>
      </c>
      <c r="W62" s="3">
        <v>2</v>
      </c>
      <c r="X62" s="3">
        <v>1</v>
      </c>
      <c r="Y62" s="3">
        <v>3</v>
      </c>
      <c r="Z62" s="3">
        <v>4</v>
      </c>
      <c r="AA62" s="3">
        <v>2</v>
      </c>
      <c r="AB62" s="4">
        <v>0</v>
      </c>
      <c r="AC62" s="4" t="s">
        <v>122</v>
      </c>
      <c r="AD62" s="3">
        <v>0</v>
      </c>
      <c r="AE62" s="3">
        <v>0</v>
      </c>
      <c r="AF62" s="3">
        <v>3</v>
      </c>
      <c r="AG62" s="3" t="s">
        <v>122</v>
      </c>
      <c r="AH62" s="3" t="s">
        <v>122</v>
      </c>
      <c r="AI62" s="3" t="s">
        <v>122</v>
      </c>
      <c r="AJ62" s="3" t="s">
        <v>122</v>
      </c>
      <c r="AK62" s="3" t="s">
        <v>122</v>
      </c>
      <c r="AL62" s="3" t="s">
        <v>122</v>
      </c>
      <c r="AM62" s="3" t="s">
        <v>122</v>
      </c>
      <c r="AN62" s="3">
        <v>2</v>
      </c>
      <c r="AO62" s="3">
        <v>3</v>
      </c>
      <c r="AP62" s="3">
        <v>6</v>
      </c>
      <c r="AQ62" s="42">
        <v>1</v>
      </c>
      <c r="AR62" cm="1">
        <f t="array" ref="AR62">_xlfn.IFS(AQ62*1=2,1,AQ62*1=4,1,TRUE,0)</f>
        <v>0</v>
      </c>
      <c r="AS62" cm="1">
        <f t="array" ref="AS62">_xlfn.IFS(AQ62*1=1,1,AQ62*1=2,1,TRUE,0)</f>
        <v>1</v>
      </c>
      <c r="AT62" s="3">
        <v>0</v>
      </c>
      <c r="AU62" s="3">
        <v>0</v>
      </c>
      <c r="AV62" s="36">
        <f t="shared" si="21"/>
        <v>0</v>
      </c>
      <c r="AW62" s="3">
        <f t="shared" si="22"/>
        <v>0</v>
      </c>
      <c r="AX62" s="3">
        <f t="shared" si="4"/>
        <v>1</v>
      </c>
      <c r="AY62" s="3">
        <f t="shared" si="5"/>
        <v>4</v>
      </c>
      <c r="AZ62" s="3">
        <f t="shared" si="6"/>
        <v>2</v>
      </c>
      <c r="BA62" s="3">
        <f t="shared" si="7"/>
        <v>1</v>
      </c>
      <c r="BB62" s="3">
        <f t="shared" si="8"/>
        <v>3</v>
      </c>
      <c r="BC62" s="3">
        <f t="shared" si="9"/>
        <v>4</v>
      </c>
      <c r="BD62" s="3">
        <f t="shared" si="10"/>
        <v>2</v>
      </c>
      <c r="BE62" s="3">
        <f t="shared" si="11"/>
        <v>4</v>
      </c>
      <c r="BF62" s="3">
        <f t="shared" si="12"/>
        <v>6</v>
      </c>
      <c r="BG62" s="3">
        <f t="shared" si="13"/>
        <v>5</v>
      </c>
      <c r="BH62" s="3">
        <f t="shared" si="14"/>
        <v>3</v>
      </c>
      <c r="BI62" s="3">
        <f t="shared" si="15"/>
        <v>5</v>
      </c>
      <c r="BJ62" s="3">
        <f t="shared" si="16"/>
        <v>2</v>
      </c>
      <c r="BK62" s="3">
        <f t="shared" si="17"/>
        <v>2</v>
      </c>
      <c r="CA62" s="3">
        <v>2</v>
      </c>
      <c r="CB62" s="3">
        <f t="shared" si="20"/>
        <v>0</v>
      </c>
      <c r="CC62" s="3">
        <v>0</v>
      </c>
      <c r="CG62" s="3">
        <v>1</v>
      </c>
      <c r="CH62" s="3">
        <v>4</v>
      </c>
      <c r="CI62" s="3">
        <f t="shared" si="18"/>
        <v>-3</v>
      </c>
    </row>
    <row r="63" spans="1:87" ht="14.6" customHeight="1" x14ac:dyDescent="0.4">
      <c r="A63" s="3">
        <v>202503</v>
      </c>
      <c r="B63" s="3">
        <v>1</v>
      </c>
      <c r="C63" s="3">
        <v>2</v>
      </c>
      <c r="D63" s="3">
        <v>1</v>
      </c>
      <c r="E63" s="3">
        <v>3</v>
      </c>
      <c r="F63" s="3">
        <v>5</v>
      </c>
      <c r="G63" s="3">
        <v>5</v>
      </c>
      <c r="H63" s="3">
        <v>5</v>
      </c>
      <c r="I63" s="3">
        <v>2</v>
      </c>
      <c r="J63" s="3">
        <v>7</v>
      </c>
      <c r="K63" s="3">
        <v>3</v>
      </c>
      <c r="L63" s="3">
        <v>7</v>
      </c>
      <c r="M63" s="3">
        <v>8</v>
      </c>
      <c r="N63" s="3">
        <v>7</v>
      </c>
      <c r="O63" s="3">
        <v>7</v>
      </c>
      <c r="P63" s="3">
        <v>6</v>
      </c>
      <c r="Q63" s="3">
        <v>2</v>
      </c>
      <c r="R63" s="3">
        <v>3</v>
      </c>
      <c r="S63" s="3" t="s">
        <v>122</v>
      </c>
      <c r="T63" s="3" t="s">
        <v>122</v>
      </c>
      <c r="U63" s="3">
        <v>7</v>
      </c>
      <c r="V63" s="3">
        <v>7</v>
      </c>
      <c r="W63" s="3">
        <v>4</v>
      </c>
      <c r="X63" s="3">
        <v>7</v>
      </c>
      <c r="Y63" s="3">
        <v>8</v>
      </c>
      <c r="Z63" s="3">
        <v>3</v>
      </c>
      <c r="AA63" s="3">
        <v>3</v>
      </c>
      <c r="AB63" s="3" t="s">
        <v>122</v>
      </c>
      <c r="AC63" s="3" t="s">
        <v>122</v>
      </c>
      <c r="AD63" s="3" t="s">
        <v>122</v>
      </c>
      <c r="AE63" s="3" t="s">
        <v>122</v>
      </c>
      <c r="AF63" s="3" t="s">
        <v>122</v>
      </c>
      <c r="AG63" s="3">
        <v>7.5</v>
      </c>
      <c r="AH63" s="3">
        <v>6</v>
      </c>
      <c r="AI63" s="3">
        <v>3</v>
      </c>
      <c r="AJ63" s="3">
        <v>7</v>
      </c>
      <c r="AK63" s="3">
        <v>3</v>
      </c>
      <c r="AL63" s="3">
        <v>6.5</v>
      </c>
      <c r="AM63" s="3">
        <v>3</v>
      </c>
      <c r="AN63" s="3">
        <v>2</v>
      </c>
      <c r="AO63" s="3">
        <v>5</v>
      </c>
      <c r="AP63" s="3">
        <v>5</v>
      </c>
      <c r="AQ63" s="42">
        <v>4</v>
      </c>
      <c r="AR63" cm="1">
        <f t="array" ref="AR63">_xlfn.IFS(AQ63*1=2,1,AQ63*1=4,1,TRUE,0)</f>
        <v>1</v>
      </c>
      <c r="AS63" cm="1">
        <f t="array" ref="AS63">_xlfn.IFS(AQ63*1=1,1,AQ63*1=2,1,TRUE,0)</f>
        <v>0</v>
      </c>
      <c r="AT63" s="3">
        <v>7</v>
      </c>
      <c r="AU63" s="3">
        <v>6.5</v>
      </c>
      <c r="AV63" s="36">
        <f t="shared" si="21"/>
        <v>-0.5</v>
      </c>
      <c r="AW63" s="3">
        <f t="shared" si="22"/>
        <v>0</v>
      </c>
      <c r="AX63" s="3">
        <f t="shared" si="4"/>
        <v>7</v>
      </c>
      <c r="AY63" s="3">
        <f t="shared" si="5"/>
        <v>8</v>
      </c>
      <c r="AZ63" s="3">
        <f t="shared" si="6"/>
        <v>7</v>
      </c>
      <c r="BA63" s="3">
        <f t="shared" si="7"/>
        <v>7</v>
      </c>
      <c r="BB63" s="3">
        <f t="shared" si="8"/>
        <v>6</v>
      </c>
      <c r="BC63" s="3">
        <f t="shared" si="9"/>
        <v>2</v>
      </c>
      <c r="BD63" s="3">
        <f t="shared" si="10"/>
        <v>3</v>
      </c>
      <c r="BE63" s="3">
        <f t="shared" si="11"/>
        <v>7</v>
      </c>
      <c r="BF63" s="3">
        <f t="shared" si="12"/>
        <v>7</v>
      </c>
      <c r="BG63" s="3">
        <f t="shared" si="13"/>
        <v>4</v>
      </c>
      <c r="BH63" s="3">
        <f t="shared" si="14"/>
        <v>7</v>
      </c>
      <c r="BI63" s="3">
        <f t="shared" si="15"/>
        <v>8</v>
      </c>
      <c r="BJ63" s="3">
        <f t="shared" si="16"/>
        <v>3</v>
      </c>
      <c r="BK63" s="3">
        <f t="shared" si="17"/>
        <v>3</v>
      </c>
      <c r="CA63" s="3">
        <v>2</v>
      </c>
      <c r="CB63" s="3">
        <f t="shared" si="20"/>
        <v>0</v>
      </c>
      <c r="CC63" s="3">
        <v>7</v>
      </c>
      <c r="CG63" s="3">
        <v>7</v>
      </c>
      <c r="CH63" s="3">
        <v>7</v>
      </c>
      <c r="CI63" s="3">
        <f t="shared" si="18"/>
        <v>0</v>
      </c>
    </row>
    <row r="64" spans="1:87" x14ac:dyDescent="0.4">
      <c r="A64" s="3">
        <v>202503</v>
      </c>
      <c r="B64" s="3">
        <v>1</v>
      </c>
      <c r="C64" s="3">
        <v>2</v>
      </c>
      <c r="D64" s="3">
        <v>2</v>
      </c>
      <c r="E64" s="3">
        <v>4</v>
      </c>
      <c r="F64" s="3">
        <v>4</v>
      </c>
      <c r="G64" s="3">
        <v>3</v>
      </c>
      <c r="H64" s="3">
        <v>2</v>
      </c>
      <c r="I64" s="3">
        <v>4</v>
      </c>
      <c r="J64" s="3">
        <v>5.5</v>
      </c>
      <c r="K64" s="4">
        <v>3</v>
      </c>
      <c r="L64" s="3">
        <v>8</v>
      </c>
      <c r="M64" s="3">
        <v>7</v>
      </c>
      <c r="N64" s="3">
        <v>9</v>
      </c>
      <c r="O64" s="3">
        <v>8</v>
      </c>
      <c r="P64" s="3">
        <v>9</v>
      </c>
      <c r="Q64" s="3">
        <v>3</v>
      </c>
      <c r="R64" s="3">
        <v>3</v>
      </c>
      <c r="S64" s="4">
        <v>6</v>
      </c>
      <c r="T64" s="4">
        <v>3</v>
      </c>
      <c r="U64" s="3">
        <v>5</v>
      </c>
      <c r="V64" s="3">
        <v>7</v>
      </c>
      <c r="W64" s="3">
        <v>6</v>
      </c>
      <c r="X64" s="3">
        <v>5</v>
      </c>
      <c r="Y64" s="3">
        <v>7</v>
      </c>
      <c r="Z64" s="3">
        <v>3</v>
      </c>
      <c r="AA64" s="3">
        <v>2</v>
      </c>
      <c r="AB64" s="4">
        <v>2</v>
      </c>
      <c r="AC64" s="4">
        <v>2</v>
      </c>
      <c r="AD64" s="3">
        <v>2</v>
      </c>
      <c r="AE64" s="3">
        <v>6</v>
      </c>
      <c r="AF64" s="3">
        <v>3</v>
      </c>
      <c r="AG64" s="3" t="s">
        <v>122</v>
      </c>
      <c r="AH64" s="3" t="s">
        <v>122</v>
      </c>
      <c r="AI64" s="3" t="s">
        <v>122</v>
      </c>
      <c r="AJ64" s="3" t="s">
        <v>122</v>
      </c>
      <c r="AK64" s="3" t="s">
        <v>122</v>
      </c>
      <c r="AL64" s="3" t="s">
        <v>122</v>
      </c>
      <c r="AM64" s="3" t="s">
        <v>122</v>
      </c>
      <c r="AN64" s="3">
        <v>1</v>
      </c>
      <c r="AO64" s="3">
        <v>3</v>
      </c>
      <c r="AP64" s="3">
        <v>6</v>
      </c>
      <c r="AQ64" s="42">
        <v>2</v>
      </c>
      <c r="AR64" cm="1">
        <f t="array" ref="AR64">_xlfn.IFS(AQ64*1=2,1,AQ64*1=4,1,TRUE,0)</f>
        <v>1</v>
      </c>
      <c r="AS64" cm="1">
        <f t="array" ref="AS64">_xlfn.IFS(AQ64*1=1,1,AQ64*1=2,1,TRUE,0)</f>
        <v>1</v>
      </c>
      <c r="AT64" s="3">
        <v>2</v>
      </c>
      <c r="AU64" s="3">
        <v>6</v>
      </c>
      <c r="AV64" s="36">
        <f t="shared" si="21"/>
        <v>0.5</v>
      </c>
      <c r="AW64" s="3">
        <f t="shared" si="22"/>
        <v>-3.5</v>
      </c>
      <c r="AX64" s="3">
        <f t="shared" si="4"/>
        <v>8</v>
      </c>
      <c r="AY64" s="3">
        <f t="shared" si="5"/>
        <v>7</v>
      </c>
      <c r="AZ64" s="3">
        <f t="shared" si="6"/>
        <v>9</v>
      </c>
      <c r="BA64" s="3">
        <f t="shared" si="7"/>
        <v>8</v>
      </c>
      <c r="BB64" s="3">
        <f t="shared" si="8"/>
        <v>9</v>
      </c>
      <c r="BC64" s="3">
        <f t="shared" si="9"/>
        <v>3</v>
      </c>
      <c r="BD64" s="3">
        <f t="shared" si="10"/>
        <v>3</v>
      </c>
      <c r="BE64" s="3">
        <f t="shared" si="11"/>
        <v>5</v>
      </c>
      <c r="BF64" s="3">
        <f t="shared" si="12"/>
        <v>7</v>
      </c>
      <c r="BG64" s="3">
        <f t="shared" si="13"/>
        <v>6</v>
      </c>
      <c r="BH64" s="3">
        <f t="shared" si="14"/>
        <v>5</v>
      </c>
      <c r="BI64" s="3">
        <f t="shared" si="15"/>
        <v>7</v>
      </c>
      <c r="BJ64" s="3">
        <f t="shared" si="16"/>
        <v>3</v>
      </c>
      <c r="BK64" s="3">
        <f t="shared" si="17"/>
        <v>2</v>
      </c>
      <c r="CA64" s="3">
        <v>1</v>
      </c>
      <c r="CB64" s="3">
        <f t="shared" si="20"/>
        <v>1</v>
      </c>
      <c r="CC64" s="3">
        <v>5.5</v>
      </c>
      <c r="CG64" s="3">
        <v>8</v>
      </c>
      <c r="CH64" s="3">
        <v>5</v>
      </c>
      <c r="CI64" s="3">
        <f t="shared" si="18"/>
        <v>3</v>
      </c>
    </row>
    <row r="65" spans="1:87" ht="14.6" customHeight="1" x14ac:dyDescent="0.4">
      <c r="A65" s="3">
        <v>202503</v>
      </c>
      <c r="B65" s="3">
        <v>1</v>
      </c>
      <c r="C65" s="3">
        <v>2</v>
      </c>
      <c r="D65" s="3">
        <v>2</v>
      </c>
      <c r="E65" s="3">
        <v>2</v>
      </c>
      <c r="F65" s="3">
        <v>2</v>
      </c>
      <c r="G65" s="3">
        <v>2</v>
      </c>
      <c r="H65" s="3">
        <v>3</v>
      </c>
      <c r="I65" s="3">
        <v>4</v>
      </c>
      <c r="J65" s="3">
        <v>4.5</v>
      </c>
      <c r="K65" s="4">
        <v>2</v>
      </c>
      <c r="L65" s="3">
        <v>7</v>
      </c>
      <c r="M65" s="3">
        <v>8</v>
      </c>
      <c r="N65" s="3">
        <v>8</v>
      </c>
      <c r="O65" s="3">
        <v>5</v>
      </c>
      <c r="P65" s="3">
        <v>7</v>
      </c>
      <c r="Q65" s="3">
        <v>2</v>
      </c>
      <c r="R65" s="3">
        <v>2</v>
      </c>
      <c r="S65" s="3" t="s">
        <v>122</v>
      </c>
      <c r="T65" s="4" t="s">
        <v>122</v>
      </c>
      <c r="U65" s="3">
        <v>6</v>
      </c>
      <c r="V65" s="3">
        <v>8</v>
      </c>
      <c r="W65" s="3">
        <v>3</v>
      </c>
      <c r="X65" s="3">
        <v>5</v>
      </c>
      <c r="Y65" s="3">
        <v>6</v>
      </c>
      <c r="Z65" s="3">
        <v>3</v>
      </c>
      <c r="AA65" s="3">
        <v>4</v>
      </c>
      <c r="AB65" s="3" t="s">
        <v>122</v>
      </c>
      <c r="AC65" s="4" t="s">
        <v>122</v>
      </c>
      <c r="AD65" s="3" t="s">
        <v>122</v>
      </c>
      <c r="AE65" s="3" t="s">
        <v>122</v>
      </c>
      <c r="AF65" s="3" t="s">
        <v>122</v>
      </c>
      <c r="AG65" s="3">
        <v>4.5</v>
      </c>
      <c r="AH65" s="3">
        <v>4.5</v>
      </c>
      <c r="AI65" s="3">
        <v>2</v>
      </c>
      <c r="AJ65" s="3">
        <v>2</v>
      </c>
      <c r="AK65" s="3">
        <v>1</v>
      </c>
      <c r="AL65" s="3">
        <v>4.5</v>
      </c>
      <c r="AM65" s="3">
        <v>3</v>
      </c>
      <c r="AN65" s="3">
        <v>1</v>
      </c>
      <c r="AO65" s="3">
        <v>4</v>
      </c>
      <c r="AP65" s="3">
        <v>2</v>
      </c>
      <c r="AQ65" s="42">
        <v>4</v>
      </c>
      <c r="AR65" cm="1">
        <f t="array" ref="AR65">_xlfn.IFS(AQ65*1=2,1,AQ65*1=4,1,TRUE,0)</f>
        <v>1</v>
      </c>
      <c r="AS65" cm="1">
        <f t="array" ref="AS65">_xlfn.IFS(AQ65*1=1,1,AQ65*1=2,1,TRUE,0)</f>
        <v>0</v>
      </c>
      <c r="AT65" s="3">
        <v>2</v>
      </c>
      <c r="AU65" s="3">
        <v>4.5</v>
      </c>
      <c r="AV65" s="36">
        <f t="shared" si="21"/>
        <v>0</v>
      </c>
      <c r="AW65" s="3">
        <f t="shared" si="22"/>
        <v>-2.5</v>
      </c>
      <c r="AX65" s="3">
        <f t="shared" si="4"/>
        <v>7</v>
      </c>
      <c r="AY65" s="3">
        <f t="shared" si="5"/>
        <v>8</v>
      </c>
      <c r="AZ65" s="3">
        <f t="shared" si="6"/>
        <v>8</v>
      </c>
      <c r="BA65" s="3">
        <f t="shared" si="7"/>
        <v>5</v>
      </c>
      <c r="BB65" s="3">
        <f t="shared" si="8"/>
        <v>7</v>
      </c>
      <c r="BC65" s="3">
        <f t="shared" si="9"/>
        <v>2</v>
      </c>
      <c r="BD65" s="3">
        <f t="shared" si="10"/>
        <v>2</v>
      </c>
      <c r="BE65" s="3">
        <f t="shared" si="11"/>
        <v>6</v>
      </c>
      <c r="BF65" s="3">
        <f t="shared" si="12"/>
        <v>8</v>
      </c>
      <c r="BG65" s="3">
        <f t="shared" si="13"/>
        <v>3</v>
      </c>
      <c r="BH65" s="3">
        <f t="shared" si="14"/>
        <v>5</v>
      </c>
      <c r="BI65" s="3">
        <f t="shared" si="15"/>
        <v>6</v>
      </c>
      <c r="BJ65" s="3">
        <f t="shared" si="16"/>
        <v>3</v>
      </c>
      <c r="BK65" s="3">
        <f t="shared" si="17"/>
        <v>4</v>
      </c>
      <c r="CA65" s="3">
        <v>1</v>
      </c>
      <c r="CB65" s="3">
        <f t="shared" si="20"/>
        <v>1</v>
      </c>
      <c r="CC65" s="3">
        <v>4.5</v>
      </c>
      <c r="CG65" s="3">
        <v>7</v>
      </c>
      <c r="CH65" s="3">
        <v>6</v>
      </c>
      <c r="CI65" s="3">
        <f t="shared" si="18"/>
        <v>1</v>
      </c>
    </row>
    <row r="66" spans="1:87" ht="14.6" customHeight="1" x14ac:dyDescent="0.4">
      <c r="A66" s="3">
        <v>202503</v>
      </c>
      <c r="B66" s="3">
        <v>1</v>
      </c>
      <c r="C66" s="3">
        <v>2</v>
      </c>
      <c r="D66" s="3">
        <v>2</v>
      </c>
      <c r="E66" s="3">
        <v>2</v>
      </c>
      <c r="F66" s="3">
        <v>2</v>
      </c>
      <c r="G66" s="3">
        <v>2</v>
      </c>
      <c r="H66" s="3">
        <v>1</v>
      </c>
      <c r="I66" s="3">
        <v>5</v>
      </c>
      <c r="J66" s="3">
        <v>7</v>
      </c>
      <c r="K66" s="3">
        <v>2</v>
      </c>
      <c r="L66" s="3">
        <v>3</v>
      </c>
      <c r="M66" s="3">
        <v>8</v>
      </c>
      <c r="N66" s="3">
        <v>9</v>
      </c>
      <c r="O66" s="3">
        <v>2</v>
      </c>
      <c r="P66" s="3">
        <v>6</v>
      </c>
      <c r="Q66" s="3">
        <v>3</v>
      </c>
      <c r="R66" s="3">
        <v>3</v>
      </c>
      <c r="S66" s="4">
        <v>6</v>
      </c>
      <c r="T66" s="4">
        <v>2</v>
      </c>
      <c r="U66" s="3">
        <v>6</v>
      </c>
      <c r="V66" s="3">
        <v>7</v>
      </c>
      <c r="W66" s="3">
        <v>6</v>
      </c>
      <c r="X66" s="3">
        <v>4</v>
      </c>
      <c r="Y66" s="3">
        <v>9</v>
      </c>
      <c r="Z66" s="3">
        <v>2</v>
      </c>
      <c r="AA66" s="3">
        <v>2</v>
      </c>
      <c r="AB66" s="4">
        <v>7</v>
      </c>
      <c r="AC66" s="4">
        <v>3</v>
      </c>
      <c r="AD66" s="3">
        <v>7</v>
      </c>
      <c r="AE66" s="3">
        <v>6</v>
      </c>
      <c r="AF66" s="3">
        <v>3</v>
      </c>
      <c r="AG66" s="3" t="s">
        <v>122</v>
      </c>
      <c r="AH66" s="3" t="s">
        <v>122</v>
      </c>
      <c r="AI66" s="3" t="s">
        <v>122</v>
      </c>
      <c r="AJ66" s="3" t="s">
        <v>122</v>
      </c>
      <c r="AK66" s="3" t="s">
        <v>122</v>
      </c>
      <c r="AL66" s="3" t="s">
        <v>122</v>
      </c>
      <c r="AM66" s="3" t="s">
        <v>122</v>
      </c>
      <c r="AN66" s="3">
        <v>1</v>
      </c>
      <c r="AO66" s="3">
        <v>4</v>
      </c>
      <c r="AP66" s="3">
        <v>5</v>
      </c>
      <c r="AQ66" s="42">
        <v>2</v>
      </c>
      <c r="AR66" cm="1">
        <f t="array" ref="AR66">_xlfn.IFS(AQ66*1=2,1,AQ66*1=4,1,TRUE,0)</f>
        <v>1</v>
      </c>
      <c r="AS66" cm="1">
        <f t="array" ref="AS66">_xlfn.IFS(AQ66*1=1,1,AQ66*1=2,1,TRUE,0)</f>
        <v>1</v>
      </c>
      <c r="AT66" s="3">
        <v>7</v>
      </c>
      <c r="AU66" s="3">
        <v>6</v>
      </c>
      <c r="AV66" s="36">
        <f t="shared" ref="AV66:AV97" si="25">IF(COUNT(AU66,J66)=2,AU66-J66,"")</f>
        <v>-1</v>
      </c>
      <c r="AW66" s="3">
        <f t="shared" ref="AW66:AW97" si="26">AT66-J66</f>
        <v>0</v>
      </c>
      <c r="AX66" s="3">
        <f t="shared" si="4"/>
        <v>3</v>
      </c>
      <c r="AY66" s="3">
        <f t="shared" si="5"/>
        <v>8</v>
      </c>
      <c r="AZ66" s="3">
        <f t="shared" si="6"/>
        <v>9</v>
      </c>
      <c r="BA66" s="3">
        <f t="shared" si="7"/>
        <v>2</v>
      </c>
      <c r="BB66" s="3">
        <f t="shared" si="8"/>
        <v>6</v>
      </c>
      <c r="BC66" s="3">
        <f t="shared" si="9"/>
        <v>3</v>
      </c>
      <c r="BD66" s="3">
        <f t="shared" si="10"/>
        <v>3</v>
      </c>
      <c r="BE66" s="3">
        <f t="shared" si="11"/>
        <v>6</v>
      </c>
      <c r="BF66" s="3">
        <f t="shared" si="12"/>
        <v>7</v>
      </c>
      <c r="BG66" s="3">
        <f t="shared" si="13"/>
        <v>6</v>
      </c>
      <c r="BH66" s="3">
        <f t="shared" si="14"/>
        <v>4</v>
      </c>
      <c r="BI66" s="3">
        <f t="shared" si="15"/>
        <v>9</v>
      </c>
      <c r="BJ66" s="3">
        <f t="shared" si="16"/>
        <v>2</v>
      </c>
      <c r="BK66" s="3">
        <f t="shared" si="17"/>
        <v>2</v>
      </c>
      <c r="CA66" s="3">
        <v>1</v>
      </c>
      <c r="CB66" s="3">
        <f t="shared" si="20"/>
        <v>1</v>
      </c>
      <c r="CC66" s="3">
        <v>7</v>
      </c>
      <c r="CG66" s="3">
        <v>3</v>
      </c>
      <c r="CH66" s="3">
        <v>6</v>
      </c>
      <c r="CI66" s="3">
        <f t="shared" si="18"/>
        <v>-3</v>
      </c>
    </row>
    <row r="67" spans="1:87" ht="14.6" customHeight="1" x14ac:dyDescent="0.4">
      <c r="A67" s="3">
        <v>202503</v>
      </c>
      <c r="B67" s="3">
        <v>0</v>
      </c>
      <c r="C67" s="3">
        <v>1</v>
      </c>
      <c r="D67" s="3">
        <v>1</v>
      </c>
      <c r="E67" s="3">
        <v>1</v>
      </c>
      <c r="F67" s="3">
        <v>2</v>
      </c>
      <c r="G67" s="3">
        <v>1</v>
      </c>
      <c r="H67" s="3">
        <v>1</v>
      </c>
      <c r="I67" s="3">
        <v>5</v>
      </c>
      <c r="J67" s="3">
        <v>0</v>
      </c>
      <c r="K67" s="3" t="s">
        <v>122</v>
      </c>
      <c r="L67" s="3">
        <v>2</v>
      </c>
      <c r="M67" s="3">
        <v>4</v>
      </c>
      <c r="N67" s="3">
        <v>7</v>
      </c>
      <c r="O67" s="3">
        <v>1</v>
      </c>
      <c r="P67" s="3">
        <v>3</v>
      </c>
      <c r="Q67" s="3">
        <v>4</v>
      </c>
      <c r="R67" s="3">
        <v>2</v>
      </c>
      <c r="S67" s="4" t="s">
        <v>122</v>
      </c>
      <c r="T67" s="4" t="s">
        <v>122</v>
      </c>
      <c r="U67" s="3">
        <v>4</v>
      </c>
      <c r="V67" s="3">
        <v>5</v>
      </c>
      <c r="W67" s="3">
        <v>7</v>
      </c>
      <c r="X67" s="3">
        <v>4</v>
      </c>
      <c r="Y67" s="3">
        <v>5</v>
      </c>
      <c r="Z67" s="3">
        <v>3</v>
      </c>
      <c r="AA67" s="3">
        <v>3</v>
      </c>
      <c r="AB67" s="4" t="s">
        <v>122</v>
      </c>
      <c r="AC67" s="4" t="s">
        <v>122</v>
      </c>
      <c r="AD67" s="3" t="s">
        <v>122</v>
      </c>
      <c r="AE67" s="3" t="s">
        <v>122</v>
      </c>
      <c r="AF67" s="3" t="s">
        <v>122</v>
      </c>
      <c r="AG67" s="3">
        <v>2</v>
      </c>
      <c r="AH67" s="3">
        <v>2</v>
      </c>
      <c r="AI67" s="3">
        <v>2</v>
      </c>
      <c r="AJ67" s="3">
        <v>0</v>
      </c>
      <c r="AK67" s="3" t="s">
        <v>122</v>
      </c>
      <c r="AL67" s="3">
        <v>6</v>
      </c>
      <c r="AM67" s="3">
        <v>1</v>
      </c>
      <c r="AN67" s="3">
        <v>1</v>
      </c>
      <c r="AO67" s="3">
        <v>5</v>
      </c>
      <c r="AP67" s="3">
        <v>2</v>
      </c>
      <c r="AQ67" s="42">
        <v>3</v>
      </c>
      <c r="AR67" cm="1">
        <f t="array" ref="AR67">_xlfn.IFS(AQ67*1=2,1,AQ67*1=4,1,TRUE,0)</f>
        <v>0</v>
      </c>
      <c r="AS67" cm="1">
        <f t="array" ref="AS67">_xlfn.IFS(AQ67*1=1,1,AQ67*1=2,1,TRUE,0)</f>
        <v>0</v>
      </c>
      <c r="AT67" s="3">
        <v>0</v>
      </c>
      <c r="AU67" s="3">
        <v>6</v>
      </c>
      <c r="AV67" s="36">
        <f t="shared" si="25"/>
        <v>6</v>
      </c>
      <c r="AW67" s="3">
        <f t="shared" si="26"/>
        <v>0</v>
      </c>
      <c r="AX67" s="3">
        <f t="shared" ref="AX67:AX109" si="27">IF($AR67=1,L67,U67)</f>
        <v>4</v>
      </c>
      <c r="AY67" s="3">
        <f t="shared" ref="AY67:AY109" si="28">IF($AR67=1,M67,V67)</f>
        <v>5</v>
      </c>
      <c r="AZ67" s="3">
        <f t="shared" ref="AZ67:AZ109" si="29">IF($AR67=1,N67,W67)</f>
        <v>7</v>
      </c>
      <c r="BA67" s="3">
        <f t="shared" ref="BA67:BA109" si="30">IF($AR67=1,O67,X67)</f>
        <v>4</v>
      </c>
      <c r="BB67" s="3">
        <f t="shared" ref="BB67:BB109" si="31">IF($AR67=1,P67,Y67)</f>
        <v>5</v>
      </c>
      <c r="BC67" s="3">
        <f t="shared" ref="BC67:BC109" si="32">IF($AR67=1,Q67,Z67)</f>
        <v>3</v>
      </c>
      <c r="BD67" s="3">
        <f t="shared" ref="BD67:BD109" si="33">IF($AR67=1,R67,AA67)</f>
        <v>3</v>
      </c>
      <c r="BE67" s="3">
        <f t="shared" ref="BE67:BE109" si="34">IF($AR67=1,U67,L67)</f>
        <v>2</v>
      </c>
      <c r="BF67" s="3">
        <f t="shared" ref="BF67:BF109" si="35">IF($AR67=1,V67,M67)</f>
        <v>4</v>
      </c>
      <c r="BG67" s="3">
        <f t="shared" ref="BG67:BG109" si="36">IF($AR67=1,W67,N67)</f>
        <v>7</v>
      </c>
      <c r="BH67" s="3">
        <f t="shared" ref="BH67:BH109" si="37">IF($AR67=1,X67,O67)</f>
        <v>1</v>
      </c>
      <c r="BI67" s="3">
        <f t="shared" ref="BI67:BI109" si="38">IF($AR67=1,Y67,P67)</f>
        <v>3</v>
      </c>
      <c r="BJ67" s="3">
        <f t="shared" ref="BJ67:BJ109" si="39">IF($AR67=1,Z67,Q67)</f>
        <v>4</v>
      </c>
      <c r="BK67" s="3">
        <f t="shared" ref="BK67:BK109" si="40">IF($AR67=1,AA67,R67)</f>
        <v>2</v>
      </c>
      <c r="CA67" s="3">
        <v>1</v>
      </c>
      <c r="CB67" s="3">
        <f t="shared" si="20"/>
        <v>1</v>
      </c>
      <c r="CC67" s="3">
        <v>0</v>
      </c>
      <c r="CG67" s="3">
        <v>4</v>
      </c>
      <c r="CH67" s="3">
        <v>2</v>
      </c>
      <c r="CI67" s="3">
        <f t="shared" ref="CI67:CI109" si="41">CG67-CH67</f>
        <v>2</v>
      </c>
    </row>
    <row r="68" spans="1:87" ht="14.6" customHeight="1" x14ac:dyDescent="0.4">
      <c r="A68" s="3">
        <v>202503</v>
      </c>
      <c r="B68" s="3">
        <v>1</v>
      </c>
      <c r="C68" s="3">
        <v>4</v>
      </c>
      <c r="D68" s="3">
        <v>3</v>
      </c>
      <c r="E68" s="3">
        <v>1</v>
      </c>
      <c r="F68" s="3">
        <v>1</v>
      </c>
      <c r="G68" s="3">
        <v>1</v>
      </c>
      <c r="H68" s="3">
        <v>1</v>
      </c>
      <c r="I68" s="3">
        <v>3</v>
      </c>
      <c r="J68" s="3">
        <v>0</v>
      </c>
      <c r="K68" s="3" t="s">
        <v>122</v>
      </c>
      <c r="L68" s="3">
        <v>7</v>
      </c>
      <c r="M68" s="3">
        <v>6</v>
      </c>
      <c r="N68" s="3">
        <v>7</v>
      </c>
      <c r="O68" s="3">
        <v>7</v>
      </c>
      <c r="P68" s="3">
        <v>7</v>
      </c>
      <c r="Q68" s="3">
        <v>2</v>
      </c>
      <c r="R68" s="3">
        <v>3</v>
      </c>
      <c r="S68" s="3">
        <v>0</v>
      </c>
      <c r="T68" s="4" t="s">
        <v>122</v>
      </c>
      <c r="U68" s="3">
        <v>6</v>
      </c>
      <c r="V68" s="3">
        <v>6</v>
      </c>
      <c r="W68" s="3">
        <v>6</v>
      </c>
      <c r="X68" s="3">
        <v>7</v>
      </c>
      <c r="Y68" s="3">
        <v>6</v>
      </c>
      <c r="Z68" s="3">
        <v>3</v>
      </c>
      <c r="AA68" s="3">
        <v>2</v>
      </c>
      <c r="AB68" s="3">
        <v>0</v>
      </c>
      <c r="AC68" s="3" t="s">
        <v>122</v>
      </c>
      <c r="AD68" s="3">
        <v>0</v>
      </c>
      <c r="AE68" s="3">
        <v>0</v>
      </c>
      <c r="AF68" s="3">
        <v>2</v>
      </c>
      <c r="AG68" s="3" t="s">
        <v>122</v>
      </c>
      <c r="AH68" s="3" t="s">
        <v>122</v>
      </c>
      <c r="AI68" s="3" t="s">
        <v>122</v>
      </c>
      <c r="AJ68" s="3" t="s">
        <v>122</v>
      </c>
      <c r="AK68" s="3" t="s">
        <v>122</v>
      </c>
      <c r="AL68" s="3" t="s">
        <v>122</v>
      </c>
      <c r="AM68" s="3" t="s">
        <v>122</v>
      </c>
      <c r="AN68" s="3">
        <v>1</v>
      </c>
      <c r="AO68" s="3">
        <v>5</v>
      </c>
      <c r="AP68" s="3">
        <v>1</v>
      </c>
      <c r="AQ68" s="42">
        <v>1</v>
      </c>
      <c r="AR68" cm="1">
        <f t="array" ref="AR68">_xlfn.IFS(AQ68*1=2,1,AQ68*1=4,1,TRUE,0)</f>
        <v>0</v>
      </c>
      <c r="AS68" cm="1">
        <f t="array" ref="AS68">_xlfn.IFS(AQ68*1=1,1,AQ68*1=2,1,TRUE,0)</f>
        <v>1</v>
      </c>
      <c r="AT68" s="3">
        <v>0</v>
      </c>
      <c r="AU68" s="3">
        <v>0</v>
      </c>
      <c r="AV68" s="36">
        <f t="shared" si="25"/>
        <v>0</v>
      </c>
      <c r="AW68" s="3">
        <f t="shared" si="26"/>
        <v>0</v>
      </c>
      <c r="AX68" s="3">
        <f t="shared" si="27"/>
        <v>6</v>
      </c>
      <c r="AY68" s="3">
        <f t="shared" si="28"/>
        <v>6</v>
      </c>
      <c r="AZ68" s="3">
        <f t="shared" si="29"/>
        <v>6</v>
      </c>
      <c r="BA68" s="3">
        <f t="shared" si="30"/>
        <v>7</v>
      </c>
      <c r="BB68" s="3">
        <f t="shared" si="31"/>
        <v>6</v>
      </c>
      <c r="BC68" s="3">
        <f t="shared" si="32"/>
        <v>3</v>
      </c>
      <c r="BD68" s="3">
        <f t="shared" si="33"/>
        <v>2</v>
      </c>
      <c r="BE68" s="3">
        <f t="shared" si="34"/>
        <v>7</v>
      </c>
      <c r="BF68" s="3">
        <f t="shared" si="35"/>
        <v>6</v>
      </c>
      <c r="BG68" s="3">
        <f t="shared" si="36"/>
        <v>7</v>
      </c>
      <c r="BH68" s="3">
        <f t="shared" si="37"/>
        <v>7</v>
      </c>
      <c r="BI68" s="3">
        <f t="shared" si="38"/>
        <v>7</v>
      </c>
      <c r="BJ68" s="3">
        <f t="shared" si="39"/>
        <v>2</v>
      </c>
      <c r="BK68" s="3">
        <f t="shared" si="40"/>
        <v>3</v>
      </c>
      <c r="CA68" s="3">
        <v>1</v>
      </c>
      <c r="CB68" s="3">
        <f t="shared" si="20"/>
        <v>1</v>
      </c>
      <c r="CC68" s="3">
        <v>0</v>
      </c>
      <c r="CG68" s="3">
        <v>6</v>
      </c>
      <c r="CH68" s="3">
        <v>7</v>
      </c>
      <c r="CI68" s="3">
        <f t="shared" si="41"/>
        <v>-1</v>
      </c>
    </row>
    <row r="69" spans="1:87" ht="14.6" customHeight="1" x14ac:dyDescent="0.4">
      <c r="A69" s="3">
        <v>202503</v>
      </c>
      <c r="B69" s="3">
        <v>1</v>
      </c>
      <c r="C69" s="3">
        <v>5</v>
      </c>
      <c r="D69" s="3">
        <v>5</v>
      </c>
      <c r="E69" s="3">
        <v>2</v>
      </c>
      <c r="F69" s="3">
        <v>5</v>
      </c>
      <c r="G69" s="3">
        <v>4</v>
      </c>
      <c r="H69" s="3">
        <v>2</v>
      </c>
      <c r="I69" s="3">
        <v>4</v>
      </c>
      <c r="J69" s="3">
        <v>2</v>
      </c>
      <c r="K69" s="3">
        <v>3</v>
      </c>
      <c r="L69" s="3">
        <v>8</v>
      </c>
      <c r="M69" s="3">
        <v>6</v>
      </c>
      <c r="N69" s="3">
        <v>6</v>
      </c>
      <c r="O69" s="3">
        <v>8</v>
      </c>
      <c r="P69" s="3">
        <v>7</v>
      </c>
      <c r="Q69" s="3">
        <v>3</v>
      </c>
      <c r="R69" s="3">
        <v>3</v>
      </c>
      <c r="S69" s="3" t="s">
        <v>122</v>
      </c>
      <c r="T69" s="3" t="s">
        <v>122</v>
      </c>
      <c r="U69" s="3">
        <v>8</v>
      </c>
      <c r="V69" s="3">
        <v>7</v>
      </c>
      <c r="W69" s="3">
        <v>7</v>
      </c>
      <c r="X69" s="3">
        <v>7</v>
      </c>
      <c r="Y69" s="3">
        <v>7</v>
      </c>
      <c r="Z69" s="3">
        <v>3</v>
      </c>
      <c r="AA69" s="3">
        <v>3</v>
      </c>
      <c r="AB69" s="3" t="s">
        <v>122</v>
      </c>
      <c r="AC69" s="3" t="s">
        <v>122</v>
      </c>
      <c r="AD69" s="3" t="s">
        <v>122</v>
      </c>
      <c r="AE69" s="3" t="s">
        <v>122</v>
      </c>
      <c r="AF69" s="3" t="s">
        <v>122</v>
      </c>
      <c r="AG69" s="3">
        <v>2</v>
      </c>
      <c r="AH69" s="3">
        <v>2</v>
      </c>
      <c r="AI69" s="3">
        <v>3</v>
      </c>
      <c r="AJ69" s="3">
        <v>2</v>
      </c>
      <c r="AK69" s="3">
        <v>3</v>
      </c>
      <c r="AL69" s="3">
        <v>2</v>
      </c>
      <c r="AM69" s="3">
        <v>3</v>
      </c>
      <c r="AN69" s="3">
        <v>1</v>
      </c>
      <c r="AO69" s="3">
        <v>5</v>
      </c>
      <c r="AP69" s="3">
        <v>2</v>
      </c>
      <c r="AQ69" s="42">
        <v>3</v>
      </c>
      <c r="AR69" cm="1">
        <f t="array" ref="AR69">_xlfn.IFS(AQ69*1=2,1,AQ69*1=4,1,TRUE,0)</f>
        <v>0</v>
      </c>
      <c r="AS69" cm="1">
        <f t="array" ref="AS69">_xlfn.IFS(AQ69*1=1,1,AQ69*1=2,1,TRUE,0)</f>
        <v>0</v>
      </c>
      <c r="AT69" s="3">
        <v>2</v>
      </c>
      <c r="AU69" s="3">
        <v>2</v>
      </c>
      <c r="AV69" s="36">
        <f t="shared" si="25"/>
        <v>0</v>
      </c>
      <c r="AW69" s="3">
        <f t="shared" si="26"/>
        <v>0</v>
      </c>
      <c r="AX69" s="3">
        <f t="shared" si="27"/>
        <v>8</v>
      </c>
      <c r="AY69" s="3">
        <f t="shared" si="28"/>
        <v>7</v>
      </c>
      <c r="AZ69" s="3">
        <f t="shared" si="29"/>
        <v>7</v>
      </c>
      <c r="BA69" s="3">
        <f t="shared" si="30"/>
        <v>7</v>
      </c>
      <c r="BB69" s="3">
        <f t="shared" si="31"/>
        <v>7</v>
      </c>
      <c r="BC69" s="3">
        <f t="shared" si="32"/>
        <v>3</v>
      </c>
      <c r="BD69" s="3">
        <f t="shared" si="33"/>
        <v>3</v>
      </c>
      <c r="BE69" s="3">
        <f t="shared" si="34"/>
        <v>8</v>
      </c>
      <c r="BF69" s="3">
        <f t="shared" si="35"/>
        <v>6</v>
      </c>
      <c r="BG69" s="3">
        <f t="shared" si="36"/>
        <v>6</v>
      </c>
      <c r="BH69" s="3">
        <f t="shared" si="37"/>
        <v>8</v>
      </c>
      <c r="BI69" s="3">
        <f t="shared" si="38"/>
        <v>7</v>
      </c>
      <c r="BJ69" s="3">
        <f t="shared" si="39"/>
        <v>3</v>
      </c>
      <c r="BK69" s="3">
        <f t="shared" si="40"/>
        <v>3</v>
      </c>
      <c r="CA69" s="3">
        <v>1</v>
      </c>
      <c r="CB69" s="3">
        <f t="shared" si="20"/>
        <v>1</v>
      </c>
      <c r="CC69" s="3">
        <v>2</v>
      </c>
      <c r="CG69" s="3">
        <v>8</v>
      </c>
      <c r="CH69" s="3">
        <v>8</v>
      </c>
      <c r="CI69" s="3">
        <f t="shared" si="41"/>
        <v>0</v>
      </c>
    </row>
    <row r="70" spans="1:87" ht="14.6" customHeight="1" x14ac:dyDescent="0.4">
      <c r="A70" s="3">
        <v>202503</v>
      </c>
      <c r="B70" s="3">
        <v>1</v>
      </c>
      <c r="C70" s="3">
        <v>2</v>
      </c>
      <c r="D70" s="3">
        <v>1</v>
      </c>
      <c r="E70" s="3">
        <v>5</v>
      </c>
      <c r="F70" s="3">
        <v>4</v>
      </c>
      <c r="G70" s="3">
        <v>3</v>
      </c>
      <c r="H70" s="3">
        <v>3</v>
      </c>
      <c r="I70" s="3">
        <v>3</v>
      </c>
      <c r="J70" s="3">
        <v>6</v>
      </c>
      <c r="K70" s="3">
        <v>2</v>
      </c>
      <c r="L70" s="3">
        <v>6</v>
      </c>
      <c r="M70" s="3">
        <v>6</v>
      </c>
      <c r="N70" s="3">
        <v>7</v>
      </c>
      <c r="O70" s="3">
        <v>4</v>
      </c>
      <c r="P70" s="3">
        <v>7</v>
      </c>
      <c r="Q70" s="3">
        <v>4</v>
      </c>
      <c r="R70" s="3">
        <v>4</v>
      </c>
      <c r="S70" s="3" t="s">
        <v>122</v>
      </c>
      <c r="T70" s="3" t="s">
        <v>122</v>
      </c>
      <c r="U70" s="3">
        <v>7</v>
      </c>
      <c r="V70" s="3">
        <v>7</v>
      </c>
      <c r="W70" s="3">
        <v>7</v>
      </c>
      <c r="X70" s="3">
        <v>7</v>
      </c>
      <c r="Y70" s="3">
        <v>7</v>
      </c>
      <c r="Z70" s="3">
        <v>3</v>
      </c>
      <c r="AA70" s="3">
        <v>3</v>
      </c>
      <c r="AB70" s="3" t="s">
        <v>122</v>
      </c>
      <c r="AC70" s="3" t="s">
        <v>122</v>
      </c>
      <c r="AD70" s="3" t="s">
        <v>122</v>
      </c>
      <c r="AE70" s="3" t="s">
        <v>122</v>
      </c>
      <c r="AF70" s="3" t="s">
        <v>122</v>
      </c>
      <c r="AG70" s="3">
        <v>6</v>
      </c>
      <c r="AH70" s="3">
        <v>6</v>
      </c>
      <c r="AI70" s="3">
        <v>2</v>
      </c>
      <c r="AJ70" s="3">
        <v>6</v>
      </c>
      <c r="AK70" s="3">
        <v>3</v>
      </c>
      <c r="AL70" s="3">
        <v>6</v>
      </c>
      <c r="AM70" s="3">
        <v>2</v>
      </c>
      <c r="AN70" s="3">
        <v>1</v>
      </c>
      <c r="AO70" s="3">
        <v>5</v>
      </c>
      <c r="AP70" s="3">
        <v>5</v>
      </c>
      <c r="AQ70" s="42">
        <v>4</v>
      </c>
      <c r="AR70" cm="1">
        <f t="array" ref="AR70">_xlfn.IFS(AQ70*1=2,1,AQ70*1=4,1,TRUE,0)</f>
        <v>1</v>
      </c>
      <c r="AS70" cm="1">
        <f t="array" ref="AS70">_xlfn.IFS(AQ70*1=1,1,AQ70*1=2,1,TRUE,0)</f>
        <v>0</v>
      </c>
      <c r="AT70" s="3">
        <v>6</v>
      </c>
      <c r="AU70" s="3">
        <v>6</v>
      </c>
      <c r="AV70" s="36">
        <f t="shared" si="25"/>
        <v>0</v>
      </c>
      <c r="AW70" s="3">
        <f t="shared" si="26"/>
        <v>0</v>
      </c>
      <c r="AX70" s="3">
        <f t="shared" si="27"/>
        <v>6</v>
      </c>
      <c r="AY70" s="3">
        <f t="shared" si="28"/>
        <v>6</v>
      </c>
      <c r="AZ70" s="3">
        <f t="shared" si="29"/>
        <v>7</v>
      </c>
      <c r="BA70" s="3">
        <f t="shared" si="30"/>
        <v>4</v>
      </c>
      <c r="BB70" s="3">
        <f t="shared" si="31"/>
        <v>7</v>
      </c>
      <c r="BC70" s="3">
        <f t="shared" si="32"/>
        <v>4</v>
      </c>
      <c r="BD70" s="3">
        <f t="shared" si="33"/>
        <v>4</v>
      </c>
      <c r="BE70" s="3">
        <f t="shared" si="34"/>
        <v>7</v>
      </c>
      <c r="BF70" s="3">
        <f t="shared" si="35"/>
        <v>7</v>
      </c>
      <c r="BG70" s="3">
        <f t="shared" si="36"/>
        <v>7</v>
      </c>
      <c r="BH70" s="3">
        <f t="shared" si="37"/>
        <v>7</v>
      </c>
      <c r="BI70" s="3">
        <f t="shared" si="38"/>
        <v>7</v>
      </c>
      <c r="BJ70" s="3">
        <f t="shared" si="39"/>
        <v>3</v>
      </c>
      <c r="BK70" s="3">
        <f t="shared" si="40"/>
        <v>3</v>
      </c>
      <c r="CA70" s="3">
        <v>1</v>
      </c>
      <c r="CB70" s="3">
        <f t="shared" si="20"/>
        <v>1</v>
      </c>
      <c r="CC70" s="3">
        <v>6</v>
      </c>
      <c r="CG70" s="3">
        <v>6</v>
      </c>
      <c r="CH70" s="3">
        <v>7</v>
      </c>
      <c r="CI70" s="3">
        <f t="shared" si="41"/>
        <v>-1</v>
      </c>
    </row>
    <row r="71" spans="1:87" ht="14.6" customHeight="1" x14ac:dyDescent="0.4">
      <c r="A71" s="3">
        <v>202503</v>
      </c>
      <c r="B71" s="3">
        <v>1</v>
      </c>
      <c r="C71" s="3">
        <v>3</v>
      </c>
      <c r="D71" s="3">
        <v>2</v>
      </c>
      <c r="E71" s="3">
        <v>2</v>
      </c>
      <c r="F71" s="3">
        <v>5</v>
      </c>
      <c r="G71" s="3">
        <v>5</v>
      </c>
      <c r="H71" s="3">
        <v>5</v>
      </c>
      <c r="I71" s="3">
        <v>1</v>
      </c>
      <c r="J71" s="3">
        <v>6</v>
      </c>
      <c r="K71" s="3">
        <v>2</v>
      </c>
      <c r="L71" s="3">
        <v>6</v>
      </c>
      <c r="M71" s="3">
        <v>7</v>
      </c>
      <c r="N71" s="3">
        <v>7</v>
      </c>
      <c r="O71" s="3">
        <v>6</v>
      </c>
      <c r="P71" s="3">
        <v>6</v>
      </c>
      <c r="Q71" s="3">
        <v>4</v>
      </c>
      <c r="R71" s="3">
        <v>3</v>
      </c>
      <c r="S71" s="3">
        <v>0</v>
      </c>
      <c r="T71" s="3" t="s">
        <v>122</v>
      </c>
      <c r="U71" s="3">
        <v>7</v>
      </c>
      <c r="V71" s="3">
        <v>7</v>
      </c>
      <c r="W71" s="3">
        <v>6</v>
      </c>
      <c r="X71" s="3">
        <v>7</v>
      </c>
      <c r="Y71" s="3">
        <v>6</v>
      </c>
      <c r="Z71" s="3">
        <v>3</v>
      </c>
      <c r="AA71" s="3">
        <v>3</v>
      </c>
      <c r="AB71" s="3">
        <v>6</v>
      </c>
      <c r="AC71" s="3">
        <v>2</v>
      </c>
      <c r="AD71" s="3">
        <v>5</v>
      </c>
      <c r="AE71" s="3">
        <v>6</v>
      </c>
      <c r="AF71" s="3">
        <v>2</v>
      </c>
      <c r="AG71" s="3" t="s">
        <v>122</v>
      </c>
      <c r="AH71" s="3" t="s">
        <v>122</v>
      </c>
      <c r="AI71" s="3" t="s">
        <v>122</v>
      </c>
      <c r="AJ71" s="3" t="s">
        <v>122</v>
      </c>
      <c r="AK71" s="3" t="s">
        <v>122</v>
      </c>
      <c r="AL71" s="3" t="s">
        <v>122</v>
      </c>
      <c r="AM71" s="3" t="s">
        <v>122</v>
      </c>
      <c r="AN71" s="3">
        <v>2</v>
      </c>
      <c r="AO71" s="3">
        <v>5</v>
      </c>
      <c r="AP71" s="3">
        <v>5</v>
      </c>
      <c r="AQ71" s="42">
        <v>1</v>
      </c>
      <c r="AR71" cm="1">
        <f t="array" ref="AR71">_xlfn.IFS(AQ71*1=2,1,AQ71*1=4,1,TRUE,0)</f>
        <v>0</v>
      </c>
      <c r="AS71" cm="1">
        <f t="array" ref="AS71">_xlfn.IFS(AQ71*1=1,1,AQ71*1=2,1,TRUE,0)</f>
        <v>1</v>
      </c>
      <c r="AT71" s="3">
        <v>5</v>
      </c>
      <c r="AU71" s="3">
        <v>6</v>
      </c>
      <c r="AV71" s="36">
        <f t="shared" si="25"/>
        <v>0</v>
      </c>
      <c r="AW71" s="3">
        <f t="shared" si="26"/>
        <v>-1</v>
      </c>
      <c r="AX71" s="3">
        <f t="shared" si="27"/>
        <v>7</v>
      </c>
      <c r="AY71" s="3">
        <f t="shared" si="28"/>
        <v>7</v>
      </c>
      <c r="AZ71" s="3">
        <f t="shared" si="29"/>
        <v>6</v>
      </c>
      <c r="BA71" s="3">
        <f t="shared" si="30"/>
        <v>7</v>
      </c>
      <c r="BB71" s="3">
        <f t="shared" si="31"/>
        <v>6</v>
      </c>
      <c r="BC71" s="3">
        <f t="shared" si="32"/>
        <v>3</v>
      </c>
      <c r="BD71" s="3">
        <f t="shared" si="33"/>
        <v>3</v>
      </c>
      <c r="BE71" s="3">
        <f t="shared" si="34"/>
        <v>6</v>
      </c>
      <c r="BF71" s="3">
        <f t="shared" si="35"/>
        <v>7</v>
      </c>
      <c r="BG71" s="3">
        <f t="shared" si="36"/>
        <v>7</v>
      </c>
      <c r="BH71" s="3">
        <f t="shared" si="37"/>
        <v>6</v>
      </c>
      <c r="BI71" s="3">
        <f t="shared" si="38"/>
        <v>6</v>
      </c>
      <c r="BJ71" s="3">
        <f t="shared" si="39"/>
        <v>4</v>
      </c>
      <c r="BK71" s="3">
        <f t="shared" si="40"/>
        <v>3</v>
      </c>
      <c r="CA71" s="3">
        <v>2</v>
      </c>
      <c r="CB71" s="3">
        <f t="shared" si="20"/>
        <v>0</v>
      </c>
      <c r="CC71" s="3">
        <v>6</v>
      </c>
      <c r="CG71" s="3">
        <v>7</v>
      </c>
      <c r="CH71" s="3">
        <v>6</v>
      </c>
      <c r="CI71" s="3">
        <f t="shared" si="41"/>
        <v>1</v>
      </c>
    </row>
    <row r="72" spans="1:87" ht="14.6" customHeight="1" x14ac:dyDescent="0.4">
      <c r="A72" s="3">
        <v>202503</v>
      </c>
      <c r="B72" s="3">
        <v>1</v>
      </c>
      <c r="C72" s="3">
        <v>2</v>
      </c>
      <c r="D72" s="3">
        <v>2</v>
      </c>
      <c r="E72" s="3">
        <v>1</v>
      </c>
      <c r="F72" s="3">
        <v>1</v>
      </c>
      <c r="G72" s="3">
        <v>1</v>
      </c>
      <c r="H72" s="3">
        <v>1</v>
      </c>
      <c r="I72" s="3">
        <v>3</v>
      </c>
      <c r="J72" s="3">
        <v>5</v>
      </c>
      <c r="K72" s="3">
        <v>1</v>
      </c>
      <c r="L72" s="3">
        <v>7</v>
      </c>
      <c r="M72" s="3">
        <v>7</v>
      </c>
      <c r="N72" s="3">
        <v>8</v>
      </c>
      <c r="O72" s="3">
        <v>7</v>
      </c>
      <c r="P72" s="3">
        <v>8</v>
      </c>
      <c r="Q72" s="3">
        <v>4</v>
      </c>
      <c r="R72" s="3">
        <v>4</v>
      </c>
      <c r="S72" s="4">
        <v>5</v>
      </c>
      <c r="T72" s="4">
        <v>1</v>
      </c>
      <c r="U72" s="3">
        <v>8</v>
      </c>
      <c r="V72" s="3">
        <v>8</v>
      </c>
      <c r="W72" s="3">
        <v>6</v>
      </c>
      <c r="X72" s="3">
        <v>8</v>
      </c>
      <c r="Y72" s="3">
        <v>8</v>
      </c>
      <c r="Z72" s="3">
        <v>2</v>
      </c>
      <c r="AA72" s="3">
        <v>3</v>
      </c>
      <c r="AB72" s="4">
        <v>5</v>
      </c>
      <c r="AC72" s="4">
        <v>1</v>
      </c>
      <c r="AD72" s="3">
        <v>0</v>
      </c>
      <c r="AE72" s="3">
        <v>0</v>
      </c>
      <c r="AF72" s="3">
        <v>2</v>
      </c>
      <c r="AG72" s="3" t="s">
        <v>122</v>
      </c>
      <c r="AH72" s="3" t="s">
        <v>122</v>
      </c>
      <c r="AI72" s="3" t="s">
        <v>122</v>
      </c>
      <c r="AJ72" s="3" t="s">
        <v>122</v>
      </c>
      <c r="AK72" s="3" t="s">
        <v>122</v>
      </c>
      <c r="AL72" s="3" t="s">
        <v>122</v>
      </c>
      <c r="AM72" s="3" t="s">
        <v>122</v>
      </c>
      <c r="AN72" s="3">
        <v>2</v>
      </c>
      <c r="AO72" s="3">
        <v>5</v>
      </c>
      <c r="AP72" s="3">
        <v>3</v>
      </c>
      <c r="AQ72" s="42">
        <v>2</v>
      </c>
      <c r="AR72" cm="1">
        <f t="array" ref="AR72">_xlfn.IFS(AQ72*1=2,1,AQ72*1=4,1,TRUE,0)</f>
        <v>1</v>
      </c>
      <c r="AS72" cm="1">
        <f t="array" ref="AS72">_xlfn.IFS(AQ72*1=1,1,AQ72*1=2,1,TRUE,0)</f>
        <v>1</v>
      </c>
      <c r="AT72" s="3">
        <v>0</v>
      </c>
      <c r="AU72" s="3">
        <v>0</v>
      </c>
      <c r="AV72" s="36">
        <f t="shared" si="25"/>
        <v>-5</v>
      </c>
      <c r="AW72" s="3">
        <f t="shared" si="26"/>
        <v>-5</v>
      </c>
      <c r="AX72" s="3">
        <f t="shared" si="27"/>
        <v>7</v>
      </c>
      <c r="AY72" s="3">
        <f t="shared" si="28"/>
        <v>7</v>
      </c>
      <c r="AZ72" s="3">
        <f t="shared" si="29"/>
        <v>8</v>
      </c>
      <c r="BA72" s="3">
        <f t="shared" si="30"/>
        <v>7</v>
      </c>
      <c r="BB72" s="3">
        <f t="shared" si="31"/>
        <v>8</v>
      </c>
      <c r="BC72" s="3">
        <f t="shared" si="32"/>
        <v>4</v>
      </c>
      <c r="BD72" s="3">
        <f t="shared" si="33"/>
        <v>4</v>
      </c>
      <c r="BE72" s="3">
        <f t="shared" si="34"/>
        <v>8</v>
      </c>
      <c r="BF72" s="3">
        <f t="shared" si="35"/>
        <v>8</v>
      </c>
      <c r="BG72" s="3">
        <f t="shared" si="36"/>
        <v>6</v>
      </c>
      <c r="BH72" s="3">
        <f t="shared" si="37"/>
        <v>8</v>
      </c>
      <c r="BI72" s="3">
        <f t="shared" si="38"/>
        <v>8</v>
      </c>
      <c r="BJ72" s="3">
        <f t="shared" si="39"/>
        <v>2</v>
      </c>
      <c r="BK72" s="3">
        <f t="shared" si="40"/>
        <v>3</v>
      </c>
      <c r="CA72" s="3">
        <v>2</v>
      </c>
      <c r="CB72" s="3">
        <f t="shared" si="20"/>
        <v>0</v>
      </c>
      <c r="CC72" s="3">
        <v>5</v>
      </c>
      <c r="CG72" s="3">
        <v>7</v>
      </c>
      <c r="CH72" s="3">
        <v>8</v>
      </c>
      <c r="CI72" s="3">
        <f t="shared" si="41"/>
        <v>-1</v>
      </c>
    </row>
    <row r="73" spans="1:87" x14ac:dyDescent="0.4">
      <c r="A73" s="3">
        <v>202503</v>
      </c>
      <c r="B73" s="3">
        <v>1</v>
      </c>
      <c r="C73" s="3">
        <v>2</v>
      </c>
      <c r="D73" s="3">
        <v>2</v>
      </c>
      <c r="E73" s="3">
        <v>1</v>
      </c>
      <c r="F73" s="3">
        <v>1</v>
      </c>
      <c r="G73" s="3">
        <v>1</v>
      </c>
      <c r="H73" s="3">
        <v>1</v>
      </c>
      <c r="I73" s="3">
        <v>2</v>
      </c>
      <c r="J73" s="3">
        <v>2</v>
      </c>
      <c r="K73" s="3">
        <v>3</v>
      </c>
      <c r="L73" s="3">
        <v>9</v>
      </c>
      <c r="M73" s="3">
        <v>9</v>
      </c>
      <c r="N73" s="3">
        <v>7</v>
      </c>
      <c r="O73" s="3">
        <v>9</v>
      </c>
      <c r="P73" s="3">
        <v>6</v>
      </c>
      <c r="Q73" s="3">
        <v>2</v>
      </c>
      <c r="R73" s="3">
        <v>3</v>
      </c>
      <c r="S73" s="4">
        <v>5</v>
      </c>
      <c r="T73" s="4">
        <v>3</v>
      </c>
      <c r="U73" s="3">
        <v>4</v>
      </c>
      <c r="V73" s="3">
        <v>6</v>
      </c>
      <c r="W73" s="3">
        <v>5</v>
      </c>
      <c r="X73" s="3">
        <v>4</v>
      </c>
      <c r="Y73" s="3">
        <v>4</v>
      </c>
      <c r="Z73" s="3">
        <v>5</v>
      </c>
      <c r="AA73" s="3">
        <v>4</v>
      </c>
      <c r="AB73" s="4">
        <v>2</v>
      </c>
      <c r="AC73" s="4">
        <v>3</v>
      </c>
      <c r="AD73" s="3">
        <v>0</v>
      </c>
      <c r="AE73" s="3">
        <v>0</v>
      </c>
      <c r="AF73" s="3">
        <v>3</v>
      </c>
      <c r="AG73" s="3" t="s">
        <v>122</v>
      </c>
      <c r="AH73" s="3" t="s">
        <v>122</v>
      </c>
      <c r="AI73" s="3" t="s">
        <v>122</v>
      </c>
      <c r="AJ73" s="3" t="s">
        <v>122</v>
      </c>
      <c r="AK73" s="3" t="s">
        <v>122</v>
      </c>
      <c r="AL73" s="3" t="s">
        <v>122</v>
      </c>
      <c r="AM73" s="3" t="s">
        <v>122</v>
      </c>
      <c r="AN73" s="3">
        <v>2</v>
      </c>
      <c r="AO73" s="3">
        <v>3</v>
      </c>
      <c r="AP73" s="3">
        <v>1</v>
      </c>
      <c r="AQ73" s="42">
        <v>1</v>
      </c>
      <c r="AR73" cm="1">
        <f t="array" ref="AR73">_xlfn.IFS(AQ73*1=2,1,AQ73*1=4,1,TRUE,0)</f>
        <v>0</v>
      </c>
      <c r="AS73" cm="1">
        <f t="array" ref="AS73">_xlfn.IFS(AQ73*1=1,1,AQ73*1=2,1,TRUE,0)</f>
        <v>1</v>
      </c>
      <c r="AT73" s="3">
        <v>0</v>
      </c>
      <c r="AU73" s="3">
        <v>0</v>
      </c>
      <c r="AV73" s="36">
        <f t="shared" si="25"/>
        <v>-2</v>
      </c>
      <c r="AW73" s="3">
        <f t="shared" si="26"/>
        <v>-2</v>
      </c>
      <c r="AX73" s="3">
        <f t="shared" si="27"/>
        <v>4</v>
      </c>
      <c r="AY73" s="3">
        <f t="shared" si="28"/>
        <v>6</v>
      </c>
      <c r="AZ73" s="3">
        <f t="shared" si="29"/>
        <v>5</v>
      </c>
      <c r="BA73" s="3">
        <f t="shared" si="30"/>
        <v>4</v>
      </c>
      <c r="BB73" s="3">
        <f t="shared" si="31"/>
        <v>4</v>
      </c>
      <c r="BC73" s="3">
        <f t="shared" si="32"/>
        <v>5</v>
      </c>
      <c r="BD73" s="3">
        <f t="shared" si="33"/>
        <v>4</v>
      </c>
      <c r="BE73" s="3">
        <f t="shared" si="34"/>
        <v>9</v>
      </c>
      <c r="BF73" s="3">
        <f t="shared" si="35"/>
        <v>9</v>
      </c>
      <c r="BG73" s="3">
        <f t="shared" si="36"/>
        <v>7</v>
      </c>
      <c r="BH73" s="3">
        <f t="shared" si="37"/>
        <v>9</v>
      </c>
      <c r="BI73" s="3">
        <f t="shared" si="38"/>
        <v>6</v>
      </c>
      <c r="BJ73" s="3">
        <f t="shared" si="39"/>
        <v>2</v>
      </c>
      <c r="BK73" s="3">
        <f t="shared" si="40"/>
        <v>3</v>
      </c>
      <c r="CA73" s="3">
        <v>2</v>
      </c>
      <c r="CB73" s="3">
        <f t="shared" si="20"/>
        <v>0</v>
      </c>
      <c r="CC73" s="3">
        <v>2</v>
      </c>
      <c r="CG73" s="3">
        <v>4</v>
      </c>
      <c r="CH73" s="3">
        <v>9</v>
      </c>
      <c r="CI73" s="3">
        <f t="shared" si="41"/>
        <v>-5</v>
      </c>
    </row>
    <row r="74" spans="1:87" x14ac:dyDescent="0.4">
      <c r="A74" s="3">
        <v>202503</v>
      </c>
      <c r="B74" s="3">
        <v>1</v>
      </c>
      <c r="C74" s="3">
        <v>3</v>
      </c>
      <c r="D74" s="3">
        <v>3</v>
      </c>
      <c r="E74" s="3">
        <v>3</v>
      </c>
      <c r="F74" s="3">
        <v>3</v>
      </c>
      <c r="G74" s="3">
        <v>3</v>
      </c>
      <c r="H74" s="3">
        <v>3</v>
      </c>
      <c r="I74" s="3">
        <v>3</v>
      </c>
      <c r="J74" s="3">
        <v>5</v>
      </c>
      <c r="K74" s="4">
        <v>2</v>
      </c>
      <c r="L74" s="3">
        <v>6</v>
      </c>
      <c r="M74" s="3">
        <v>6</v>
      </c>
      <c r="N74" s="3">
        <v>6</v>
      </c>
      <c r="O74" s="3">
        <v>6</v>
      </c>
      <c r="P74" s="3">
        <v>7</v>
      </c>
      <c r="Q74" s="3">
        <v>2</v>
      </c>
      <c r="R74" s="3">
        <v>2</v>
      </c>
      <c r="S74" s="4">
        <v>4</v>
      </c>
      <c r="T74" s="4">
        <v>2</v>
      </c>
      <c r="U74" s="3">
        <v>5</v>
      </c>
      <c r="V74" s="3">
        <v>5</v>
      </c>
      <c r="W74" s="3">
        <v>5</v>
      </c>
      <c r="X74" s="3">
        <v>5</v>
      </c>
      <c r="Y74" s="3">
        <v>4</v>
      </c>
      <c r="Z74" s="3">
        <v>1</v>
      </c>
      <c r="AA74" s="3">
        <v>2</v>
      </c>
      <c r="AB74" s="4">
        <v>4</v>
      </c>
      <c r="AC74" s="4">
        <v>2</v>
      </c>
      <c r="AD74" s="3">
        <v>4</v>
      </c>
      <c r="AE74" s="3">
        <v>4.5</v>
      </c>
      <c r="AF74" s="3">
        <v>2</v>
      </c>
      <c r="AG74" s="3" t="s">
        <v>122</v>
      </c>
      <c r="AH74" s="3" t="s">
        <v>122</v>
      </c>
      <c r="AI74" s="3" t="s">
        <v>122</v>
      </c>
      <c r="AJ74" s="3" t="s">
        <v>122</v>
      </c>
      <c r="AK74" s="3" t="s">
        <v>122</v>
      </c>
      <c r="AL74" s="3" t="s">
        <v>122</v>
      </c>
      <c r="AM74" s="3" t="s">
        <v>122</v>
      </c>
      <c r="AN74" s="3">
        <v>-999</v>
      </c>
      <c r="AO74" s="3">
        <v>3</v>
      </c>
      <c r="AP74" s="3">
        <v>1</v>
      </c>
      <c r="AQ74" s="42">
        <v>2</v>
      </c>
      <c r="AR74" cm="1">
        <f t="array" ref="AR74">_xlfn.IFS(AQ74*1=2,1,AQ74*1=4,1,TRUE,0)</f>
        <v>1</v>
      </c>
      <c r="AS74" cm="1">
        <f t="array" ref="AS74">_xlfn.IFS(AQ74*1=1,1,AQ74*1=2,1,TRUE,0)</f>
        <v>1</v>
      </c>
      <c r="AT74" s="3">
        <v>4</v>
      </c>
      <c r="AU74" s="3">
        <v>4.5</v>
      </c>
      <c r="AV74" s="36">
        <f t="shared" si="25"/>
        <v>-0.5</v>
      </c>
      <c r="AW74" s="3">
        <f t="shared" si="26"/>
        <v>-1</v>
      </c>
      <c r="AX74" s="3">
        <f t="shared" si="27"/>
        <v>6</v>
      </c>
      <c r="AY74" s="3">
        <f t="shared" si="28"/>
        <v>6</v>
      </c>
      <c r="AZ74" s="3">
        <f t="shared" si="29"/>
        <v>6</v>
      </c>
      <c r="BA74" s="3">
        <f t="shared" si="30"/>
        <v>6</v>
      </c>
      <c r="BB74" s="3">
        <f t="shared" si="31"/>
        <v>7</v>
      </c>
      <c r="BC74" s="3">
        <f t="shared" si="32"/>
        <v>2</v>
      </c>
      <c r="BD74" s="3">
        <f t="shared" si="33"/>
        <v>2</v>
      </c>
      <c r="BE74" s="3">
        <f t="shared" si="34"/>
        <v>5</v>
      </c>
      <c r="BF74" s="3">
        <f t="shared" si="35"/>
        <v>5</v>
      </c>
      <c r="BG74" s="3">
        <f t="shared" si="36"/>
        <v>5</v>
      </c>
      <c r="BH74" s="3">
        <f t="shared" si="37"/>
        <v>5</v>
      </c>
      <c r="BI74" s="3">
        <f t="shared" si="38"/>
        <v>4</v>
      </c>
      <c r="BJ74" s="3">
        <f t="shared" si="39"/>
        <v>1</v>
      </c>
      <c r="BK74" s="3">
        <f t="shared" si="40"/>
        <v>2</v>
      </c>
      <c r="CA74" s="3">
        <v>-999</v>
      </c>
      <c r="CB74" s="3">
        <f t="shared" ref="CB74:CB109" si="42">IF(CA74=1,1,0)</f>
        <v>0</v>
      </c>
      <c r="CC74" s="3">
        <v>5</v>
      </c>
      <c r="CG74" s="3">
        <v>6</v>
      </c>
      <c r="CH74" s="3">
        <v>5</v>
      </c>
      <c r="CI74" s="3">
        <f t="shared" si="41"/>
        <v>1</v>
      </c>
    </row>
    <row r="75" spans="1:87" ht="14.6" customHeight="1" x14ac:dyDescent="0.4">
      <c r="A75" s="3">
        <v>202503</v>
      </c>
      <c r="B75" s="3">
        <v>1</v>
      </c>
      <c r="C75" s="3">
        <v>4</v>
      </c>
      <c r="D75" s="3">
        <v>2</v>
      </c>
      <c r="E75" s="3">
        <v>3</v>
      </c>
      <c r="F75" s="3">
        <v>5</v>
      </c>
      <c r="G75" s="3">
        <v>5</v>
      </c>
      <c r="H75" s="3">
        <v>5</v>
      </c>
      <c r="I75" s="3">
        <v>2</v>
      </c>
      <c r="J75" s="3">
        <v>6</v>
      </c>
      <c r="K75" s="3">
        <v>3</v>
      </c>
      <c r="L75" s="3">
        <v>8</v>
      </c>
      <c r="M75" s="3">
        <v>8</v>
      </c>
      <c r="N75" s="3">
        <v>8</v>
      </c>
      <c r="O75" s="3">
        <v>8</v>
      </c>
      <c r="P75" s="3">
        <v>7</v>
      </c>
      <c r="Q75" s="3">
        <v>3</v>
      </c>
      <c r="R75" s="3">
        <v>3</v>
      </c>
      <c r="S75" s="3" t="s">
        <v>122</v>
      </c>
      <c r="T75" s="4" t="s">
        <v>122</v>
      </c>
      <c r="U75" s="3">
        <v>9</v>
      </c>
      <c r="V75" s="3">
        <v>8</v>
      </c>
      <c r="W75" s="3">
        <v>8</v>
      </c>
      <c r="X75" s="3">
        <v>8</v>
      </c>
      <c r="Y75" s="3">
        <v>8</v>
      </c>
      <c r="Z75" s="3">
        <v>3</v>
      </c>
      <c r="AA75" s="3">
        <v>3</v>
      </c>
      <c r="AB75" s="3" t="s">
        <v>122</v>
      </c>
      <c r="AC75" s="3" t="s">
        <v>122</v>
      </c>
      <c r="AD75" s="3" t="s">
        <v>122</v>
      </c>
      <c r="AE75" s="3" t="s">
        <v>122</v>
      </c>
      <c r="AF75" s="3" t="s">
        <v>122</v>
      </c>
      <c r="AG75" s="3">
        <v>6</v>
      </c>
      <c r="AH75" s="3">
        <v>6</v>
      </c>
      <c r="AI75" s="3">
        <v>3</v>
      </c>
      <c r="AJ75" s="3">
        <v>6</v>
      </c>
      <c r="AK75" s="3">
        <v>3</v>
      </c>
      <c r="AL75" s="3">
        <v>6</v>
      </c>
      <c r="AM75" s="3">
        <v>3</v>
      </c>
      <c r="AN75" s="3">
        <v>2</v>
      </c>
      <c r="AO75" s="3">
        <v>4</v>
      </c>
      <c r="AP75" s="3">
        <v>5</v>
      </c>
      <c r="AQ75" s="42">
        <v>4</v>
      </c>
      <c r="AR75" cm="1">
        <f t="array" ref="AR75">_xlfn.IFS(AQ75*1=2,1,AQ75*1=4,1,TRUE,0)</f>
        <v>1</v>
      </c>
      <c r="AS75" cm="1">
        <f t="array" ref="AS75">_xlfn.IFS(AQ75*1=1,1,AQ75*1=2,1,TRUE,0)</f>
        <v>0</v>
      </c>
      <c r="AT75" s="3">
        <v>6</v>
      </c>
      <c r="AU75" s="3">
        <v>6</v>
      </c>
      <c r="AV75" s="36">
        <f t="shared" si="25"/>
        <v>0</v>
      </c>
      <c r="AW75" s="3">
        <f t="shared" si="26"/>
        <v>0</v>
      </c>
      <c r="AX75" s="3">
        <f t="shared" si="27"/>
        <v>8</v>
      </c>
      <c r="AY75" s="3">
        <f t="shared" si="28"/>
        <v>8</v>
      </c>
      <c r="AZ75" s="3">
        <f t="shared" si="29"/>
        <v>8</v>
      </c>
      <c r="BA75" s="3">
        <f t="shared" si="30"/>
        <v>8</v>
      </c>
      <c r="BB75" s="3">
        <f t="shared" si="31"/>
        <v>7</v>
      </c>
      <c r="BC75" s="3">
        <f t="shared" si="32"/>
        <v>3</v>
      </c>
      <c r="BD75" s="3">
        <f t="shared" si="33"/>
        <v>3</v>
      </c>
      <c r="BE75" s="3">
        <f t="shared" si="34"/>
        <v>9</v>
      </c>
      <c r="BF75" s="3">
        <f t="shared" si="35"/>
        <v>8</v>
      </c>
      <c r="BG75" s="3">
        <f t="shared" si="36"/>
        <v>8</v>
      </c>
      <c r="BH75" s="3">
        <f t="shared" si="37"/>
        <v>8</v>
      </c>
      <c r="BI75" s="3">
        <f t="shared" si="38"/>
        <v>8</v>
      </c>
      <c r="BJ75" s="3">
        <f t="shared" si="39"/>
        <v>3</v>
      </c>
      <c r="BK75" s="3">
        <f t="shared" si="40"/>
        <v>3</v>
      </c>
      <c r="CA75" s="3">
        <v>2</v>
      </c>
      <c r="CB75" s="3">
        <f t="shared" si="42"/>
        <v>0</v>
      </c>
      <c r="CC75" s="3">
        <v>6</v>
      </c>
      <c r="CG75" s="3">
        <v>8</v>
      </c>
      <c r="CH75" s="3">
        <v>9</v>
      </c>
      <c r="CI75" s="3">
        <f t="shared" si="41"/>
        <v>-1</v>
      </c>
    </row>
    <row r="76" spans="1:87" ht="14.6" customHeight="1" x14ac:dyDescent="0.4">
      <c r="A76" s="3">
        <v>202503</v>
      </c>
      <c r="B76" s="3">
        <v>1</v>
      </c>
      <c r="C76" s="3">
        <v>4</v>
      </c>
      <c r="D76" s="3">
        <v>4</v>
      </c>
      <c r="E76" s="3">
        <v>1</v>
      </c>
      <c r="F76" s="3">
        <v>1</v>
      </c>
      <c r="G76" s="3">
        <v>1</v>
      </c>
      <c r="H76" s="3">
        <v>1</v>
      </c>
      <c r="I76" s="3">
        <v>2</v>
      </c>
      <c r="J76" s="3">
        <v>2</v>
      </c>
      <c r="K76" s="3">
        <v>3</v>
      </c>
      <c r="L76" s="3">
        <v>6</v>
      </c>
      <c r="M76" s="3">
        <v>6</v>
      </c>
      <c r="N76" s="3">
        <v>6</v>
      </c>
      <c r="O76" s="3">
        <v>6</v>
      </c>
      <c r="P76" s="3">
        <v>7</v>
      </c>
      <c r="Q76" s="3">
        <v>1</v>
      </c>
      <c r="R76" s="3">
        <v>2</v>
      </c>
      <c r="S76" s="4" t="s">
        <v>122</v>
      </c>
      <c r="T76" s="4" t="s">
        <v>122</v>
      </c>
      <c r="U76" s="3">
        <v>6</v>
      </c>
      <c r="V76" s="3">
        <v>7</v>
      </c>
      <c r="W76" s="3">
        <v>6</v>
      </c>
      <c r="X76" s="3">
        <v>7</v>
      </c>
      <c r="Y76" s="3">
        <v>6</v>
      </c>
      <c r="Z76" s="3">
        <v>2</v>
      </c>
      <c r="AA76" s="3">
        <v>3</v>
      </c>
      <c r="AB76" s="4" t="s">
        <v>122</v>
      </c>
      <c r="AC76" s="4" t="s">
        <v>122</v>
      </c>
      <c r="AD76" s="3" t="s">
        <v>122</v>
      </c>
      <c r="AE76" s="3" t="s">
        <v>122</v>
      </c>
      <c r="AF76" s="3" t="s">
        <v>122</v>
      </c>
      <c r="AG76" s="3">
        <v>2</v>
      </c>
      <c r="AH76" s="3">
        <v>2</v>
      </c>
      <c r="AI76" s="3">
        <v>3</v>
      </c>
      <c r="AJ76" s="3">
        <v>2</v>
      </c>
      <c r="AK76" s="3">
        <v>3</v>
      </c>
      <c r="AL76" s="3">
        <v>2</v>
      </c>
      <c r="AM76" s="3">
        <v>3</v>
      </c>
      <c r="AN76" s="3">
        <v>1</v>
      </c>
      <c r="AO76" s="3">
        <v>4</v>
      </c>
      <c r="AP76" s="3">
        <v>2</v>
      </c>
      <c r="AQ76" s="42">
        <v>3</v>
      </c>
      <c r="AR76" cm="1">
        <f t="array" ref="AR76">_xlfn.IFS(AQ76*1=2,1,AQ76*1=4,1,TRUE,0)</f>
        <v>0</v>
      </c>
      <c r="AS76" cm="1">
        <f t="array" ref="AS76">_xlfn.IFS(AQ76*1=1,1,AQ76*1=2,1,TRUE,0)</f>
        <v>0</v>
      </c>
      <c r="AT76" s="3">
        <v>2</v>
      </c>
      <c r="AU76" s="3">
        <v>2</v>
      </c>
      <c r="AV76" s="36">
        <f t="shared" si="25"/>
        <v>0</v>
      </c>
      <c r="AW76" s="3">
        <f t="shared" si="26"/>
        <v>0</v>
      </c>
      <c r="AX76" s="3">
        <f t="shared" si="27"/>
        <v>6</v>
      </c>
      <c r="AY76" s="3">
        <f t="shared" si="28"/>
        <v>7</v>
      </c>
      <c r="AZ76" s="3">
        <f t="shared" si="29"/>
        <v>6</v>
      </c>
      <c r="BA76" s="3">
        <f t="shared" si="30"/>
        <v>7</v>
      </c>
      <c r="BB76" s="3">
        <f t="shared" si="31"/>
        <v>6</v>
      </c>
      <c r="BC76" s="3">
        <f t="shared" si="32"/>
        <v>2</v>
      </c>
      <c r="BD76" s="3">
        <f t="shared" si="33"/>
        <v>3</v>
      </c>
      <c r="BE76" s="3">
        <f t="shared" si="34"/>
        <v>6</v>
      </c>
      <c r="BF76" s="3">
        <f t="shared" si="35"/>
        <v>6</v>
      </c>
      <c r="BG76" s="3">
        <f t="shared" si="36"/>
        <v>6</v>
      </c>
      <c r="BH76" s="3">
        <f t="shared" si="37"/>
        <v>6</v>
      </c>
      <c r="BI76" s="3">
        <f t="shared" si="38"/>
        <v>7</v>
      </c>
      <c r="BJ76" s="3">
        <f t="shared" si="39"/>
        <v>1</v>
      </c>
      <c r="BK76" s="3">
        <f t="shared" si="40"/>
        <v>2</v>
      </c>
      <c r="CA76" s="3">
        <v>1</v>
      </c>
      <c r="CB76" s="3">
        <f t="shared" si="42"/>
        <v>1</v>
      </c>
      <c r="CC76" s="3">
        <v>2</v>
      </c>
      <c r="CG76" s="3">
        <v>6</v>
      </c>
      <c r="CH76" s="3">
        <v>6</v>
      </c>
      <c r="CI76" s="3">
        <f t="shared" si="41"/>
        <v>0</v>
      </c>
    </row>
    <row r="77" spans="1:87" ht="14.6" customHeight="1" x14ac:dyDescent="0.4">
      <c r="A77" s="3">
        <v>202503</v>
      </c>
      <c r="B77" s="3">
        <v>1</v>
      </c>
      <c r="C77" s="3">
        <v>2</v>
      </c>
      <c r="D77" s="3">
        <v>2</v>
      </c>
      <c r="E77" s="3">
        <v>1</v>
      </c>
      <c r="F77" s="3">
        <v>1</v>
      </c>
      <c r="G77" s="3">
        <v>1</v>
      </c>
      <c r="H77" s="3">
        <v>1</v>
      </c>
      <c r="I77" s="3">
        <v>2</v>
      </c>
      <c r="J77" s="3">
        <v>0</v>
      </c>
      <c r="K77" s="3" t="s">
        <v>122</v>
      </c>
      <c r="L77" s="3">
        <v>6</v>
      </c>
      <c r="M77" s="3">
        <v>8</v>
      </c>
      <c r="N77" s="3">
        <v>7</v>
      </c>
      <c r="O77" s="3">
        <v>6</v>
      </c>
      <c r="P77" s="3">
        <v>6</v>
      </c>
      <c r="Q77" s="3">
        <v>4</v>
      </c>
      <c r="R77" s="3">
        <v>3</v>
      </c>
      <c r="S77" s="4" t="s">
        <v>122</v>
      </c>
      <c r="T77" s="4" t="s">
        <v>122</v>
      </c>
      <c r="U77" s="3">
        <v>3</v>
      </c>
      <c r="V77" s="3">
        <v>7</v>
      </c>
      <c r="W77" s="3">
        <v>3</v>
      </c>
      <c r="X77" s="3">
        <v>4</v>
      </c>
      <c r="Y77" s="3">
        <v>4</v>
      </c>
      <c r="Z77" s="3">
        <v>3</v>
      </c>
      <c r="AA77" s="3">
        <v>2</v>
      </c>
      <c r="AB77" s="4" t="s">
        <v>122</v>
      </c>
      <c r="AC77" s="4" t="s">
        <v>122</v>
      </c>
      <c r="AD77" s="3" t="s">
        <v>122</v>
      </c>
      <c r="AE77" s="3" t="s">
        <v>122</v>
      </c>
      <c r="AF77" s="3" t="s">
        <v>122</v>
      </c>
      <c r="AG77" s="3">
        <v>0</v>
      </c>
      <c r="AH77" s="3">
        <v>0</v>
      </c>
      <c r="AI77" s="3">
        <v>3</v>
      </c>
      <c r="AJ77" s="3">
        <v>0</v>
      </c>
      <c r="AK77" s="3" t="s">
        <v>122</v>
      </c>
      <c r="AL77" s="3">
        <v>0</v>
      </c>
      <c r="AM77" s="3" t="s">
        <v>122</v>
      </c>
      <c r="AN77" s="3">
        <v>1</v>
      </c>
      <c r="AO77" s="3">
        <v>5</v>
      </c>
      <c r="AP77" s="3">
        <v>4</v>
      </c>
      <c r="AQ77" s="42">
        <v>4</v>
      </c>
      <c r="AR77" cm="1">
        <f t="array" ref="AR77">_xlfn.IFS(AQ77*1=2,1,AQ77*1=4,1,TRUE,0)</f>
        <v>1</v>
      </c>
      <c r="AS77" cm="1">
        <f t="array" ref="AS77">_xlfn.IFS(AQ77*1=1,1,AQ77*1=2,1,TRUE,0)</f>
        <v>0</v>
      </c>
      <c r="AT77" s="3">
        <v>0</v>
      </c>
      <c r="AU77" s="3">
        <v>0</v>
      </c>
      <c r="AV77" s="36">
        <f t="shared" si="25"/>
        <v>0</v>
      </c>
      <c r="AW77" s="3">
        <f t="shared" si="26"/>
        <v>0</v>
      </c>
      <c r="AX77" s="3">
        <f t="shared" si="27"/>
        <v>6</v>
      </c>
      <c r="AY77" s="3">
        <f t="shared" si="28"/>
        <v>8</v>
      </c>
      <c r="AZ77" s="3">
        <f t="shared" si="29"/>
        <v>7</v>
      </c>
      <c r="BA77" s="3">
        <f t="shared" si="30"/>
        <v>6</v>
      </c>
      <c r="BB77" s="3">
        <f t="shared" si="31"/>
        <v>6</v>
      </c>
      <c r="BC77" s="3">
        <f t="shared" si="32"/>
        <v>4</v>
      </c>
      <c r="BD77" s="3">
        <f t="shared" si="33"/>
        <v>3</v>
      </c>
      <c r="BE77" s="3">
        <f t="shared" si="34"/>
        <v>3</v>
      </c>
      <c r="BF77" s="3">
        <f t="shared" si="35"/>
        <v>7</v>
      </c>
      <c r="BG77" s="3">
        <f t="shared" si="36"/>
        <v>3</v>
      </c>
      <c r="BH77" s="3">
        <f t="shared" si="37"/>
        <v>4</v>
      </c>
      <c r="BI77" s="3">
        <f t="shared" si="38"/>
        <v>4</v>
      </c>
      <c r="BJ77" s="3">
        <f t="shared" si="39"/>
        <v>3</v>
      </c>
      <c r="BK77" s="3">
        <f t="shared" si="40"/>
        <v>2</v>
      </c>
      <c r="CA77" s="3">
        <v>1</v>
      </c>
      <c r="CB77" s="3">
        <f t="shared" si="42"/>
        <v>1</v>
      </c>
      <c r="CC77" s="3">
        <v>0</v>
      </c>
      <c r="CG77" s="3">
        <v>6</v>
      </c>
      <c r="CH77" s="3">
        <v>3</v>
      </c>
      <c r="CI77" s="3">
        <f t="shared" si="41"/>
        <v>3</v>
      </c>
    </row>
    <row r="78" spans="1:87" ht="14.6" customHeight="1" x14ac:dyDescent="0.4">
      <c r="A78" s="3">
        <v>202503</v>
      </c>
      <c r="B78" s="3">
        <v>1</v>
      </c>
      <c r="C78" s="3">
        <v>2</v>
      </c>
      <c r="D78" s="3">
        <v>2</v>
      </c>
      <c r="E78" s="3">
        <v>1</v>
      </c>
      <c r="F78" s="3">
        <v>2</v>
      </c>
      <c r="G78" s="3">
        <v>1</v>
      </c>
      <c r="H78" s="3">
        <v>1</v>
      </c>
      <c r="I78" s="3">
        <v>3</v>
      </c>
      <c r="J78" s="3">
        <v>5</v>
      </c>
      <c r="K78" s="3">
        <v>3</v>
      </c>
      <c r="L78" s="3">
        <v>3</v>
      </c>
      <c r="M78" s="3">
        <v>8</v>
      </c>
      <c r="N78" s="3">
        <v>6</v>
      </c>
      <c r="O78" s="3">
        <v>3</v>
      </c>
      <c r="P78" s="3">
        <v>8</v>
      </c>
      <c r="Q78" s="3">
        <v>4</v>
      </c>
      <c r="R78" s="3">
        <v>3</v>
      </c>
      <c r="S78" s="3">
        <v>0</v>
      </c>
      <c r="T78" s="3" t="s">
        <v>122</v>
      </c>
      <c r="U78" s="3">
        <v>7</v>
      </c>
      <c r="V78" s="3">
        <v>8</v>
      </c>
      <c r="W78" s="3">
        <v>6</v>
      </c>
      <c r="X78" s="3">
        <v>7</v>
      </c>
      <c r="Y78" s="3">
        <v>7</v>
      </c>
      <c r="Z78" s="3">
        <v>2</v>
      </c>
      <c r="AA78" s="3">
        <v>3</v>
      </c>
      <c r="AB78" s="3">
        <v>5</v>
      </c>
      <c r="AC78" s="4">
        <v>3</v>
      </c>
      <c r="AD78" s="3">
        <v>5</v>
      </c>
      <c r="AE78" s="3">
        <v>5</v>
      </c>
      <c r="AF78" s="3">
        <v>3</v>
      </c>
      <c r="AG78" s="3" t="s">
        <v>122</v>
      </c>
      <c r="AH78" s="3" t="s">
        <v>122</v>
      </c>
      <c r="AI78" s="3" t="s">
        <v>122</v>
      </c>
      <c r="AJ78" s="3" t="s">
        <v>122</v>
      </c>
      <c r="AK78" s="3" t="s">
        <v>122</v>
      </c>
      <c r="AL78" s="3" t="s">
        <v>122</v>
      </c>
      <c r="AM78" s="3" t="s">
        <v>122</v>
      </c>
      <c r="AN78" s="3">
        <v>2</v>
      </c>
      <c r="AO78" s="3">
        <v>5</v>
      </c>
      <c r="AP78" s="3">
        <v>3</v>
      </c>
      <c r="AQ78" s="42">
        <v>2</v>
      </c>
      <c r="AR78" cm="1">
        <f t="array" ref="AR78">_xlfn.IFS(AQ78*1=2,1,AQ78*1=4,1,TRUE,0)</f>
        <v>1</v>
      </c>
      <c r="AS78" cm="1">
        <f t="array" ref="AS78">_xlfn.IFS(AQ78*1=1,1,AQ78*1=2,1,TRUE,0)</f>
        <v>1</v>
      </c>
      <c r="AT78" s="3">
        <v>5</v>
      </c>
      <c r="AU78" s="3">
        <v>5</v>
      </c>
      <c r="AV78" s="36">
        <f t="shared" si="25"/>
        <v>0</v>
      </c>
      <c r="AW78" s="3">
        <f t="shared" si="26"/>
        <v>0</v>
      </c>
      <c r="AX78" s="3">
        <f t="shared" si="27"/>
        <v>3</v>
      </c>
      <c r="AY78" s="3">
        <f t="shared" si="28"/>
        <v>8</v>
      </c>
      <c r="AZ78" s="3">
        <f t="shared" si="29"/>
        <v>6</v>
      </c>
      <c r="BA78" s="3">
        <f t="shared" si="30"/>
        <v>3</v>
      </c>
      <c r="BB78" s="3">
        <f t="shared" si="31"/>
        <v>8</v>
      </c>
      <c r="BC78" s="3">
        <f t="shared" si="32"/>
        <v>4</v>
      </c>
      <c r="BD78" s="3">
        <f t="shared" si="33"/>
        <v>3</v>
      </c>
      <c r="BE78" s="3">
        <f t="shared" si="34"/>
        <v>7</v>
      </c>
      <c r="BF78" s="3">
        <f t="shared" si="35"/>
        <v>8</v>
      </c>
      <c r="BG78" s="3">
        <f t="shared" si="36"/>
        <v>6</v>
      </c>
      <c r="BH78" s="3">
        <f t="shared" si="37"/>
        <v>7</v>
      </c>
      <c r="BI78" s="3">
        <f t="shared" si="38"/>
        <v>7</v>
      </c>
      <c r="BJ78" s="3">
        <f t="shared" si="39"/>
        <v>2</v>
      </c>
      <c r="BK78" s="3">
        <f t="shared" si="40"/>
        <v>3</v>
      </c>
      <c r="CA78" s="3">
        <v>2</v>
      </c>
      <c r="CB78" s="3">
        <f t="shared" si="42"/>
        <v>0</v>
      </c>
      <c r="CC78" s="3">
        <v>5</v>
      </c>
      <c r="CG78" s="3">
        <v>3</v>
      </c>
      <c r="CH78" s="3">
        <v>7</v>
      </c>
      <c r="CI78" s="3">
        <f t="shared" si="41"/>
        <v>-4</v>
      </c>
    </row>
    <row r="79" spans="1:87" x14ac:dyDescent="0.4">
      <c r="A79" s="3">
        <v>202503</v>
      </c>
      <c r="B79" s="3">
        <v>1</v>
      </c>
      <c r="C79" s="3">
        <v>4</v>
      </c>
      <c r="D79" s="3">
        <v>5</v>
      </c>
      <c r="E79" s="3">
        <v>1</v>
      </c>
      <c r="F79" s="3">
        <v>1</v>
      </c>
      <c r="G79" s="3">
        <v>3</v>
      </c>
      <c r="H79" s="3">
        <v>3</v>
      </c>
      <c r="I79" s="3">
        <v>3</v>
      </c>
      <c r="J79" s="3">
        <v>6</v>
      </c>
      <c r="K79" s="3">
        <v>2</v>
      </c>
      <c r="L79" s="3">
        <v>7</v>
      </c>
      <c r="M79" s="3">
        <v>7</v>
      </c>
      <c r="N79" s="3">
        <v>7</v>
      </c>
      <c r="O79" s="3">
        <v>6</v>
      </c>
      <c r="P79" s="3">
        <v>8</v>
      </c>
      <c r="Q79" s="3">
        <v>3</v>
      </c>
      <c r="R79" s="3">
        <v>2</v>
      </c>
      <c r="S79" s="3" t="s">
        <v>122</v>
      </c>
      <c r="T79" s="3" t="s">
        <v>122</v>
      </c>
      <c r="U79" s="3">
        <v>7</v>
      </c>
      <c r="V79" s="3">
        <v>7</v>
      </c>
      <c r="W79" s="3">
        <v>5</v>
      </c>
      <c r="X79" s="3">
        <v>6</v>
      </c>
      <c r="Y79" s="3">
        <v>7</v>
      </c>
      <c r="Z79" s="3">
        <v>2</v>
      </c>
      <c r="AA79" s="3">
        <v>3</v>
      </c>
      <c r="AB79" s="3" t="s">
        <v>122</v>
      </c>
      <c r="AC79" s="3" t="s">
        <v>122</v>
      </c>
      <c r="AD79" s="3" t="s">
        <v>122</v>
      </c>
      <c r="AE79" s="3" t="s">
        <v>122</v>
      </c>
      <c r="AF79" s="3" t="s">
        <v>122</v>
      </c>
      <c r="AG79" s="3">
        <v>4.5</v>
      </c>
      <c r="AH79" s="3">
        <v>5</v>
      </c>
      <c r="AI79" s="3">
        <v>2</v>
      </c>
      <c r="AJ79" s="3">
        <v>4.5</v>
      </c>
      <c r="AK79" s="3">
        <v>2</v>
      </c>
      <c r="AL79" s="3">
        <v>4.5</v>
      </c>
      <c r="AM79" s="3">
        <v>2</v>
      </c>
      <c r="AN79" s="3">
        <v>1</v>
      </c>
      <c r="AO79" s="3">
        <v>3</v>
      </c>
      <c r="AP79" s="3">
        <v>-999</v>
      </c>
      <c r="AQ79" s="42">
        <v>3</v>
      </c>
      <c r="AR79" cm="1">
        <f t="array" ref="AR79">_xlfn.IFS(AQ79*1=2,1,AQ79*1=4,1,TRUE,0)</f>
        <v>0</v>
      </c>
      <c r="AS79" cm="1">
        <f t="array" ref="AS79">_xlfn.IFS(AQ79*1=1,1,AQ79*1=2,1,TRUE,0)</f>
        <v>0</v>
      </c>
      <c r="AT79" s="3">
        <v>4.5</v>
      </c>
      <c r="AU79" s="3">
        <v>4.5</v>
      </c>
      <c r="AV79" s="36">
        <f t="shared" si="25"/>
        <v>-1.5</v>
      </c>
      <c r="AW79" s="3">
        <f t="shared" si="26"/>
        <v>-1.5</v>
      </c>
      <c r="AX79" s="3">
        <f t="shared" si="27"/>
        <v>7</v>
      </c>
      <c r="AY79" s="3">
        <f t="shared" si="28"/>
        <v>7</v>
      </c>
      <c r="AZ79" s="3">
        <f t="shared" si="29"/>
        <v>5</v>
      </c>
      <c r="BA79" s="3">
        <f t="shared" si="30"/>
        <v>6</v>
      </c>
      <c r="BB79" s="3">
        <f t="shared" si="31"/>
        <v>7</v>
      </c>
      <c r="BC79" s="3">
        <f t="shared" si="32"/>
        <v>2</v>
      </c>
      <c r="BD79" s="3">
        <f t="shared" si="33"/>
        <v>3</v>
      </c>
      <c r="BE79" s="3">
        <f t="shared" si="34"/>
        <v>7</v>
      </c>
      <c r="BF79" s="3">
        <f t="shared" si="35"/>
        <v>7</v>
      </c>
      <c r="BG79" s="3">
        <f t="shared" si="36"/>
        <v>7</v>
      </c>
      <c r="BH79" s="3">
        <f t="shared" si="37"/>
        <v>6</v>
      </c>
      <c r="BI79" s="3">
        <f t="shared" si="38"/>
        <v>8</v>
      </c>
      <c r="BJ79" s="3">
        <f t="shared" si="39"/>
        <v>3</v>
      </c>
      <c r="BK79" s="3">
        <f t="shared" si="40"/>
        <v>2</v>
      </c>
      <c r="CA79" s="3">
        <v>1</v>
      </c>
      <c r="CB79" s="3">
        <f t="shared" si="42"/>
        <v>1</v>
      </c>
      <c r="CC79" s="3">
        <v>6</v>
      </c>
      <c r="CG79" s="3">
        <v>7</v>
      </c>
      <c r="CH79" s="3">
        <v>7</v>
      </c>
      <c r="CI79" s="3">
        <f t="shared" si="41"/>
        <v>0</v>
      </c>
    </row>
    <row r="80" spans="1:87" x14ac:dyDescent="0.4">
      <c r="A80" s="3">
        <v>202503</v>
      </c>
      <c r="B80" s="3">
        <v>1</v>
      </c>
      <c r="C80" s="3">
        <v>2</v>
      </c>
      <c r="D80" s="3">
        <v>2</v>
      </c>
      <c r="E80" s="3">
        <v>2</v>
      </c>
      <c r="F80" s="3">
        <v>4</v>
      </c>
      <c r="G80" s="3">
        <v>4</v>
      </c>
      <c r="H80" s="3">
        <v>2</v>
      </c>
      <c r="I80" s="3">
        <v>2</v>
      </c>
      <c r="J80" s="3">
        <v>6.5</v>
      </c>
      <c r="K80" s="3">
        <v>3</v>
      </c>
      <c r="L80" s="3">
        <v>9</v>
      </c>
      <c r="M80" s="3">
        <v>5</v>
      </c>
      <c r="N80" s="3">
        <v>9</v>
      </c>
      <c r="O80" s="3">
        <v>9</v>
      </c>
      <c r="P80" s="3">
        <v>9</v>
      </c>
      <c r="Q80" s="3">
        <v>1</v>
      </c>
      <c r="R80" s="3">
        <v>5</v>
      </c>
      <c r="S80" s="4" t="s">
        <v>122</v>
      </c>
      <c r="T80" s="4" t="s">
        <v>122</v>
      </c>
      <c r="U80" s="3">
        <v>4</v>
      </c>
      <c r="V80" s="3">
        <v>5</v>
      </c>
      <c r="W80" s="3">
        <v>3</v>
      </c>
      <c r="X80" s="3">
        <v>4</v>
      </c>
      <c r="Y80" s="3">
        <v>7</v>
      </c>
      <c r="Z80" s="3">
        <v>2</v>
      </c>
      <c r="AA80" s="3">
        <v>4</v>
      </c>
      <c r="AB80" s="4" t="s">
        <v>122</v>
      </c>
      <c r="AC80" s="4" t="s">
        <v>122</v>
      </c>
      <c r="AD80" s="3" t="s">
        <v>122</v>
      </c>
      <c r="AE80" s="3" t="s">
        <v>122</v>
      </c>
      <c r="AF80" s="3" t="s">
        <v>122</v>
      </c>
      <c r="AG80" s="3">
        <v>6.5</v>
      </c>
      <c r="AH80" s="3">
        <v>6.5</v>
      </c>
      <c r="AI80" s="3">
        <v>3</v>
      </c>
      <c r="AJ80" s="3">
        <v>6</v>
      </c>
      <c r="AK80" s="3">
        <v>1</v>
      </c>
      <c r="AL80" s="3">
        <v>7.5</v>
      </c>
      <c r="AM80" s="3">
        <v>3</v>
      </c>
      <c r="AN80" s="3">
        <v>1</v>
      </c>
      <c r="AO80" s="3">
        <v>3</v>
      </c>
      <c r="AP80" s="3">
        <v>3</v>
      </c>
      <c r="AQ80" s="42">
        <v>4</v>
      </c>
      <c r="AR80" cm="1">
        <f t="array" ref="AR80">_xlfn.IFS(AQ80*1=2,1,AQ80*1=4,1,TRUE,0)</f>
        <v>1</v>
      </c>
      <c r="AS80" cm="1">
        <f t="array" ref="AS80">_xlfn.IFS(AQ80*1=1,1,AQ80*1=2,1,TRUE,0)</f>
        <v>0</v>
      </c>
      <c r="AT80" s="3">
        <v>6</v>
      </c>
      <c r="AU80" s="3">
        <v>7.5</v>
      </c>
      <c r="AV80" s="36">
        <f t="shared" si="25"/>
        <v>1</v>
      </c>
      <c r="AW80" s="3">
        <f t="shared" si="26"/>
        <v>-0.5</v>
      </c>
      <c r="AX80" s="3">
        <f t="shared" si="27"/>
        <v>9</v>
      </c>
      <c r="AY80" s="3">
        <f t="shared" si="28"/>
        <v>5</v>
      </c>
      <c r="AZ80" s="3">
        <f t="shared" si="29"/>
        <v>9</v>
      </c>
      <c r="BA80" s="3">
        <f t="shared" si="30"/>
        <v>9</v>
      </c>
      <c r="BB80" s="3">
        <f t="shared" si="31"/>
        <v>9</v>
      </c>
      <c r="BC80" s="3">
        <f t="shared" si="32"/>
        <v>1</v>
      </c>
      <c r="BD80" s="3">
        <f t="shared" si="33"/>
        <v>5</v>
      </c>
      <c r="BE80" s="3">
        <f t="shared" si="34"/>
        <v>4</v>
      </c>
      <c r="BF80" s="3">
        <f t="shared" si="35"/>
        <v>5</v>
      </c>
      <c r="BG80" s="3">
        <f t="shared" si="36"/>
        <v>3</v>
      </c>
      <c r="BH80" s="3">
        <f t="shared" si="37"/>
        <v>4</v>
      </c>
      <c r="BI80" s="3">
        <f t="shared" si="38"/>
        <v>7</v>
      </c>
      <c r="BJ80" s="3">
        <f t="shared" si="39"/>
        <v>2</v>
      </c>
      <c r="BK80" s="3">
        <f t="shared" si="40"/>
        <v>4</v>
      </c>
      <c r="CA80" s="3">
        <v>1</v>
      </c>
      <c r="CB80" s="3">
        <f t="shared" si="42"/>
        <v>1</v>
      </c>
      <c r="CC80" s="3">
        <v>6.5</v>
      </c>
      <c r="CG80" s="3">
        <v>9</v>
      </c>
      <c r="CH80" s="3">
        <v>4</v>
      </c>
      <c r="CI80" s="3">
        <f t="shared" si="41"/>
        <v>5</v>
      </c>
    </row>
    <row r="81" spans="1:87" ht="14.6" customHeight="1" x14ac:dyDescent="0.4">
      <c r="A81" s="3">
        <v>202503</v>
      </c>
      <c r="B81" s="3">
        <v>1</v>
      </c>
      <c r="C81" s="3">
        <v>2</v>
      </c>
      <c r="D81" s="3">
        <v>3</v>
      </c>
      <c r="E81" s="3">
        <v>2</v>
      </c>
      <c r="F81" s="3">
        <v>2</v>
      </c>
      <c r="G81" s="3">
        <v>2</v>
      </c>
      <c r="H81" s="3">
        <v>2</v>
      </c>
      <c r="I81" s="3">
        <v>2</v>
      </c>
      <c r="J81" s="3">
        <v>4</v>
      </c>
      <c r="K81" s="3">
        <v>2</v>
      </c>
      <c r="L81" s="3">
        <v>7</v>
      </c>
      <c r="M81" s="3">
        <v>5</v>
      </c>
      <c r="N81" s="3">
        <v>5</v>
      </c>
      <c r="O81" s="3">
        <v>7</v>
      </c>
      <c r="P81" s="3">
        <v>7</v>
      </c>
      <c r="Q81" s="3">
        <v>3</v>
      </c>
      <c r="R81" s="3">
        <v>4</v>
      </c>
      <c r="S81" s="3">
        <v>4</v>
      </c>
      <c r="T81" s="3">
        <v>2</v>
      </c>
      <c r="U81" s="3">
        <v>3</v>
      </c>
      <c r="V81" s="3">
        <v>5</v>
      </c>
      <c r="W81" s="3">
        <v>4</v>
      </c>
      <c r="X81" s="3">
        <v>3</v>
      </c>
      <c r="Y81" s="3">
        <v>3</v>
      </c>
      <c r="Z81" s="3">
        <v>1</v>
      </c>
      <c r="AA81" s="3">
        <v>2</v>
      </c>
      <c r="AB81" s="3">
        <v>0</v>
      </c>
      <c r="AC81" s="4" t="s">
        <v>122</v>
      </c>
      <c r="AD81" s="3">
        <v>0</v>
      </c>
      <c r="AE81" s="3">
        <v>4</v>
      </c>
      <c r="AF81" s="3">
        <v>2</v>
      </c>
      <c r="AG81" s="3" t="s">
        <v>122</v>
      </c>
      <c r="AH81" s="3" t="s">
        <v>122</v>
      </c>
      <c r="AI81" s="3" t="s">
        <v>122</v>
      </c>
      <c r="AJ81" s="3" t="s">
        <v>122</v>
      </c>
      <c r="AK81" s="3" t="s">
        <v>122</v>
      </c>
      <c r="AL81" s="3" t="s">
        <v>122</v>
      </c>
      <c r="AM81" s="3" t="s">
        <v>122</v>
      </c>
      <c r="AN81" s="3">
        <v>2</v>
      </c>
      <c r="AO81" s="3">
        <v>2</v>
      </c>
      <c r="AP81" s="3">
        <v>3</v>
      </c>
      <c r="AQ81" s="42">
        <v>2</v>
      </c>
      <c r="AR81" cm="1">
        <f t="array" ref="AR81">_xlfn.IFS(AQ81*1=2,1,AQ81*1=4,1,TRUE,0)</f>
        <v>1</v>
      </c>
      <c r="AS81" cm="1">
        <f t="array" ref="AS81">_xlfn.IFS(AQ81*1=1,1,AQ81*1=2,1,TRUE,0)</f>
        <v>1</v>
      </c>
      <c r="AT81" s="3">
        <v>0</v>
      </c>
      <c r="AU81" s="3">
        <v>4</v>
      </c>
      <c r="AV81" s="36">
        <f t="shared" si="25"/>
        <v>0</v>
      </c>
      <c r="AW81" s="3">
        <f t="shared" si="26"/>
        <v>-4</v>
      </c>
      <c r="AX81" s="3">
        <f t="shared" si="27"/>
        <v>7</v>
      </c>
      <c r="AY81" s="3">
        <f t="shared" si="28"/>
        <v>5</v>
      </c>
      <c r="AZ81" s="3">
        <f t="shared" si="29"/>
        <v>5</v>
      </c>
      <c r="BA81" s="3">
        <f t="shared" si="30"/>
        <v>7</v>
      </c>
      <c r="BB81" s="3">
        <f t="shared" si="31"/>
        <v>7</v>
      </c>
      <c r="BC81" s="3">
        <f t="shared" si="32"/>
        <v>3</v>
      </c>
      <c r="BD81" s="3">
        <f t="shared" si="33"/>
        <v>4</v>
      </c>
      <c r="BE81" s="3">
        <f t="shared" si="34"/>
        <v>3</v>
      </c>
      <c r="BF81" s="3">
        <f t="shared" si="35"/>
        <v>5</v>
      </c>
      <c r="BG81" s="3">
        <f t="shared" si="36"/>
        <v>4</v>
      </c>
      <c r="BH81" s="3">
        <f t="shared" si="37"/>
        <v>3</v>
      </c>
      <c r="BI81" s="3">
        <f t="shared" si="38"/>
        <v>3</v>
      </c>
      <c r="BJ81" s="3">
        <f t="shared" si="39"/>
        <v>1</v>
      </c>
      <c r="BK81" s="3">
        <f t="shared" si="40"/>
        <v>2</v>
      </c>
      <c r="CA81" s="3">
        <v>2</v>
      </c>
      <c r="CB81" s="3">
        <f t="shared" si="42"/>
        <v>0</v>
      </c>
      <c r="CC81" s="3">
        <v>4</v>
      </c>
      <c r="CG81" s="3">
        <v>7</v>
      </c>
      <c r="CH81" s="3">
        <v>3</v>
      </c>
      <c r="CI81" s="3">
        <f t="shared" si="41"/>
        <v>4</v>
      </c>
    </row>
    <row r="82" spans="1:87" x14ac:dyDescent="0.4">
      <c r="A82" s="3">
        <v>202503</v>
      </c>
      <c r="B82" s="3">
        <v>1</v>
      </c>
      <c r="C82" s="3">
        <v>2</v>
      </c>
      <c r="D82" s="3">
        <v>2</v>
      </c>
      <c r="E82" s="3">
        <v>1</v>
      </c>
      <c r="F82" s="3">
        <v>2</v>
      </c>
      <c r="G82" s="3">
        <v>4</v>
      </c>
      <c r="H82" s="3">
        <v>2</v>
      </c>
      <c r="I82" s="3">
        <v>3</v>
      </c>
      <c r="J82" s="3">
        <v>5.5</v>
      </c>
      <c r="K82" s="3">
        <v>3</v>
      </c>
      <c r="L82" s="3">
        <v>7</v>
      </c>
      <c r="M82" s="3">
        <v>7</v>
      </c>
      <c r="N82" s="3">
        <v>8</v>
      </c>
      <c r="O82" s="3">
        <v>7</v>
      </c>
      <c r="P82" s="3">
        <v>8</v>
      </c>
      <c r="Q82" s="3">
        <v>3</v>
      </c>
      <c r="R82" s="3">
        <v>3</v>
      </c>
      <c r="S82" s="3">
        <v>6</v>
      </c>
      <c r="T82" s="3">
        <v>3</v>
      </c>
      <c r="U82" s="3">
        <v>3</v>
      </c>
      <c r="V82" s="3">
        <v>8</v>
      </c>
      <c r="W82" s="3">
        <v>4</v>
      </c>
      <c r="X82" s="3">
        <v>3</v>
      </c>
      <c r="Y82" s="3">
        <v>7</v>
      </c>
      <c r="Z82" s="3">
        <v>2</v>
      </c>
      <c r="AA82" s="3">
        <v>1</v>
      </c>
      <c r="AB82" s="3">
        <v>5.5</v>
      </c>
      <c r="AC82" s="3">
        <v>3</v>
      </c>
      <c r="AD82" s="3">
        <v>7.5</v>
      </c>
      <c r="AE82" s="3">
        <v>0</v>
      </c>
      <c r="AF82" s="3">
        <v>3</v>
      </c>
      <c r="AG82" s="3" t="s">
        <v>122</v>
      </c>
      <c r="AH82" s="3" t="s">
        <v>122</v>
      </c>
      <c r="AI82" s="3" t="s">
        <v>122</v>
      </c>
      <c r="AJ82" s="3" t="s">
        <v>122</v>
      </c>
      <c r="AK82" s="3" t="s">
        <v>122</v>
      </c>
      <c r="AL82" s="3" t="s">
        <v>122</v>
      </c>
      <c r="AM82" s="3" t="s">
        <v>122</v>
      </c>
      <c r="AN82" s="3">
        <v>2</v>
      </c>
      <c r="AO82" s="3">
        <v>3</v>
      </c>
      <c r="AP82" s="3">
        <v>4</v>
      </c>
      <c r="AQ82" s="42">
        <v>1</v>
      </c>
      <c r="AR82" cm="1">
        <f t="array" ref="AR82">_xlfn.IFS(AQ82*1=2,1,AQ82*1=4,1,TRUE,0)</f>
        <v>0</v>
      </c>
      <c r="AS82" cm="1">
        <f t="array" ref="AS82">_xlfn.IFS(AQ82*1=1,1,AQ82*1=2,1,TRUE,0)</f>
        <v>1</v>
      </c>
      <c r="AT82" s="3">
        <v>7.5</v>
      </c>
      <c r="AU82" s="3">
        <v>0</v>
      </c>
      <c r="AV82" s="36">
        <f t="shared" si="25"/>
        <v>-5.5</v>
      </c>
      <c r="AW82" s="3">
        <f t="shared" si="26"/>
        <v>2</v>
      </c>
      <c r="AX82" s="3">
        <f t="shared" si="27"/>
        <v>3</v>
      </c>
      <c r="AY82" s="3">
        <f t="shared" si="28"/>
        <v>8</v>
      </c>
      <c r="AZ82" s="3">
        <f t="shared" si="29"/>
        <v>4</v>
      </c>
      <c r="BA82" s="3">
        <f t="shared" si="30"/>
        <v>3</v>
      </c>
      <c r="BB82" s="3">
        <f t="shared" si="31"/>
        <v>7</v>
      </c>
      <c r="BC82" s="3">
        <f t="shared" si="32"/>
        <v>2</v>
      </c>
      <c r="BD82" s="3">
        <f t="shared" si="33"/>
        <v>1</v>
      </c>
      <c r="BE82" s="3">
        <f t="shared" si="34"/>
        <v>7</v>
      </c>
      <c r="BF82" s="3">
        <f t="shared" si="35"/>
        <v>7</v>
      </c>
      <c r="BG82" s="3">
        <f t="shared" si="36"/>
        <v>8</v>
      </c>
      <c r="BH82" s="3">
        <f t="shared" si="37"/>
        <v>7</v>
      </c>
      <c r="BI82" s="3">
        <f t="shared" si="38"/>
        <v>8</v>
      </c>
      <c r="BJ82" s="3">
        <f t="shared" si="39"/>
        <v>3</v>
      </c>
      <c r="BK82" s="3">
        <f t="shared" si="40"/>
        <v>3</v>
      </c>
      <c r="CA82" s="3">
        <v>2</v>
      </c>
      <c r="CB82" s="3">
        <f t="shared" si="42"/>
        <v>0</v>
      </c>
      <c r="CC82" s="3">
        <v>5.5</v>
      </c>
      <c r="CG82" s="3">
        <v>3</v>
      </c>
      <c r="CH82" s="3">
        <v>7</v>
      </c>
      <c r="CI82" s="3">
        <f t="shared" si="41"/>
        <v>-4</v>
      </c>
    </row>
    <row r="83" spans="1:87" ht="14.6" customHeight="1" x14ac:dyDescent="0.4">
      <c r="A83" s="3">
        <v>202503</v>
      </c>
      <c r="B83" s="3">
        <v>1</v>
      </c>
      <c r="C83" s="3">
        <v>3</v>
      </c>
      <c r="D83" s="3">
        <v>3</v>
      </c>
      <c r="E83" s="3">
        <v>1</v>
      </c>
      <c r="F83" s="3">
        <v>1</v>
      </c>
      <c r="G83" s="3">
        <v>1</v>
      </c>
      <c r="H83" s="3">
        <v>1</v>
      </c>
      <c r="I83" s="3">
        <v>2</v>
      </c>
      <c r="J83" s="3">
        <v>4</v>
      </c>
      <c r="K83" s="4">
        <v>2</v>
      </c>
      <c r="L83" s="3">
        <v>4</v>
      </c>
      <c r="M83" s="3">
        <v>5</v>
      </c>
      <c r="N83" s="3">
        <v>6</v>
      </c>
      <c r="O83" s="3">
        <v>3</v>
      </c>
      <c r="P83" s="3">
        <v>7</v>
      </c>
      <c r="Q83" s="3">
        <v>3</v>
      </c>
      <c r="R83" s="3">
        <v>4</v>
      </c>
      <c r="S83" s="4" t="s">
        <v>122</v>
      </c>
      <c r="T83" s="4" t="s">
        <v>122</v>
      </c>
      <c r="U83" s="3">
        <v>6</v>
      </c>
      <c r="V83" s="3">
        <v>5</v>
      </c>
      <c r="W83" s="3">
        <v>7</v>
      </c>
      <c r="X83" s="3">
        <v>6</v>
      </c>
      <c r="Y83" s="3">
        <v>6</v>
      </c>
      <c r="Z83" s="3">
        <v>3</v>
      </c>
      <c r="AA83" s="3">
        <v>3</v>
      </c>
      <c r="AB83" s="4" t="s">
        <v>122</v>
      </c>
      <c r="AC83" s="4" t="s">
        <v>122</v>
      </c>
      <c r="AD83" s="3" t="s">
        <v>122</v>
      </c>
      <c r="AE83" s="3" t="s">
        <v>122</v>
      </c>
      <c r="AF83" s="3" t="s">
        <v>122</v>
      </c>
      <c r="AG83" s="3">
        <v>5</v>
      </c>
      <c r="AH83" s="3">
        <v>5</v>
      </c>
      <c r="AI83" s="3">
        <v>2</v>
      </c>
      <c r="AJ83" s="3">
        <v>4</v>
      </c>
      <c r="AK83" s="3">
        <v>2</v>
      </c>
      <c r="AL83" s="3">
        <v>4</v>
      </c>
      <c r="AM83" s="3">
        <v>2</v>
      </c>
      <c r="AN83" s="3">
        <v>1</v>
      </c>
      <c r="AO83" s="3">
        <v>5</v>
      </c>
      <c r="AP83" s="3">
        <v>5</v>
      </c>
      <c r="AQ83" s="42">
        <v>3</v>
      </c>
      <c r="AR83" cm="1">
        <f t="array" ref="AR83">_xlfn.IFS(AQ83*1=2,1,AQ83*1=4,1,TRUE,0)</f>
        <v>0</v>
      </c>
      <c r="AS83" cm="1">
        <f t="array" ref="AS83">_xlfn.IFS(AQ83*1=1,1,AQ83*1=2,1,TRUE,0)</f>
        <v>0</v>
      </c>
      <c r="AT83" s="3">
        <v>4</v>
      </c>
      <c r="AU83" s="3">
        <v>4</v>
      </c>
      <c r="AV83" s="36">
        <f t="shared" si="25"/>
        <v>0</v>
      </c>
      <c r="AW83" s="3">
        <f t="shared" si="26"/>
        <v>0</v>
      </c>
      <c r="AX83" s="3">
        <f t="shared" si="27"/>
        <v>6</v>
      </c>
      <c r="AY83" s="3">
        <f t="shared" si="28"/>
        <v>5</v>
      </c>
      <c r="AZ83" s="3">
        <f t="shared" si="29"/>
        <v>7</v>
      </c>
      <c r="BA83" s="3">
        <f t="shared" si="30"/>
        <v>6</v>
      </c>
      <c r="BB83" s="3">
        <f t="shared" si="31"/>
        <v>6</v>
      </c>
      <c r="BC83" s="3">
        <f t="shared" si="32"/>
        <v>3</v>
      </c>
      <c r="BD83" s="3">
        <f t="shared" si="33"/>
        <v>3</v>
      </c>
      <c r="BE83" s="3">
        <f t="shared" si="34"/>
        <v>4</v>
      </c>
      <c r="BF83" s="3">
        <f t="shared" si="35"/>
        <v>5</v>
      </c>
      <c r="BG83" s="3">
        <f t="shared" si="36"/>
        <v>6</v>
      </c>
      <c r="BH83" s="3">
        <f t="shared" si="37"/>
        <v>3</v>
      </c>
      <c r="BI83" s="3">
        <f t="shared" si="38"/>
        <v>7</v>
      </c>
      <c r="BJ83" s="3">
        <f t="shared" si="39"/>
        <v>3</v>
      </c>
      <c r="BK83" s="3">
        <f t="shared" si="40"/>
        <v>4</v>
      </c>
      <c r="CA83" s="3">
        <v>1</v>
      </c>
      <c r="CB83" s="3">
        <f t="shared" si="42"/>
        <v>1</v>
      </c>
      <c r="CC83" s="3">
        <v>4</v>
      </c>
      <c r="CG83" s="3">
        <v>6</v>
      </c>
      <c r="CH83" s="3">
        <v>4</v>
      </c>
      <c r="CI83" s="3">
        <f t="shared" si="41"/>
        <v>2</v>
      </c>
    </row>
    <row r="84" spans="1:87" ht="14.6" customHeight="1" x14ac:dyDescent="0.4">
      <c r="A84" s="3">
        <v>202503</v>
      </c>
      <c r="B84" s="3">
        <v>1</v>
      </c>
      <c r="C84" s="3">
        <v>5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3</v>
      </c>
      <c r="J84" s="3">
        <v>4</v>
      </c>
      <c r="K84" s="3">
        <v>2</v>
      </c>
      <c r="L84" s="3">
        <v>8</v>
      </c>
      <c r="M84" s="3">
        <v>8</v>
      </c>
      <c r="N84" s="3">
        <v>8</v>
      </c>
      <c r="O84" s="3">
        <v>7</v>
      </c>
      <c r="P84" s="3">
        <v>9</v>
      </c>
      <c r="Q84" s="3">
        <v>2</v>
      </c>
      <c r="R84" s="3">
        <v>3</v>
      </c>
      <c r="S84" s="4">
        <v>4</v>
      </c>
      <c r="T84" s="4">
        <v>3</v>
      </c>
      <c r="U84" s="3">
        <v>6</v>
      </c>
      <c r="V84" s="3">
        <v>6</v>
      </c>
      <c r="W84" s="3">
        <v>6</v>
      </c>
      <c r="X84" s="3">
        <v>6</v>
      </c>
      <c r="Y84" s="3">
        <v>6</v>
      </c>
      <c r="Z84" s="3">
        <v>2</v>
      </c>
      <c r="AA84" s="3">
        <v>2</v>
      </c>
      <c r="AB84" s="4">
        <v>0</v>
      </c>
      <c r="AC84" s="4" t="s">
        <v>122</v>
      </c>
      <c r="AD84" s="3">
        <v>0</v>
      </c>
      <c r="AE84" s="3">
        <v>0</v>
      </c>
      <c r="AF84" s="3">
        <v>2</v>
      </c>
      <c r="AG84" s="3" t="s">
        <v>122</v>
      </c>
      <c r="AH84" s="3" t="s">
        <v>122</v>
      </c>
      <c r="AI84" s="3" t="s">
        <v>122</v>
      </c>
      <c r="AJ84" s="3" t="s">
        <v>122</v>
      </c>
      <c r="AK84" s="3" t="s">
        <v>122</v>
      </c>
      <c r="AL84" s="3" t="s">
        <v>122</v>
      </c>
      <c r="AM84" s="3" t="s">
        <v>122</v>
      </c>
      <c r="AN84" s="3">
        <v>1</v>
      </c>
      <c r="AO84" s="3">
        <v>4</v>
      </c>
      <c r="AP84" s="3">
        <v>-999</v>
      </c>
      <c r="AQ84" s="42">
        <v>1</v>
      </c>
      <c r="AR84" cm="1">
        <f t="array" ref="AR84">_xlfn.IFS(AQ84*1=2,1,AQ84*1=4,1,TRUE,0)</f>
        <v>0</v>
      </c>
      <c r="AS84" cm="1">
        <f t="array" ref="AS84">_xlfn.IFS(AQ84*1=1,1,AQ84*1=2,1,TRUE,0)</f>
        <v>1</v>
      </c>
      <c r="AT84" s="3">
        <v>0</v>
      </c>
      <c r="AU84" s="3">
        <v>0</v>
      </c>
      <c r="AV84" s="36">
        <f t="shared" si="25"/>
        <v>-4</v>
      </c>
      <c r="AW84" s="3">
        <f t="shared" si="26"/>
        <v>-4</v>
      </c>
      <c r="AX84" s="3">
        <f t="shared" si="27"/>
        <v>6</v>
      </c>
      <c r="AY84" s="3">
        <f t="shared" si="28"/>
        <v>6</v>
      </c>
      <c r="AZ84" s="3">
        <f t="shared" si="29"/>
        <v>6</v>
      </c>
      <c r="BA84" s="3">
        <f t="shared" si="30"/>
        <v>6</v>
      </c>
      <c r="BB84" s="3">
        <f t="shared" si="31"/>
        <v>6</v>
      </c>
      <c r="BC84" s="3">
        <f t="shared" si="32"/>
        <v>2</v>
      </c>
      <c r="BD84" s="3">
        <f t="shared" si="33"/>
        <v>2</v>
      </c>
      <c r="BE84" s="3">
        <f t="shared" si="34"/>
        <v>8</v>
      </c>
      <c r="BF84" s="3">
        <f t="shared" si="35"/>
        <v>8</v>
      </c>
      <c r="BG84" s="3">
        <f t="shared" si="36"/>
        <v>8</v>
      </c>
      <c r="BH84" s="3">
        <f t="shared" si="37"/>
        <v>7</v>
      </c>
      <c r="BI84" s="3">
        <f t="shared" si="38"/>
        <v>9</v>
      </c>
      <c r="BJ84" s="3">
        <f t="shared" si="39"/>
        <v>2</v>
      </c>
      <c r="BK84" s="3">
        <f t="shared" si="40"/>
        <v>3</v>
      </c>
      <c r="CA84" s="3">
        <v>1</v>
      </c>
      <c r="CB84" s="3">
        <f t="shared" si="42"/>
        <v>1</v>
      </c>
      <c r="CC84" s="3">
        <v>4</v>
      </c>
      <c r="CG84" s="3">
        <v>6</v>
      </c>
      <c r="CH84" s="3">
        <v>8</v>
      </c>
      <c r="CI84" s="3">
        <f t="shared" si="41"/>
        <v>-2</v>
      </c>
    </row>
    <row r="85" spans="1:87" ht="14.6" customHeight="1" x14ac:dyDescent="0.4">
      <c r="A85" s="3">
        <v>202503</v>
      </c>
      <c r="B85" s="3">
        <v>1</v>
      </c>
      <c r="C85" s="3">
        <v>5</v>
      </c>
      <c r="D85" s="3">
        <v>2</v>
      </c>
      <c r="E85" s="3">
        <v>2</v>
      </c>
      <c r="F85" s="3">
        <v>1</v>
      </c>
      <c r="G85" s="3">
        <v>1</v>
      </c>
      <c r="H85" s="3">
        <v>1</v>
      </c>
      <c r="I85" s="3">
        <v>2</v>
      </c>
      <c r="J85" s="3">
        <v>6</v>
      </c>
      <c r="K85" s="3">
        <v>2</v>
      </c>
      <c r="L85" s="3">
        <v>8</v>
      </c>
      <c r="M85" s="3">
        <v>7</v>
      </c>
      <c r="N85" s="3">
        <v>8</v>
      </c>
      <c r="O85" s="3">
        <v>7</v>
      </c>
      <c r="P85" s="3">
        <v>5</v>
      </c>
      <c r="Q85" s="3">
        <v>3</v>
      </c>
      <c r="R85" s="3">
        <v>4</v>
      </c>
      <c r="S85" s="3">
        <v>6</v>
      </c>
      <c r="T85" s="3">
        <v>3</v>
      </c>
      <c r="U85" s="3">
        <v>5</v>
      </c>
      <c r="V85" s="3">
        <v>5</v>
      </c>
      <c r="W85" s="3">
        <v>5</v>
      </c>
      <c r="X85" s="3">
        <v>5</v>
      </c>
      <c r="Y85" s="3">
        <v>7</v>
      </c>
      <c r="Z85" s="3">
        <v>1</v>
      </c>
      <c r="AA85" s="3">
        <v>2</v>
      </c>
      <c r="AB85" s="3">
        <v>6</v>
      </c>
      <c r="AC85" s="3">
        <v>2</v>
      </c>
      <c r="AD85" s="3">
        <v>6</v>
      </c>
      <c r="AE85" s="3">
        <v>6</v>
      </c>
      <c r="AF85" s="3">
        <v>3</v>
      </c>
      <c r="AG85" s="3" t="s">
        <v>122</v>
      </c>
      <c r="AH85" s="3" t="s">
        <v>122</v>
      </c>
      <c r="AI85" s="3" t="s">
        <v>122</v>
      </c>
      <c r="AJ85" s="3" t="s">
        <v>122</v>
      </c>
      <c r="AK85" s="3" t="s">
        <v>122</v>
      </c>
      <c r="AL85" s="3" t="s">
        <v>122</v>
      </c>
      <c r="AM85" s="3" t="s">
        <v>122</v>
      </c>
      <c r="AN85" s="3">
        <v>1</v>
      </c>
      <c r="AO85" s="3">
        <v>5</v>
      </c>
      <c r="AP85" s="3">
        <v>3</v>
      </c>
      <c r="AQ85" s="42">
        <v>2</v>
      </c>
      <c r="AR85" cm="1">
        <f t="array" ref="AR85">_xlfn.IFS(AQ85*1=2,1,AQ85*1=4,1,TRUE,0)</f>
        <v>1</v>
      </c>
      <c r="AS85" cm="1">
        <f t="array" ref="AS85">_xlfn.IFS(AQ85*1=1,1,AQ85*1=2,1,TRUE,0)</f>
        <v>1</v>
      </c>
      <c r="AT85" s="3">
        <v>6</v>
      </c>
      <c r="AU85" s="3">
        <v>6</v>
      </c>
      <c r="AV85" s="36">
        <f t="shared" si="25"/>
        <v>0</v>
      </c>
      <c r="AW85" s="3">
        <f t="shared" si="26"/>
        <v>0</v>
      </c>
      <c r="AX85" s="3">
        <f t="shared" si="27"/>
        <v>8</v>
      </c>
      <c r="AY85" s="3">
        <f t="shared" si="28"/>
        <v>7</v>
      </c>
      <c r="AZ85" s="3">
        <f t="shared" si="29"/>
        <v>8</v>
      </c>
      <c r="BA85" s="3">
        <f t="shared" si="30"/>
        <v>7</v>
      </c>
      <c r="BB85" s="3">
        <f t="shared" si="31"/>
        <v>5</v>
      </c>
      <c r="BC85" s="3">
        <f t="shared" si="32"/>
        <v>3</v>
      </c>
      <c r="BD85" s="3">
        <f t="shared" si="33"/>
        <v>4</v>
      </c>
      <c r="BE85" s="3">
        <f t="shared" si="34"/>
        <v>5</v>
      </c>
      <c r="BF85" s="3">
        <f t="shared" si="35"/>
        <v>5</v>
      </c>
      <c r="BG85" s="3">
        <f t="shared" si="36"/>
        <v>5</v>
      </c>
      <c r="BH85" s="3">
        <f t="shared" si="37"/>
        <v>5</v>
      </c>
      <c r="BI85" s="3">
        <f t="shared" si="38"/>
        <v>7</v>
      </c>
      <c r="BJ85" s="3">
        <f t="shared" si="39"/>
        <v>1</v>
      </c>
      <c r="BK85" s="3">
        <f t="shared" si="40"/>
        <v>2</v>
      </c>
      <c r="CA85" s="3">
        <v>1</v>
      </c>
      <c r="CB85" s="3">
        <f t="shared" si="42"/>
        <v>1</v>
      </c>
      <c r="CC85" s="3">
        <v>6</v>
      </c>
      <c r="CG85" s="3">
        <v>8</v>
      </c>
      <c r="CH85" s="3">
        <v>5</v>
      </c>
      <c r="CI85" s="3">
        <f t="shared" si="41"/>
        <v>3</v>
      </c>
    </row>
    <row r="86" spans="1:87" x14ac:dyDescent="0.4">
      <c r="A86" s="3">
        <v>202503</v>
      </c>
      <c r="B86" s="3">
        <v>0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3</v>
      </c>
      <c r="J86" s="3">
        <v>0</v>
      </c>
      <c r="K86" s="3" t="s">
        <v>122</v>
      </c>
      <c r="L86" s="3">
        <v>5</v>
      </c>
      <c r="M86" s="3">
        <v>6</v>
      </c>
      <c r="N86" s="3">
        <v>7</v>
      </c>
      <c r="O86" s="3">
        <v>4</v>
      </c>
      <c r="P86" s="3">
        <v>7</v>
      </c>
      <c r="Q86" s="3">
        <v>4</v>
      </c>
      <c r="R86" s="3">
        <v>3</v>
      </c>
      <c r="S86" s="4" t="s">
        <v>122</v>
      </c>
      <c r="T86" s="4" t="s">
        <v>122</v>
      </c>
      <c r="U86" s="3">
        <v>6</v>
      </c>
      <c r="V86" s="3">
        <v>5</v>
      </c>
      <c r="W86" s="3">
        <v>6</v>
      </c>
      <c r="X86" s="3">
        <v>6</v>
      </c>
      <c r="Y86" s="3">
        <v>6</v>
      </c>
      <c r="Z86" s="3">
        <v>3</v>
      </c>
      <c r="AA86" s="3">
        <v>3</v>
      </c>
      <c r="AB86" s="4" t="s">
        <v>122</v>
      </c>
      <c r="AC86" s="4" t="s">
        <v>122</v>
      </c>
      <c r="AD86" s="3" t="s">
        <v>122</v>
      </c>
      <c r="AE86" s="3" t="s">
        <v>122</v>
      </c>
      <c r="AF86" s="3" t="s">
        <v>122</v>
      </c>
      <c r="AG86" s="3">
        <v>0</v>
      </c>
      <c r="AH86" s="3">
        <v>0</v>
      </c>
      <c r="AI86" s="3">
        <v>3</v>
      </c>
      <c r="AJ86" s="3">
        <v>0</v>
      </c>
      <c r="AK86" s="3" t="s">
        <v>122</v>
      </c>
      <c r="AL86" s="3">
        <v>0</v>
      </c>
      <c r="AM86" s="3" t="s">
        <v>122</v>
      </c>
      <c r="AN86" s="3">
        <v>1</v>
      </c>
      <c r="AO86" s="3">
        <v>3</v>
      </c>
      <c r="AP86" s="3">
        <v>4</v>
      </c>
      <c r="AQ86" s="42">
        <v>3</v>
      </c>
      <c r="AR86" cm="1">
        <f t="array" ref="AR86">_xlfn.IFS(AQ86*1=2,1,AQ86*1=4,1,TRUE,0)</f>
        <v>0</v>
      </c>
      <c r="AS86" cm="1">
        <f t="array" ref="AS86">_xlfn.IFS(AQ86*1=1,1,AQ86*1=2,1,TRUE,0)</f>
        <v>0</v>
      </c>
      <c r="AT86" s="3">
        <v>0</v>
      </c>
      <c r="AU86" s="3">
        <v>0</v>
      </c>
      <c r="AV86" s="36">
        <f t="shared" si="25"/>
        <v>0</v>
      </c>
      <c r="AW86" s="3">
        <f t="shared" si="26"/>
        <v>0</v>
      </c>
      <c r="AX86" s="3">
        <f t="shared" si="27"/>
        <v>6</v>
      </c>
      <c r="AY86" s="3">
        <f t="shared" si="28"/>
        <v>5</v>
      </c>
      <c r="AZ86" s="3">
        <f t="shared" si="29"/>
        <v>6</v>
      </c>
      <c r="BA86" s="3">
        <f t="shared" si="30"/>
        <v>6</v>
      </c>
      <c r="BB86" s="3">
        <f t="shared" si="31"/>
        <v>6</v>
      </c>
      <c r="BC86" s="3">
        <f t="shared" si="32"/>
        <v>3</v>
      </c>
      <c r="BD86" s="3">
        <f t="shared" si="33"/>
        <v>3</v>
      </c>
      <c r="BE86" s="3">
        <f t="shared" si="34"/>
        <v>5</v>
      </c>
      <c r="BF86" s="3">
        <f t="shared" si="35"/>
        <v>6</v>
      </c>
      <c r="BG86" s="3">
        <f t="shared" si="36"/>
        <v>7</v>
      </c>
      <c r="BH86" s="3">
        <f t="shared" si="37"/>
        <v>4</v>
      </c>
      <c r="BI86" s="3">
        <f t="shared" si="38"/>
        <v>7</v>
      </c>
      <c r="BJ86" s="3">
        <f t="shared" si="39"/>
        <v>4</v>
      </c>
      <c r="BK86" s="3">
        <f t="shared" si="40"/>
        <v>3</v>
      </c>
      <c r="CA86" s="3">
        <v>1</v>
      </c>
      <c r="CB86" s="3">
        <f t="shared" si="42"/>
        <v>1</v>
      </c>
      <c r="CC86" s="3">
        <v>0</v>
      </c>
      <c r="CG86" s="3">
        <v>6</v>
      </c>
      <c r="CH86" s="3">
        <v>5</v>
      </c>
      <c r="CI86" s="3">
        <f t="shared" si="41"/>
        <v>1</v>
      </c>
    </row>
    <row r="87" spans="1:87" x14ac:dyDescent="0.4">
      <c r="A87" s="3">
        <v>202503</v>
      </c>
      <c r="B87" s="3">
        <v>1</v>
      </c>
      <c r="C87" s="3">
        <v>2</v>
      </c>
      <c r="D87" s="3">
        <v>1</v>
      </c>
      <c r="E87" s="3">
        <v>2</v>
      </c>
      <c r="F87" s="3">
        <v>1</v>
      </c>
      <c r="G87" s="3">
        <v>1</v>
      </c>
      <c r="H87" s="3">
        <v>1</v>
      </c>
      <c r="I87" s="3">
        <v>2</v>
      </c>
      <c r="J87" s="3">
        <v>4</v>
      </c>
      <c r="K87" s="3">
        <v>3</v>
      </c>
      <c r="L87" s="3">
        <v>1</v>
      </c>
      <c r="M87" s="3">
        <v>4</v>
      </c>
      <c r="N87" s="3">
        <v>4</v>
      </c>
      <c r="O87" s="3">
        <v>3</v>
      </c>
      <c r="P87" s="3">
        <v>2</v>
      </c>
      <c r="Q87" s="3">
        <v>4</v>
      </c>
      <c r="R87" s="3">
        <v>4</v>
      </c>
      <c r="S87" s="4" t="s">
        <v>122</v>
      </c>
      <c r="T87" s="4" t="s">
        <v>122</v>
      </c>
      <c r="U87" s="3">
        <v>4</v>
      </c>
      <c r="V87" s="3">
        <v>1</v>
      </c>
      <c r="W87" s="3">
        <v>2</v>
      </c>
      <c r="X87" s="3">
        <v>3</v>
      </c>
      <c r="Y87" s="3">
        <v>3</v>
      </c>
      <c r="Z87" s="3">
        <v>3</v>
      </c>
      <c r="AA87" s="3">
        <v>3</v>
      </c>
      <c r="AB87" s="4" t="s">
        <v>122</v>
      </c>
      <c r="AC87" s="4" t="s">
        <v>122</v>
      </c>
      <c r="AD87" s="3" t="s">
        <v>122</v>
      </c>
      <c r="AE87" s="3" t="s">
        <v>122</v>
      </c>
      <c r="AF87" s="3" t="s">
        <v>122</v>
      </c>
      <c r="AG87" s="3">
        <v>4</v>
      </c>
      <c r="AH87" s="3">
        <v>4</v>
      </c>
      <c r="AI87" s="3">
        <v>3</v>
      </c>
      <c r="AJ87" s="3">
        <v>4</v>
      </c>
      <c r="AK87" s="3">
        <v>3</v>
      </c>
      <c r="AL87" s="3">
        <v>4</v>
      </c>
      <c r="AM87" s="3">
        <v>3</v>
      </c>
      <c r="AN87" s="3">
        <v>3</v>
      </c>
      <c r="AO87" s="3">
        <v>3</v>
      </c>
      <c r="AP87" s="3">
        <v>4</v>
      </c>
      <c r="AQ87" s="42">
        <v>4</v>
      </c>
      <c r="AR87" cm="1">
        <f t="array" ref="AR87">_xlfn.IFS(AQ87*1=2,1,AQ87*1=4,1,TRUE,0)</f>
        <v>1</v>
      </c>
      <c r="AS87" cm="1">
        <f t="array" ref="AS87">_xlfn.IFS(AQ87*1=1,1,AQ87*1=2,1,TRUE,0)</f>
        <v>0</v>
      </c>
      <c r="AT87" s="3">
        <v>4</v>
      </c>
      <c r="AU87" s="3">
        <v>4</v>
      </c>
      <c r="AV87" s="36">
        <f t="shared" si="25"/>
        <v>0</v>
      </c>
      <c r="AW87" s="3">
        <f t="shared" si="26"/>
        <v>0</v>
      </c>
      <c r="AX87" s="3">
        <f t="shared" si="27"/>
        <v>1</v>
      </c>
      <c r="AY87" s="3">
        <f t="shared" si="28"/>
        <v>4</v>
      </c>
      <c r="AZ87" s="3">
        <f t="shared" si="29"/>
        <v>4</v>
      </c>
      <c r="BA87" s="3">
        <f t="shared" si="30"/>
        <v>3</v>
      </c>
      <c r="BB87" s="3">
        <f t="shared" si="31"/>
        <v>2</v>
      </c>
      <c r="BC87" s="3">
        <f t="shared" si="32"/>
        <v>4</v>
      </c>
      <c r="BD87" s="3">
        <f t="shared" si="33"/>
        <v>4</v>
      </c>
      <c r="BE87" s="3">
        <f t="shared" si="34"/>
        <v>4</v>
      </c>
      <c r="BF87" s="3">
        <f t="shared" si="35"/>
        <v>1</v>
      </c>
      <c r="BG87" s="3">
        <f t="shared" si="36"/>
        <v>2</v>
      </c>
      <c r="BH87" s="3">
        <f t="shared" si="37"/>
        <v>3</v>
      </c>
      <c r="BI87" s="3">
        <f t="shared" si="38"/>
        <v>3</v>
      </c>
      <c r="BJ87" s="3">
        <f t="shared" si="39"/>
        <v>3</v>
      </c>
      <c r="BK87" s="3">
        <f t="shared" si="40"/>
        <v>3</v>
      </c>
      <c r="CA87" s="3">
        <v>3</v>
      </c>
      <c r="CB87" s="3">
        <f t="shared" si="42"/>
        <v>0</v>
      </c>
      <c r="CC87" s="3">
        <v>4</v>
      </c>
      <c r="CG87" s="3">
        <v>1</v>
      </c>
      <c r="CH87" s="3">
        <v>4</v>
      </c>
      <c r="CI87" s="3">
        <f t="shared" si="41"/>
        <v>-3</v>
      </c>
    </row>
    <row r="88" spans="1:87" x14ac:dyDescent="0.4">
      <c r="A88" s="3">
        <v>202503</v>
      </c>
      <c r="B88" s="3">
        <v>1</v>
      </c>
      <c r="C88" s="3">
        <v>5</v>
      </c>
      <c r="D88" s="3">
        <v>3</v>
      </c>
      <c r="E88" s="3">
        <v>1</v>
      </c>
      <c r="F88" s="3">
        <v>1</v>
      </c>
      <c r="G88" s="3">
        <v>1</v>
      </c>
      <c r="H88" s="3">
        <v>1</v>
      </c>
      <c r="I88" s="3">
        <v>6</v>
      </c>
      <c r="J88" s="3">
        <v>6</v>
      </c>
      <c r="K88" s="3">
        <v>2</v>
      </c>
      <c r="L88" s="3">
        <v>6</v>
      </c>
      <c r="M88" s="3">
        <v>7</v>
      </c>
      <c r="N88" s="3">
        <v>8</v>
      </c>
      <c r="O88" s="3">
        <v>7</v>
      </c>
      <c r="P88" s="3">
        <v>7</v>
      </c>
      <c r="Q88" s="3">
        <v>4</v>
      </c>
      <c r="R88" s="3">
        <v>3</v>
      </c>
      <c r="S88" s="3">
        <v>6</v>
      </c>
      <c r="T88" s="3">
        <v>2</v>
      </c>
      <c r="U88" s="3">
        <v>7</v>
      </c>
      <c r="V88" s="3">
        <v>7</v>
      </c>
      <c r="W88" s="3">
        <v>8</v>
      </c>
      <c r="X88" s="3">
        <v>8</v>
      </c>
      <c r="Y88" s="3">
        <v>7</v>
      </c>
      <c r="Z88" s="3">
        <v>3</v>
      </c>
      <c r="AA88" s="3">
        <v>3</v>
      </c>
      <c r="AB88" s="3">
        <v>7</v>
      </c>
      <c r="AC88" s="3">
        <v>2</v>
      </c>
      <c r="AD88" s="3">
        <v>6</v>
      </c>
      <c r="AE88" s="3">
        <v>7</v>
      </c>
      <c r="AF88" s="3">
        <v>2</v>
      </c>
      <c r="AG88" s="3" t="s">
        <v>122</v>
      </c>
      <c r="AH88" s="3" t="s">
        <v>122</v>
      </c>
      <c r="AI88" s="3" t="s">
        <v>122</v>
      </c>
      <c r="AJ88" s="3" t="s">
        <v>122</v>
      </c>
      <c r="AK88" s="3" t="s">
        <v>122</v>
      </c>
      <c r="AL88" s="3" t="s">
        <v>122</v>
      </c>
      <c r="AM88" s="3" t="s">
        <v>122</v>
      </c>
      <c r="AN88" s="3">
        <v>1</v>
      </c>
      <c r="AO88" s="3">
        <v>5</v>
      </c>
      <c r="AP88" s="3">
        <v>6</v>
      </c>
      <c r="AQ88" s="42">
        <v>1</v>
      </c>
      <c r="AR88" cm="1">
        <f t="array" ref="AR88">_xlfn.IFS(AQ88*1=2,1,AQ88*1=4,1,TRUE,0)</f>
        <v>0</v>
      </c>
      <c r="AS88" cm="1">
        <f t="array" ref="AS88">_xlfn.IFS(AQ88*1=1,1,AQ88*1=2,1,TRUE,0)</f>
        <v>1</v>
      </c>
      <c r="AT88" s="3">
        <v>6</v>
      </c>
      <c r="AU88" s="3">
        <v>7</v>
      </c>
      <c r="AV88" s="36">
        <f t="shared" si="25"/>
        <v>1</v>
      </c>
      <c r="AW88" s="3">
        <f t="shared" si="26"/>
        <v>0</v>
      </c>
      <c r="AX88" s="3">
        <f t="shared" si="27"/>
        <v>7</v>
      </c>
      <c r="AY88" s="3">
        <f t="shared" si="28"/>
        <v>7</v>
      </c>
      <c r="AZ88" s="3">
        <f t="shared" si="29"/>
        <v>8</v>
      </c>
      <c r="BA88" s="3">
        <f t="shared" si="30"/>
        <v>8</v>
      </c>
      <c r="BB88" s="3">
        <f t="shared" si="31"/>
        <v>7</v>
      </c>
      <c r="BC88" s="3">
        <f t="shared" si="32"/>
        <v>3</v>
      </c>
      <c r="BD88" s="3">
        <f t="shared" si="33"/>
        <v>3</v>
      </c>
      <c r="BE88" s="3">
        <f t="shared" si="34"/>
        <v>6</v>
      </c>
      <c r="BF88" s="3">
        <f t="shared" si="35"/>
        <v>7</v>
      </c>
      <c r="BG88" s="3">
        <f t="shared" si="36"/>
        <v>8</v>
      </c>
      <c r="BH88" s="3">
        <f t="shared" si="37"/>
        <v>7</v>
      </c>
      <c r="BI88" s="3">
        <f t="shared" si="38"/>
        <v>7</v>
      </c>
      <c r="BJ88" s="3">
        <f t="shared" si="39"/>
        <v>4</v>
      </c>
      <c r="BK88" s="3">
        <f t="shared" si="40"/>
        <v>3</v>
      </c>
      <c r="CA88" s="3">
        <v>1</v>
      </c>
      <c r="CB88" s="3">
        <f t="shared" si="42"/>
        <v>1</v>
      </c>
      <c r="CC88" s="3">
        <v>6</v>
      </c>
      <c r="CG88" s="3">
        <v>7</v>
      </c>
      <c r="CH88" s="3">
        <v>6</v>
      </c>
      <c r="CI88" s="3">
        <f t="shared" si="41"/>
        <v>1</v>
      </c>
    </row>
    <row r="89" spans="1:87" x14ac:dyDescent="0.4">
      <c r="A89" s="3">
        <v>202503</v>
      </c>
      <c r="B89" s="3">
        <v>1</v>
      </c>
      <c r="C89" s="3">
        <v>3</v>
      </c>
      <c r="D89" s="3">
        <v>1</v>
      </c>
      <c r="E89" s="3">
        <v>2</v>
      </c>
      <c r="F89" s="3">
        <v>1</v>
      </c>
      <c r="G89" s="3">
        <v>1</v>
      </c>
      <c r="H89" s="3">
        <v>1</v>
      </c>
      <c r="I89" s="3">
        <v>3</v>
      </c>
      <c r="J89" s="3">
        <v>7</v>
      </c>
      <c r="K89" s="3">
        <v>3</v>
      </c>
      <c r="L89" s="3">
        <v>3</v>
      </c>
      <c r="M89" s="3">
        <v>6</v>
      </c>
      <c r="N89" s="3">
        <v>5</v>
      </c>
      <c r="O89" s="3">
        <v>3</v>
      </c>
      <c r="P89" s="3">
        <v>4</v>
      </c>
      <c r="Q89" s="3">
        <v>4</v>
      </c>
      <c r="R89" s="3">
        <v>3</v>
      </c>
      <c r="S89" s="3" t="s">
        <v>122</v>
      </c>
      <c r="T89" s="3" t="s">
        <v>122</v>
      </c>
      <c r="U89" s="3">
        <v>6</v>
      </c>
      <c r="V89" s="3">
        <v>7</v>
      </c>
      <c r="W89" s="3">
        <v>5</v>
      </c>
      <c r="X89" s="3">
        <v>6</v>
      </c>
      <c r="Y89" s="3">
        <v>5</v>
      </c>
      <c r="Z89" s="3">
        <v>3</v>
      </c>
      <c r="AA89" s="3">
        <v>2</v>
      </c>
      <c r="AB89" s="3" t="s">
        <v>122</v>
      </c>
      <c r="AC89" s="3" t="s">
        <v>122</v>
      </c>
      <c r="AD89" s="3" t="s">
        <v>122</v>
      </c>
      <c r="AE89" s="3" t="s">
        <v>122</v>
      </c>
      <c r="AF89" s="3" t="s">
        <v>122</v>
      </c>
      <c r="AG89" s="3">
        <v>6</v>
      </c>
      <c r="AH89" s="3">
        <v>6</v>
      </c>
      <c r="AI89" s="3">
        <v>3</v>
      </c>
      <c r="AJ89" s="3">
        <v>6</v>
      </c>
      <c r="AK89" s="3">
        <v>2</v>
      </c>
      <c r="AL89" s="3">
        <v>0</v>
      </c>
      <c r="AM89" s="3" t="s">
        <v>122</v>
      </c>
      <c r="AN89" s="3">
        <v>1</v>
      </c>
      <c r="AO89" s="3">
        <v>5</v>
      </c>
      <c r="AP89" s="3">
        <v>6</v>
      </c>
      <c r="AQ89" s="42">
        <v>4</v>
      </c>
      <c r="AR89" cm="1">
        <f t="array" ref="AR89">_xlfn.IFS(AQ89*1=2,1,AQ89*1=4,1,TRUE,0)</f>
        <v>1</v>
      </c>
      <c r="AS89" cm="1">
        <f t="array" ref="AS89">_xlfn.IFS(AQ89*1=1,1,AQ89*1=2,1,TRUE,0)</f>
        <v>0</v>
      </c>
      <c r="AT89" s="3">
        <v>6</v>
      </c>
      <c r="AU89" s="3">
        <v>0</v>
      </c>
      <c r="AV89" s="36">
        <f t="shared" si="25"/>
        <v>-7</v>
      </c>
      <c r="AW89" s="3">
        <f t="shared" si="26"/>
        <v>-1</v>
      </c>
      <c r="AX89" s="3">
        <f t="shared" si="27"/>
        <v>3</v>
      </c>
      <c r="AY89" s="3">
        <f t="shared" si="28"/>
        <v>6</v>
      </c>
      <c r="AZ89" s="3">
        <f t="shared" si="29"/>
        <v>5</v>
      </c>
      <c r="BA89" s="3">
        <f t="shared" si="30"/>
        <v>3</v>
      </c>
      <c r="BB89" s="3">
        <f t="shared" si="31"/>
        <v>4</v>
      </c>
      <c r="BC89" s="3">
        <f t="shared" si="32"/>
        <v>4</v>
      </c>
      <c r="BD89" s="3">
        <f t="shared" si="33"/>
        <v>3</v>
      </c>
      <c r="BE89" s="3">
        <f t="shared" si="34"/>
        <v>6</v>
      </c>
      <c r="BF89" s="3">
        <f t="shared" si="35"/>
        <v>7</v>
      </c>
      <c r="BG89" s="3">
        <f t="shared" si="36"/>
        <v>5</v>
      </c>
      <c r="BH89" s="3">
        <f t="shared" si="37"/>
        <v>6</v>
      </c>
      <c r="BI89" s="3">
        <f t="shared" si="38"/>
        <v>5</v>
      </c>
      <c r="BJ89" s="3">
        <f t="shared" si="39"/>
        <v>3</v>
      </c>
      <c r="BK89" s="3">
        <f t="shared" si="40"/>
        <v>2</v>
      </c>
      <c r="CA89" s="3">
        <v>1</v>
      </c>
      <c r="CB89" s="3">
        <f t="shared" si="42"/>
        <v>1</v>
      </c>
      <c r="CC89" s="3">
        <v>7</v>
      </c>
      <c r="CG89" s="3">
        <v>3</v>
      </c>
      <c r="CH89" s="3">
        <v>6</v>
      </c>
      <c r="CI89" s="3">
        <f t="shared" si="41"/>
        <v>-3</v>
      </c>
    </row>
    <row r="90" spans="1:87" x14ac:dyDescent="0.4">
      <c r="A90" s="3">
        <v>202503</v>
      </c>
      <c r="B90" s="3">
        <v>1</v>
      </c>
      <c r="C90" s="3">
        <v>2</v>
      </c>
      <c r="D90" s="3">
        <v>4</v>
      </c>
      <c r="E90" s="3">
        <v>1</v>
      </c>
      <c r="F90" s="3">
        <v>2</v>
      </c>
      <c r="G90" s="3">
        <v>2</v>
      </c>
      <c r="H90" s="3">
        <v>1</v>
      </c>
      <c r="I90" s="3">
        <v>4</v>
      </c>
      <c r="J90" s="3">
        <v>4.5</v>
      </c>
      <c r="K90" s="4">
        <v>2</v>
      </c>
      <c r="L90" s="3">
        <v>6</v>
      </c>
      <c r="M90" s="3">
        <v>7</v>
      </c>
      <c r="N90" s="3">
        <v>7</v>
      </c>
      <c r="O90" s="3">
        <v>6</v>
      </c>
      <c r="P90" s="3">
        <v>8</v>
      </c>
      <c r="Q90" s="3">
        <v>3</v>
      </c>
      <c r="R90" s="3">
        <v>3</v>
      </c>
      <c r="S90" s="4" t="s">
        <v>122</v>
      </c>
      <c r="T90" s="4" t="s">
        <v>122</v>
      </c>
      <c r="U90" s="3">
        <v>7</v>
      </c>
      <c r="V90" s="3">
        <v>8</v>
      </c>
      <c r="W90" s="3">
        <v>8</v>
      </c>
      <c r="X90" s="3">
        <v>7</v>
      </c>
      <c r="Y90" s="3">
        <v>6</v>
      </c>
      <c r="Z90" s="3">
        <v>3</v>
      </c>
      <c r="AA90" s="3">
        <v>4</v>
      </c>
      <c r="AB90" s="4" t="s">
        <v>122</v>
      </c>
      <c r="AC90" s="4" t="s">
        <v>122</v>
      </c>
      <c r="AD90" s="3" t="s">
        <v>122</v>
      </c>
      <c r="AE90" s="3" t="s">
        <v>122</v>
      </c>
      <c r="AF90" s="3" t="s">
        <v>122</v>
      </c>
      <c r="AG90" s="3">
        <v>5</v>
      </c>
      <c r="AH90" s="3">
        <v>4.5</v>
      </c>
      <c r="AI90" s="3">
        <v>3</v>
      </c>
      <c r="AJ90" s="3">
        <v>5</v>
      </c>
      <c r="AK90" s="3">
        <v>3</v>
      </c>
      <c r="AL90" s="3">
        <v>4.5</v>
      </c>
      <c r="AM90" s="3">
        <v>2</v>
      </c>
      <c r="AN90" s="3">
        <v>1</v>
      </c>
      <c r="AO90" s="3">
        <v>3</v>
      </c>
      <c r="AP90" s="3">
        <v>4</v>
      </c>
      <c r="AQ90" s="42">
        <v>3</v>
      </c>
      <c r="AR90" cm="1">
        <f t="array" ref="AR90">_xlfn.IFS(AQ90*1=2,1,AQ90*1=4,1,TRUE,0)</f>
        <v>0</v>
      </c>
      <c r="AS90" cm="1">
        <f t="array" ref="AS90">_xlfn.IFS(AQ90*1=1,1,AQ90*1=2,1,TRUE,0)</f>
        <v>0</v>
      </c>
      <c r="AT90" s="3">
        <v>5</v>
      </c>
      <c r="AU90" s="3">
        <v>4.5</v>
      </c>
      <c r="AV90" s="36">
        <f t="shared" si="25"/>
        <v>0</v>
      </c>
      <c r="AW90" s="3">
        <f t="shared" si="26"/>
        <v>0.5</v>
      </c>
      <c r="AX90" s="3">
        <f t="shared" si="27"/>
        <v>7</v>
      </c>
      <c r="AY90" s="3">
        <f t="shared" si="28"/>
        <v>8</v>
      </c>
      <c r="AZ90" s="3">
        <f t="shared" si="29"/>
        <v>8</v>
      </c>
      <c r="BA90" s="3">
        <f t="shared" si="30"/>
        <v>7</v>
      </c>
      <c r="BB90" s="3">
        <f t="shared" si="31"/>
        <v>6</v>
      </c>
      <c r="BC90" s="3">
        <f t="shared" si="32"/>
        <v>3</v>
      </c>
      <c r="BD90" s="3">
        <f t="shared" si="33"/>
        <v>4</v>
      </c>
      <c r="BE90" s="3">
        <f t="shared" si="34"/>
        <v>6</v>
      </c>
      <c r="BF90" s="3">
        <f t="shared" si="35"/>
        <v>7</v>
      </c>
      <c r="BG90" s="3">
        <f t="shared" si="36"/>
        <v>7</v>
      </c>
      <c r="BH90" s="3">
        <f t="shared" si="37"/>
        <v>6</v>
      </c>
      <c r="BI90" s="3">
        <f t="shared" si="38"/>
        <v>8</v>
      </c>
      <c r="BJ90" s="3">
        <f t="shared" si="39"/>
        <v>3</v>
      </c>
      <c r="BK90" s="3">
        <f t="shared" si="40"/>
        <v>3</v>
      </c>
      <c r="CA90" s="3">
        <v>1</v>
      </c>
      <c r="CB90" s="3">
        <f t="shared" si="42"/>
        <v>1</v>
      </c>
      <c r="CC90" s="3">
        <v>4.5</v>
      </c>
      <c r="CG90" s="3">
        <v>7</v>
      </c>
      <c r="CH90" s="3">
        <v>6</v>
      </c>
      <c r="CI90" s="3">
        <f t="shared" si="41"/>
        <v>1</v>
      </c>
    </row>
    <row r="91" spans="1:87" x14ac:dyDescent="0.4">
      <c r="A91" s="3">
        <v>202503</v>
      </c>
      <c r="B91" s="3">
        <v>1</v>
      </c>
      <c r="C91" s="3">
        <v>1</v>
      </c>
      <c r="D91" s="3">
        <v>1</v>
      </c>
      <c r="E91" s="3">
        <v>1</v>
      </c>
      <c r="F91" s="3">
        <v>2</v>
      </c>
      <c r="G91" s="3">
        <v>2</v>
      </c>
      <c r="H91" s="3">
        <v>2</v>
      </c>
      <c r="I91" s="3">
        <v>2</v>
      </c>
      <c r="J91" s="3">
        <v>4</v>
      </c>
      <c r="K91" s="3">
        <v>2</v>
      </c>
      <c r="L91" s="3">
        <v>2</v>
      </c>
      <c r="M91" s="3">
        <v>5</v>
      </c>
      <c r="N91" s="3">
        <v>6</v>
      </c>
      <c r="O91" s="3">
        <v>2</v>
      </c>
      <c r="P91" s="3">
        <v>6</v>
      </c>
      <c r="Q91" s="3">
        <v>2</v>
      </c>
      <c r="R91" s="3">
        <v>2</v>
      </c>
      <c r="S91" s="4">
        <v>2</v>
      </c>
      <c r="T91" s="4">
        <v>3</v>
      </c>
      <c r="U91" s="3">
        <v>6</v>
      </c>
      <c r="V91" s="3">
        <v>6</v>
      </c>
      <c r="W91" s="3">
        <v>6</v>
      </c>
      <c r="X91" s="3">
        <v>6</v>
      </c>
      <c r="Y91" s="3">
        <v>7</v>
      </c>
      <c r="Z91" s="3">
        <v>3</v>
      </c>
      <c r="AA91" s="3">
        <v>3</v>
      </c>
      <c r="AB91" s="4">
        <v>4</v>
      </c>
      <c r="AC91" s="4">
        <v>3</v>
      </c>
      <c r="AD91" s="3">
        <v>4</v>
      </c>
      <c r="AE91" s="3">
        <v>0</v>
      </c>
      <c r="AF91" s="3">
        <v>3</v>
      </c>
      <c r="AG91" s="3" t="s">
        <v>122</v>
      </c>
      <c r="AH91" s="3" t="s">
        <v>122</v>
      </c>
      <c r="AI91" s="3" t="s">
        <v>122</v>
      </c>
      <c r="AJ91" s="3" t="s">
        <v>122</v>
      </c>
      <c r="AK91" s="3" t="s">
        <v>122</v>
      </c>
      <c r="AL91" s="3" t="s">
        <v>122</v>
      </c>
      <c r="AM91" s="3" t="s">
        <v>122</v>
      </c>
      <c r="AN91" s="3">
        <v>2</v>
      </c>
      <c r="AO91" s="3">
        <v>3</v>
      </c>
      <c r="AP91" s="3">
        <v>-999</v>
      </c>
      <c r="AQ91" s="42">
        <v>2</v>
      </c>
      <c r="AR91" cm="1">
        <f t="array" ref="AR91">_xlfn.IFS(AQ91*1=2,1,AQ91*1=4,1,TRUE,0)</f>
        <v>1</v>
      </c>
      <c r="AS91" cm="1">
        <f t="array" ref="AS91">_xlfn.IFS(AQ91*1=1,1,AQ91*1=2,1,TRUE,0)</f>
        <v>1</v>
      </c>
      <c r="AT91" s="3">
        <v>4</v>
      </c>
      <c r="AU91" s="3">
        <v>0</v>
      </c>
      <c r="AV91" s="36">
        <f t="shared" si="25"/>
        <v>-4</v>
      </c>
      <c r="AW91" s="3">
        <f t="shared" si="26"/>
        <v>0</v>
      </c>
      <c r="AX91" s="3">
        <f t="shared" si="27"/>
        <v>2</v>
      </c>
      <c r="AY91" s="3">
        <f t="shared" si="28"/>
        <v>5</v>
      </c>
      <c r="AZ91" s="3">
        <f t="shared" si="29"/>
        <v>6</v>
      </c>
      <c r="BA91" s="3">
        <f t="shared" si="30"/>
        <v>2</v>
      </c>
      <c r="BB91" s="3">
        <f t="shared" si="31"/>
        <v>6</v>
      </c>
      <c r="BC91" s="3">
        <f t="shared" si="32"/>
        <v>2</v>
      </c>
      <c r="BD91" s="3">
        <f t="shared" si="33"/>
        <v>2</v>
      </c>
      <c r="BE91" s="3">
        <f t="shared" si="34"/>
        <v>6</v>
      </c>
      <c r="BF91" s="3">
        <f t="shared" si="35"/>
        <v>6</v>
      </c>
      <c r="BG91" s="3">
        <f t="shared" si="36"/>
        <v>6</v>
      </c>
      <c r="BH91" s="3">
        <f t="shared" si="37"/>
        <v>6</v>
      </c>
      <c r="BI91" s="3">
        <f t="shared" si="38"/>
        <v>7</v>
      </c>
      <c r="BJ91" s="3">
        <f t="shared" si="39"/>
        <v>3</v>
      </c>
      <c r="BK91" s="3">
        <f t="shared" si="40"/>
        <v>3</v>
      </c>
      <c r="CA91" s="3">
        <v>2</v>
      </c>
      <c r="CB91" s="3">
        <f t="shared" si="42"/>
        <v>0</v>
      </c>
      <c r="CC91" s="3">
        <v>4</v>
      </c>
      <c r="CG91" s="3">
        <v>2</v>
      </c>
      <c r="CH91" s="3">
        <v>6</v>
      </c>
      <c r="CI91" s="3">
        <f t="shared" si="41"/>
        <v>-4</v>
      </c>
    </row>
    <row r="92" spans="1:87" x14ac:dyDescent="0.4">
      <c r="A92" s="3">
        <v>202503</v>
      </c>
      <c r="B92" s="3">
        <v>1</v>
      </c>
      <c r="C92" s="3">
        <v>3</v>
      </c>
      <c r="D92" s="3">
        <v>4</v>
      </c>
      <c r="E92" s="3">
        <v>1</v>
      </c>
      <c r="F92" s="3">
        <v>1</v>
      </c>
      <c r="G92" s="3">
        <v>1</v>
      </c>
      <c r="H92" s="3">
        <v>1</v>
      </c>
      <c r="I92" s="3">
        <v>5</v>
      </c>
      <c r="J92" s="3">
        <v>0</v>
      </c>
      <c r="K92" s="3" t="s">
        <v>122</v>
      </c>
      <c r="L92" s="3">
        <v>7</v>
      </c>
      <c r="M92" s="3">
        <v>9</v>
      </c>
      <c r="N92" s="3">
        <v>8</v>
      </c>
      <c r="O92" s="3">
        <v>7</v>
      </c>
      <c r="P92" s="3">
        <v>7</v>
      </c>
      <c r="Q92" s="3">
        <v>4</v>
      </c>
      <c r="R92" s="3">
        <v>2</v>
      </c>
      <c r="S92" s="3" t="s">
        <v>122</v>
      </c>
      <c r="T92" s="3" t="s">
        <v>122</v>
      </c>
      <c r="U92" s="3">
        <v>8</v>
      </c>
      <c r="V92" s="3">
        <v>9</v>
      </c>
      <c r="W92" s="3">
        <v>8</v>
      </c>
      <c r="X92" s="3">
        <v>8</v>
      </c>
      <c r="Y92" s="3">
        <v>9</v>
      </c>
      <c r="Z92" s="3">
        <v>3</v>
      </c>
      <c r="AA92" s="3">
        <v>3</v>
      </c>
      <c r="AB92" s="3" t="s">
        <v>122</v>
      </c>
      <c r="AC92" s="3" t="s">
        <v>122</v>
      </c>
      <c r="AD92" s="3" t="s">
        <v>122</v>
      </c>
      <c r="AE92" s="3" t="s">
        <v>122</v>
      </c>
      <c r="AF92" s="3" t="s">
        <v>122</v>
      </c>
      <c r="AG92" s="3">
        <v>0</v>
      </c>
      <c r="AH92" s="3">
        <v>0</v>
      </c>
      <c r="AI92" s="3">
        <v>3</v>
      </c>
      <c r="AJ92" s="3">
        <v>0</v>
      </c>
      <c r="AK92" s="3" t="s">
        <v>122</v>
      </c>
      <c r="AL92" s="3">
        <v>0</v>
      </c>
      <c r="AM92" s="3" t="s">
        <v>122</v>
      </c>
      <c r="AN92" s="3">
        <v>2</v>
      </c>
      <c r="AO92" s="3">
        <v>4</v>
      </c>
      <c r="AP92" s="3">
        <v>5</v>
      </c>
      <c r="AQ92" s="42">
        <v>4</v>
      </c>
      <c r="AR92" cm="1">
        <f t="array" ref="AR92">_xlfn.IFS(AQ92*1=2,1,AQ92*1=4,1,TRUE,0)</f>
        <v>1</v>
      </c>
      <c r="AS92" cm="1">
        <f t="array" ref="AS92">_xlfn.IFS(AQ92*1=1,1,AQ92*1=2,1,TRUE,0)</f>
        <v>0</v>
      </c>
      <c r="AT92" s="3">
        <v>0</v>
      </c>
      <c r="AU92" s="3">
        <v>0</v>
      </c>
      <c r="AV92" s="36">
        <f t="shared" si="25"/>
        <v>0</v>
      </c>
      <c r="AW92" s="3">
        <f t="shared" si="26"/>
        <v>0</v>
      </c>
      <c r="AX92" s="3">
        <f t="shared" si="27"/>
        <v>7</v>
      </c>
      <c r="AY92" s="3">
        <f t="shared" si="28"/>
        <v>9</v>
      </c>
      <c r="AZ92" s="3">
        <f t="shared" si="29"/>
        <v>8</v>
      </c>
      <c r="BA92" s="3">
        <f t="shared" si="30"/>
        <v>7</v>
      </c>
      <c r="BB92" s="3">
        <f t="shared" si="31"/>
        <v>7</v>
      </c>
      <c r="BC92" s="3">
        <f t="shared" si="32"/>
        <v>4</v>
      </c>
      <c r="BD92" s="3">
        <f t="shared" si="33"/>
        <v>2</v>
      </c>
      <c r="BE92" s="3">
        <f t="shared" si="34"/>
        <v>8</v>
      </c>
      <c r="BF92" s="3">
        <f t="shared" si="35"/>
        <v>9</v>
      </c>
      <c r="BG92" s="3">
        <f t="shared" si="36"/>
        <v>8</v>
      </c>
      <c r="BH92" s="3">
        <f t="shared" si="37"/>
        <v>8</v>
      </c>
      <c r="BI92" s="3">
        <f t="shared" si="38"/>
        <v>9</v>
      </c>
      <c r="BJ92" s="3">
        <f t="shared" si="39"/>
        <v>3</v>
      </c>
      <c r="BK92" s="3">
        <f t="shared" si="40"/>
        <v>3</v>
      </c>
      <c r="CA92" s="3">
        <v>2</v>
      </c>
      <c r="CB92" s="3">
        <f t="shared" si="42"/>
        <v>0</v>
      </c>
      <c r="CC92" s="3">
        <v>0</v>
      </c>
      <c r="CG92" s="3">
        <v>7</v>
      </c>
      <c r="CH92" s="3">
        <v>8</v>
      </c>
      <c r="CI92" s="3">
        <f t="shared" si="41"/>
        <v>-1</v>
      </c>
    </row>
    <row r="93" spans="1:87" x14ac:dyDescent="0.4">
      <c r="A93" s="3">
        <v>202503</v>
      </c>
      <c r="B93" s="3">
        <v>1</v>
      </c>
      <c r="C93" s="3">
        <v>4</v>
      </c>
      <c r="D93" s="3">
        <v>3</v>
      </c>
      <c r="E93" s="3">
        <v>2</v>
      </c>
      <c r="F93" s="3">
        <v>3</v>
      </c>
      <c r="G93" s="3">
        <v>2</v>
      </c>
      <c r="H93" s="3">
        <v>1</v>
      </c>
      <c r="I93" s="3">
        <v>1</v>
      </c>
      <c r="J93" s="3">
        <v>5</v>
      </c>
      <c r="K93" s="3">
        <v>2</v>
      </c>
      <c r="L93" s="3">
        <v>8</v>
      </c>
      <c r="M93" s="3">
        <v>8</v>
      </c>
      <c r="N93" s="3">
        <v>7</v>
      </c>
      <c r="O93" s="3">
        <v>8</v>
      </c>
      <c r="P93" s="3">
        <v>9</v>
      </c>
      <c r="Q93" s="3">
        <v>3</v>
      </c>
      <c r="R93" s="3">
        <v>3</v>
      </c>
      <c r="S93" s="4" t="s">
        <v>122</v>
      </c>
      <c r="T93" s="4" t="s">
        <v>122</v>
      </c>
      <c r="U93" s="3">
        <v>5</v>
      </c>
      <c r="V93" s="3">
        <v>6</v>
      </c>
      <c r="W93" s="3">
        <v>6</v>
      </c>
      <c r="X93" s="3">
        <v>4</v>
      </c>
      <c r="Y93" s="3">
        <v>7</v>
      </c>
      <c r="Z93" s="3">
        <v>2</v>
      </c>
      <c r="AA93" s="3">
        <v>2</v>
      </c>
      <c r="AB93" s="4" t="s">
        <v>122</v>
      </c>
      <c r="AC93" s="4" t="s">
        <v>122</v>
      </c>
      <c r="AD93" s="3" t="s">
        <v>122</v>
      </c>
      <c r="AE93" s="3" t="s">
        <v>122</v>
      </c>
      <c r="AF93" s="3" t="s">
        <v>122</v>
      </c>
      <c r="AG93" s="3">
        <v>5.5</v>
      </c>
      <c r="AH93" s="3">
        <v>5.5</v>
      </c>
      <c r="AI93" s="3">
        <v>2</v>
      </c>
      <c r="AJ93" s="3">
        <v>4</v>
      </c>
      <c r="AK93" s="3">
        <v>3</v>
      </c>
      <c r="AL93" s="3">
        <v>6.5</v>
      </c>
      <c r="AM93" s="3">
        <v>3</v>
      </c>
      <c r="AN93" s="3">
        <v>2</v>
      </c>
      <c r="AO93" s="3">
        <v>3</v>
      </c>
      <c r="AP93" s="3">
        <v>1</v>
      </c>
      <c r="AQ93" s="42">
        <v>4</v>
      </c>
      <c r="AR93" cm="1">
        <f t="array" ref="AR93">_xlfn.IFS(AQ93*1=2,1,AQ93*1=4,1,TRUE,0)</f>
        <v>1</v>
      </c>
      <c r="AS93" cm="1">
        <f t="array" ref="AS93">_xlfn.IFS(AQ93*1=1,1,AQ93*1=2,1,TRUE,0)</f>
        <v>0</v>
      </c>
      <c r="AT93" s="3">
        <v>4</v>
      </c>
      <c r="AU93" s="3">
        <v>6.5</v>
      </c>
      <c r="AV93" s="36">
        <f t="shared" si="25"/>
        <v>1.5</v>
      </c>
      <c r="AW93" s="3">
        <f t="shared" si="26"/>
        <v>-1</v>
      </c>
      <c r="AX93" s="3">
        <f t="shared" si="27"/>
        <v>8</v>
      </c>
      <c r="AY93" s="3">
        <f t="shared" si="28"/>
        <v>8</v>
      </c>
      <c r="AZ93" s="3">
        <f t="shared" si="29"/>
        <v>7</v>
      </c>
      <c r="BA93" s="3">
        <f t="shared" si="30"/>
        <v>8</v>
      </c>
      <c r="BB93" s="3">
        <f t="shared" si="31"/>
        <v>9</v>
      </c>
      <c r="BC93" s="3">
        <f t="shared" si="32"/>
        <v>3</v>
      </c>
      <c r="BD93" s="3">
        <f t="shared" si="33"/>
        <v>3</v>
      </c>
      <c r="BE93" s="3">
        <f t="shared" si="34"/>
        <v>5</v>
      </c>
      <c r="BF93" s="3">
        <f t="shared" si="35"/>
        <v>6</v>
      </c>
      <c r="BG93" s="3">
        <f t="shared" si="36"/>
        <v>6</v>
      </c>
      <c r="BH93" s="3">
        <f t="shared" si="37"/>
        <v>4</v>
      </c>
      <c r="BI93" s="3">
        <f t="shared" si="38"/>
        <v>7</v>
      </c>
      <c r="BJ93" s="3">
        <f t="shared" si="39"/>
        <v>2</v>
      </c>
      <c r="BK93" s="3">
        <f t="shared" si="40"/>
        <v>2</v>
      </c>
      <c r="CA93" s="3">
        <v>2</v>
      </c>
      <c r="CB93" s="3">
        <f t="shared" si="42"/>
        <v>0</v>
      </c>
      <c r="CC93" s="3">
        <v>5</v>
      </c>
      <c r="CG93" s="3">
        <v>8</v>
      </c>
      <c r="CH93" s="3">
        <v>5</v>
      </c>
      <c r="CI93" s="3">
        <f t="shared" si="41"/>
        <v>3</v>
      </c>
    </row>
    <row r="94" spans="1:87" x14ac:dyDescent="0.4">
      <c r="A94" s="3">
        <v>202503</v>
      </c>
      <c r="B94" s="3">
        <v>1</v>
      </c>
      <c r="C94" s="3">
        <v>5</v>
      </c>
      <c r="D94" s="3">
        <v>1</v>
      </c>
      <c r="E94" s="3">
        <v>3</v>
      </c>
      <c r="F94" s="3">
        <v>3</v>
      </c>
      <c r="G94" s="3">
        <v>3</v>
      </c>
      <c r="H94" s="3">
        <v>3</v>
      </c>
      <c r="I94" s="3">
        <v>2</v>
      </c>
      <c r="J94" s="3">
        <v>6</v>
      </c>
      <c r="K94" s="3">
        <v>3</v>
      </c>
      <c r="L94" s="3">
        <v>6</v>
      </c>
      <c r="M94" s="3">
        <v>7</v>
      </c>
      <c r="N94" s="3">
        <v>6</v>
      </c>
      <c r="O94" s="3">
        <v>4</v>
      </c>
      <c r="P94" s="3">
        <v>4</v>
      </c>
      <c r="Q94" s="3">
        <v>4</v>
      </c>
      <c r="R94" s="3">
        <v>4</v>
      </c>
      <c r="S94" s="3">
        <v>5</v>
      </c>
      <c r="T94" s="3">
        <v>3</v>
      </c>
      <c r="U94" s="3">
        <v>8</v>
      </c>
      <c r="V94" s="3">
        <v>9</v>
      </c>
      <c r="W94" s="3">
        <v>8</v>
      </c>
      <c r="X94" s="3">
        <v>8</v>
      </c>
      <c r="Y94" s="3">
        <v>8</v>
      </c>
      <c r="Z94" s="3">
        <v>3</v>
      </c>
      <c r="AA94" s="3">
        <v>3</v>
      </c>
      <c r="AB94" s="3">
        <v>7</v>
      </c>
      <c r="AC94" s="3">
        <v>3</v>
      </c>
      <c r="AD94" s="3">
        <v>5</v>
      </c>
      <c r="AE94" s="3">
        <v>7</v>
      </c>
      <c r="AF94" s="3">
        <v>3</v>
      </c>
      <c r="AG94" s="3" t="s">
        <v>122</v>
      </c>
      <c r="AH94" s="3" t="s">
        <v>122</v>
      </c>
      <c r="AI94" s="3" t="s">
        <v>122</v>
      </c>
      <c r="AJ94" s="3" t="s">
        <v>122</v>
      </c>
      <c r="AK94" s="3" t="s">
        <v>122</v>
      </c>
      <c r="AL94" s="3" t="s">
        <v>122</v>
      </c>
      <c r="AM94" s="3" t="s">
        <v>122</v>
      </c>
      <c r="AN94" s="3">
        <v>2</v>
      </c>
      <c r="AO94" s="3">
        <v>4</v>
      </c>
      <c r="AP94" s="3">
        <v>4</v>
      </c>
      <c r="AQ94" s="42">
        <v>1</v>
      </c>
      <c r="AR94" cm="1">
        <f t="array" ref="AR94">_xlfn.IFS(AQ94*1=2,1,AQ94*1=4,1,TRUE,0)</f>
        <v>0</v>
      </c>
      <c r="AS94" cm="1">
        <f t="array" ref="AS94">_xlfn.IFS(AQ94*1=1,1,AQ94*1=2,1,TRUE,0)</f>
        <v>1</v>
      </c>
      <c r="AT94" s="3">
        <v>5</v>
      </c>
      <c r="AU94" s="3">
        <v>7</v>
      </c>
      <c r="AV94" s="36">
        <f t="shared" si="25"/>
        <v>1</v>
      </c>
      <c r="AW94" s="3">
        <f t="shared" si="26"/>
        <v>-1</v>
      </c>
      <c r="AX94" s="3">
        <f t="shared" si="27"/>
        <v>8</v>
      </c>
      <c r="AY94" s="3">
        <f t="shared" si="28"/>
        <v>9</v>
      </c>
      <c r="AZ94" s="3">
        <f t="shared" si="29"/>
        <v>8</v>
      </c>
      <c r="BA94" s="3">
        <f t="shared" si="30"/>
        <v>8</v>
      </c>
      <c r="BB94" s="3">
        <f t="shared" si="31"/>
        <v>8</v>
      </c>
      <c r="BC94" s="3">
        <f t="shared" si="32"/>
        <v>3</v>
      </c>
      <c r="BD94" s="3">
        <f t="shared" si="33"/>
        <v>3</v>
      </c>
      <c r="BE94" s="3">
        <f t="shared" si="34"/>
        <v>6</v>
      </c>
      <c r="BF94" s="3">
        <f t="shared" si="35"/>
        <v>7</v>
      </c>
      <c r="BG94" s="3">
        <f t="shared" si="36"/>
        <v>6</v>
      </c>
      <c r="BH94" s="3">
        <f t="shared" si="37"/>
        <v>4</v>
      </c>
      <c r="BI94" s="3">
        <f t="shared" si="38"/>
        <v>4</v>
      </c>
      <c r="BJ94" s="3">
        <f t="shared" si="39"/>
        <v>4</v>
      </c>
      <c r="BK94" s="3">
        <f t="shared" si="40"/>
        <v>4</v>
      </c>
      <c r="CA94" s="3">
        <v>2</v>
      </c>
      <c r="CB94" s="3">
        <f t="shared" si="42"/>
        <v>0</v>
      </c>
      <c r="CC94" s="3">
        <v>6</v>
      </c>
      <c r="CG94" s="3">
        <v>8</v>
      </c>
      <c r="CH94" s="3">
        <v>6</v>
      </c>
      <c r="CI94" s="3">
        <f t="shared" si="41"/>
        <v>2</v>
      </c>
    </row>
    <row r="95" spans="1:87" x14ac:dyDescent="0.4">
      <c r="A95" s="3">
        <v>202503</v>
      </c>
      <c r="B95" s="3">
        <v>1</v>
      </c>
      <c r="C95" s="3">
        <v>2</v>
      </c>
      <c r="D95" s="3">
        <v>2</v>
      </c>
      <c r="E95" s="3">
        <v>1</v>
      </c>
      <c r="F95" s="3">
        <v>3</v>
      </c>
      <c r="G95" s="3">
        <v>2</v>
      </c>
      <c r="H95" s="3">
        <v>1</v>
      </c>
      <c r="I95" s="3">
        <v>2</v>
      </c>
      <c r="J95" s="3">
        <v>6.5</v>
      </c>
      <c r="K95" s="3">
        <v>3</v>
      </c>
      <c r="L95" s="3">
        <v>8</v>
      </c>
      <c r="M95" s="3">
        <v>9</v>
      </c>
      <c r="N95" s="3">
        <v>9</v>
      </c>
      <c r="O95" s="3">
        <v>9</v>
      </c>
      <c r="P95" s="3">
        <v>9</v>
      </c>
      <c r="Q95" s="3">
        <v>2</v>
      </c>
      <c r="R95" s="3">
        <v>3</v>
      </c>
      <c r="S95" s="3">
        <v>6.5</v>
      </c>
      <c r="T95" s="3">
        <v>3</v>
      </c>
      <c r="U95" s="3">
        <v>7</v>
      </c>
      <c r="V95" s="3">
        <v>8</v>
      </c>
      <c r="W95" s="3">
        <v>5</v>
      </c>
      <c r="X95" s="3">
        <v>7</v>
      </c>
      <c r="Y95" s="3">
        <v>7</v>
      </c>
      <c r="Z95" s="3">
        <v>1</v>
      </c>
      <c r="AA95" s="3">
        <v>3</v>
      </c>
      <c r="AB95" s="3">
        <v>6.5</v>
      </c>
      <c r="AC95" s="3">
        <v>3</v>
      </c>
      <c r="AD95" s="3">
        <v>6.5</v>
      </c>
      <c r="AE95" s="3">
        <v>6.5</v>
      </c>
      <c r="AF95" s="3">
        <v>3</v>
      </c>
      <c r="AG95" s="3" t="s">
        <v>122</v>
      </c>
      <c r="AH95" s="3" t="s">
        <v>122</v>
      </c>
      <c r="AI95" s="3" t="s">
        <v>122</v>
      </c>
      <c r="AJ95" s="3" t="s">
        <v>122</v>
      </c>
      <c r="AK95" s="3" t="s">
        <v>122</v>
      </c>
      <c r="AL95" s="3" t="s">
        <v>122</v>
      </c>
      <c r="AM95" s="3" t="s">
        <v>122</v>
      </c>
      <c r="AN95" s="3">
        <v>2</v>
      </c>
      <c r="AO95" s="3">
        <v>3</v>
      </c>
      <c r="AP95" s="3">
        <v>4</v>
      </c>
      <c r="AQ95" s="42">
        <v>2</v>
      </c>
      <c r="AR95" cm="1">
        <f t="array" ref="AR95">_xlfn.IFS(AQ95*1=2,1,AQ95*1=4,1,TRUE,0)</f>
        <v>1</v>
      </c>
      <c r="AS95" cm="1">
        <f t="array" ref="AS95">_xlfn.IFS(AQ95*1=1,1,AQ95*1=2,1,TRUE,0)</f>
        <v>1</v>
      </c>
      <c r="AT95" s="3">
        <v>6.5</v>
      </c>
      <c r="AU95" s="3">
        <v>6.5</v>
      </c>
      <c r="AV95" s="36">
        <f t="shared" si="25"/>
        <v>0</v>
      </c>
      <c r="AW95" s="3">
        <f t="shared" si="26"/>
        <v>0</v>
      </c>
      <c r="AX95" s="3">
        <f t="shared" si="27"/>
        <v>8</v>
      </c>
      <c r="AY95" s="3">
        <f t="shared" si="28"/>
        <v>9</v>
      </c>
      <c r="AZ95" s="3">
        <f t="shared" si="29"/>
        <v>9</v>
      </c>
      <c r="BA95" s="3">
        <f t="shared" si="30"/>
        <v>9</v>
      </c>
      <c r="BB95" s="3">
        <f t="shared" si="31"/>
        <v>9</v>
      </c>
      <c r="BC95" s="3">
        <f t="shared" si="32"/>
        <v>2</v>
      </c>
      <c r="BD95" s="3">
        <f t="shared" si="33"/>
        <v>3</v>
      </c>
      <c r="BE95" s="3">
        <f t="shared" si="34"/>
        <v>7</v>
      </c>
      <c r="BF95" s="3">
        <f t="shared" si="35"/>
        <v>8</v>
      </c>
      <c r="BG95" s="3">
        <f t="shared" si="36"/>
        <v>5</v>
      </c>
      <c r="BH95" s="3">
        <f t="shared" si="37"/>
        <v>7</v>
      </c>
      <c r="BI95" s="3">
        <f t="shared" si="38"/>
        <v>7</v>
      </c>
      <c r="BJ95" s="3">
        <f t="shared" si="39"/>
        <v>1</v>
      </c>
      <c r="BK95" s="3">
        <f t="shared" si="40"/>
        <v>3</v>
      </c>
      <c r="CA95" s="3">
        <v>2</v>
      </c>
      <c r="CB95" s="3">
        <f t="shared" si="42"/>
        <v>0</v>
      </c>
      <c r="CC95" s="3">
        <v>6.5</v>
      </c>
      <c r="CG95" s="3">
        <v>8</v>
      </c>
      <c r="CH95" s="3">
        <v>7</v>
      </c>
      <c r="CI95" s="3">
        <f t="shared" si="41"/>
        <v>1</v>
      </c>
    </row>
    <row r="96" spans="1:87" x14ac:dyDescent="0.4">
      <c r="A96" s="3">
        <v>202503</v>
      </c>
      <c r="B96" s="3">
        <v>1</v>
      </c>
      <c r="C96" s="3">
        <v>2</v>
      </c>
      <c r="D96" s="3">
        <v>3</v>
      </c>
      <c r="E96" s="3">
        <v>1</v>
      </c>
      <c r="F96" s="3">
        <v>3</v>
      </c>
      <c r="G96" s="3">
        <v>3</v>
      </c>
      <c r="H96" s="3">
        <v>2</v>
      </c>
      <c r="I96" s="3">
        <v>3</v>
      </c>
      <c r="J96" s="3">
        <v>5</v>
      </c>
      <c r="K96" s="3">
        <v>2</v>
      </c>
      <c r="L96" s="3">
        <v>7</v>
      </c>
      <c r="M96" s="3">
        <v>7</v>
      </c>
      <c r="N96" s="3">
        <v>6</v>
      </c>
      <c r="O96" s="3">
        <v>7</v>
      </c>
      <c r="P96" s="3">
        <v>8</v>
      </c>
      <c r="Q96" s="3">
        <v>3</v>
      </c>
      <c r="R96" s="3">
        <v>4</v>
      </c>
      <c r="S96" s="3">
        <v>5.5</v>
      </c>
      <c r="T96" s="3">
        <v>2</v>
      </c>
      <c r="U96" s="3">
        <v>8</v>
      </c>
      <c r="V96" s="3">
        <v>8</v>
      </c>
      <c r="W96" s="3">
        <v>7</v>
      </c>
      <c r="X96" s="3">
        <v>8</v>
      </c>
      <c r="Y96" s="3">
        <v>8</v>
      </c>
      <c r="Z96" s="3">
        <v>4</v>
      </c>
      <c r="AA96" s="3">
        <v>3</v>
      </c>
      <c r="AB96" s="3">
        <v>5.5</v>
      </c>
      <c r="AC96" s="3">
        <v>2</v>
      </c>
      <c r="AD96" s="3">
        <v>5.5</v>
      </c>
      <c r="AE96" s="3">
        <v>5.5</v>
      </c>
      <c r="AF96" s="3">
        <v>2</v>
      </c>
      <c r="AG96" s="3" t="s">
        <v>122</v>
      </c>
      <c r="AH96" s="3" t="s">
        <v>122</v>
      </c>
      <c r="AI96" s="3" t="s">
        <v>122</v>
      </c>
      <c r="AJ96" s="3" t="s">
        <v>122</v>
      </c>
      <c r="AK96" s="3" t="s">
        <v>122</v>
      </c>
      <c r="AL96" s="3" t="s">
        <v>122</v>
      </c>
      <c r="AM96" s="3" t="s">
        <v>122</v>
      </c>
      <c r="AN96" s="3">
        <v>2</v>
      </c>
      <c r="AO96" s="3">
        <v>3</v>
      </c>
      <c r="AP96" s="3">
        <v>1</v>
      </c>
      <c r="AQ96" s="42">
        <v>1</v>
      </c>
      <c r="AR96" cm="1">
        <f t="array" ref="AR96">_xlfn.IFS(AQ96*1=2,1,AQ96*1=4,1,TRUE,0)</f>
        <v>0</v>
      </c>
      <c r="AS96" cm="1">
        <f t="array" ref="AS96">_xlfn.IFS(AQ96*1=1,1,AQ96*1=2,1,TRUE,0)</f>
        <v>1</v>
      </c>
      <c r="AT96" s="3">
        <v>5.5</v>
      </c>
      <c r="AU96" s="3">
        <v>5.5</v>
      </c>
      <c r="AV96" s="36">
        <f t="shared" si="25"/>
        <v>0.5</v>
      </c>
      <c r="AW96" s="3">
        <f t="shared" si="26"/>
        <v>0.5</v>
      </c>
      <c r="AX96" s="3">
        <f t="shared" si="27"/>
        <v>8</v>
      </c>
      <c r="AY96" s="3">
        <f t="shared" si="28"/>
        <v>8</v>
      </c>
      <c r="AZ96" s="3">
        <f t="shared" si="29"/>
        <v>7</v>
      </c>
      <c r="BA96" s="3">
        <f t="shared" si="30"/>
        <v>8</v>
      </c>
      <c r="BB96" s="3">
        <f t="shared" si="31"/>
        <v>8</v>
      </c>
      <c r="BC96" s="3">
        <f t="shared" si="32"/>
        <v>4</v>
      </c>
      <c r="BD96" s="3">
        <f t="shared" si="33"/>
        <v>3</v>
      </c>
      <c r="BE96" s="3">
        <f t="shared" si="34"/>
        <v>7</v>
      </c>
      <c r="BF96" s="3">
        <f t="shared" si="35"/>
        <v>7</v>
      </c>
      <c r="BG96" s="3">
        <f t="shared" si="36"/>
        <v>6</v>
      </c>
      <c r="BH96" s="3">
        <f t="shared" si="37"/>
        <v>7</v>
      </c>
      <c r="BI96" s="3">
        <f t="shared" si="38"/>
        <v>8</v>
      </c>
      <c r="BJ96" s="3">
        <f t="shared" si="39"/>
        <v>3</v>
      </c>
      <c r="BK96" s="3">
        <f t="shared" si="40"/>
        <v>4</v>
      </c>
      <c r="CA96" s="3">
        <v>2</v>
      </c>
      <c r="CB96" s="3">
        <f t="shared" si="42"/>
        <v>0</v>
      </c>
      <c r="CC96" s="3">
        <v>5</v>
      </c>
      <c r="CG96" s="3">
        <v>8</v>
      </c>
      <c r="CH96" s="3">
        <v>7</v>
      </c>
      <c r="CI96" s="3">
        <f t="shared" si="41"/>
        <v>1</v>
      </c>
    </row>
    <row r="97" spans="1:87" x14ac:dyDescent="0.4">
      <c r="A97" s="3">
        <v>202503</v>
      </c>
      <c r="B97" s="3">
        <v>1</v>
      </c>
      <c r="C97" s="3">
        <v>4</v>
      </c>
      <c r="D97" s="3">
        <v>1</v>
      </c>
      <c r="E97" s="3">
        <v>1</v>
      </c>
      <c r="F97" s="3">
        <v>3</v>
      </c>
      <c r="G97" s="3">
        <v>1</v>
      </c>
      <c r="H97" s="3">
        <v>1</v>
      </c>
      <c r="I97" s="3">
        <v>2</v>
      </c>
      <c r="J97" s="3">
        <v>4</v>
      </c>
      <c r="K97" s="3">
        <v>3</v>
      </c>
      <c r="L97" s="3">
        <v>2</v>
      </c>
      <c r="M97" s="3">
        <v>5</v>
      </c>
      <c r="N97" s="3">
        <v>2</v>
      </c>
      <c r="O97" s="3">
        <v>3</v>
      </c>
      <c r="P97" s="3">
        <v>2</v>
      </c>
      <c r="Q97" s="3">
        <v>3</v>
      </c>
      <c r="R97" s="3">
        <v>3</v>
      </c>
      <c r="S97" s="4">
        <v>5.5</v>
      </c>
      <c r="T97" s="4">
        <v>3</v>
      </c>
      <c r="U97" s="3">
        <v>3</v>
      </c>
      <c r="V97" s="3">
        <v>7</v>
      </c>
      <c r="W97" s="3">
        <v>5</v>
      </c>
      <c r="X97" s="3">
        <v>4</v>
      </c>
      <c r="Y97" s="3">
        <v>6</v>
      </c>
      <c r="Z97" s="3">
        <v>3</v>
      </c>
      <c r="AA97" s="3">
        <v>3</v>
      </c>
      <c r="AB97" s="4">
        <v>6</v>
      </c>
      <c r="AC97" s="4">
        <v>3</v>
      </c>
      <c r="AD97" s="3">
        <v>4</v>
      </c>
      <c r="AE97" s="3">
        <v>4</v>
      </c>
      <c r="AF97" s="3">
        <v>3</v>
      </c>
      <c r="AG97" s="3" t="s">
        <v>122</v>
      </c>
      <c r="AH97" s="3" t="s">
        <v>122</v>
      </c>
      <c r="AI97" s="3" t="s">
        <v>122</v>
      </c>
      <c r="AJ97" s="3" t="s">
        <v>122</v>
      </c>
      <c r="AK97" s="3" t="s">
        <v>122</v>
      </c>
      <c r="AL97" s="3" t="s">
        <v>122</v>
      </c>
      <c r="AM97" s="3" t="s">
        <v>122</v>
      </c>
      <c r="AN97" s="3">
        <v>2</v>
      </c>
      <c r="AO97" s="3">
        <v>2</v>
      </c>
      <c r="AP97" s="3">
        <v>2</v>
      </c>
      <c r="AQ97" s="42">
        <v>2</v>
      </c>
      <c r="AR97" cm="1">
        <f t="array" ref="AR97">_xlfn.IFS(AQ97*1=2,1,AQ97*1=4,1,TRUE,0)</f>
        <v>1</v>
      </c>
      <c r="AS97" cm="1">
        <f t="array" ref="AS97">_xlfn.IFS(AQ97*1=1,1,AQ97*1=2,1,TRUE,0)</f>
        <v>1</v>
      </c>
      <c r="AT97" s="3">
        <v>4</v>
      </c>
      <c r="AU97" s="3">
        <v>4</v>
      </c>
      <c r="AV97" s="36">
        <f t="shared" si="25"/>
        <v>0</v>
      </c>
      <c r="AW97" s="3">
        <f t="shared" si="26"/>
        <v>0</v>
      </c>
      <c r="AX97" s="3">
        <f t="shared" si="27"/>
        <v>2</v>
      </c>
      <c r="AY97" s="3">
        <f t="shared" si="28"/>
        <v>5</v>
      </c>
      <c r="AZ97" s="3">
        <f t="shared" si="29"/>
        <v>2</v>
      </c>
      <c r="BA97" s="3">
        <f t="shared" si="30"/>
        <v>3</v>
      </c>
      <c r="BB97" s="3">
        <f t="shared" si="31"/>
        <v>2</v>
      </c>
      <c r="BC97" s="3">
        <f t="shared" si="32"/>
        <v>3</v>
      </c>
      <c r="BD97" s="3">
        <f t="shared" si="33"/>
        <v>3</v>
      </c>
      <c r="BE97" s="3">
        <f t="shared" si="34"/>
        <v>3</v>
      </c>
      <c r="BF97" s="3">
        <f t="shared" si="35"/>
        <v>7</v>
      </c>
      <c r="BG97" s="3">
        <f t="shared" si="36"/>
        <v>5</v>
      </c>
      <c r="BH97" s="3">
        <f t="shared" si="37"/>
        <v>4</v>
      </c>
      <c r="BI97" s="3">
        <f t="shared" si="38"/>
        <v>6</v>
      </c>
      <c r="BJ97" s="3">
        <f t="shared" si="39"/>
        <v>3</v>
      </c>
      <c r="BK97" s="3">
        <f t="shared" si="40"/>
        <v>3</v>
      </c>
      <c r="CA97" s="3">
        <v>2</v>
      </c>
      <c r="CB97" s="3">
        <f t="shared" si="42"/>
        <v>0</v>
      </c>
      <c r="CC97" s="3">
        <v>4</v>
      </c>
      <c r="CG97" s="3">
        <v>2</v>
      </c>
      <c r="CH97" s="3">
        <v>3</v>
      </c>
      <c r="CI97" s="3">
        <f t="shared" si="41"/>
        <v>-1</v>
      </c>
    </row>
    <row r="98" spans="1:87" x14ac:dyDescent="0.4">
      <c r="A98" s="3">
        <v>202503</v>
      </c>
      <c r="B98" s="3">
        <v>1</v>
      </c>
      <c r="C98" s="3">
        <v>2</v>
      </c>
      <c r="D98" s="3">
        <v>2</v>
      </c>
      <c r="E98" s="3">
        <v>1</v>
      </c>
      <c r="F98" s="3">
        <v>2</v>
      </c>
      <c r="G98" s="3">
        <v>2</v>
      </c>
      <c r="H98" s="3">
        <v>2</v>
      </c>
      <c r="I98" s="3">
        <v>3</v>
      </c>
      <c r="J98" s="3">
        <v>5</v>
      </c>
      <c r="K98" s="3">
        <v>3</v>
      </c>
      <c r="L98" s="3">
        <v>7</v>
      </c>
      <c r="M98" s="3">
        <v>8</v>
      </c>
      <c r="N98" s="3">
        <v>8</v>
      </c>
      <c r="O98" s="3">
        <v>8</v>
      </c>
      <c r="P98" s="3">
        <v>6</v>
      </c>
      <c r="Q98" s="3">
        <v>2</v>
      </c>
      <c r="R98" s="3">
        <v>3</v>
      </c>
      <c r="S98" s="4" t="s">
        <v>122</v>
      </c>
      <c r="T98" s="4" t="s">
        <v>122</v>
      </c>
      <c r="U98" s="3">
        <v>7</v>
      </c>
      <c r="V98" s="3">
        <v>8</v>
      </c>
      <c r="W98" s="3">
        <v>5</v>
      </c>
      <c r="X98" s="3">
        <v>6</v>
      </c>
      <c r="Y98" s="3">
        <v>7</v>
      </c>
      <c r="Z98" s="3">
        <v>4</v>
      </c>
      <c r="AA98" s="3">
        <v>3</v>
      </c>
      <c r="AB98" s="4" t="s">
        <v>122</v>
      </c>
      <c r="AC98" s="4" t="s">
        <v>122</v>
      </c>
      <c r="AD98" s="3" t="s">
        <v>122</v>
      </c>
      <c r="AE98" s="3" t="s">
        <v>122</v>
      </c>
      <c r="AF98" s="3" t="s">
        <v>122</v>
      </c>
      <c r="AG98" s="3">
        <v>5</v>
      </c>
      <c r="AH98" s="3">
        <v>5</v>
      </c>
      <c r="AI98" s="3">
        <v>2</v>
      </c>
      <c r="AJ98" s="3">
        <v>5.5</v>
      </c>
      <c r="AK98" s="3">
        <v>3</v>
      </c>
      <c r="AL98" s="3">
        <v>5</v>
      </c>
      <c r="AM98" s="3">
        <v>3</v>
      </c>
      <c r="AN98" s="3">
        <v>1</v>
      </c>
      <c r="AO98" s="3">
        <v>4</v>
      </c>
      <c r="AP98" s="3">
        <v>1</v>
      </c>
      <c r="AQ98" s="42">
        <v>3</v>
      </c>
      <c r="AR98" cm="1">
        <f t="array" ref="AR98">_xlfn.IFS(AQ98*1=2,1,AQ98*1=4,1,TRUE,0)</f>
        <v>0</v>
      </c>
      <c r="AS98" cm="1">
        <f t="array" ref="AS98">_xlfn.IFS(AQ98*1=1,1,AQ98*1=2,1,TRUE,0)</f>
        <v>0</v>
      </c>
      <c r="AT98" s="3">
        <v>5.5</v>
      </c>
      <c r="AU98" s="3">
        <v>5</v>
      </c>
      <c r="AV98" s="36">
        <f t="shared" ref="AV98:AV109" si="43">IF(COUNT(AU98,J98)=2,AU98-J98,"")</f>
        <v>0</v>
      </c>
      <c r="AW98" s="3">
        <f t="shared" ref="AW98:AW109" si="44">AT98-J98</f>
        <v>0.5</v>
      </c>
      <c r="AX98" s="3">
        <f t="shared" si="27"/>
        <v>7</v>
      </c>
      <c r="AY98" s="3">
        <f t="shared" si="28"/>
        <v>8</v>
      </c>
      <c r="AZ98" s="3">
        <f t="shared" si="29"/>
        <v>5</v>
      </c>
      <c r="BA98" s="3">
        <f t="shared" si="30"/>
        <v>6</v>
      </c>
      <c r="BB98" s="3">
        <f t="shared" si="31"/>
        <v>7</v>
      </c>
      <c r="BC98" s="3">
        <f t="shared" si="32"/>
        <v>4</v>
      </c>
      <c r="BD98" s="3">
        <f t="shared" si="33"/>
        <v>3</v>
      </c>
      <c r="BE98" s="3">
        <f t="shared" si="34"/>
        <v>7</v>
      </c>
      <c r="BF98" s="3">
        <f t="shared" si="35"/>
        <v>8</v>
      </c>
      <c r="BG98" s="3">
        <f t="shared" si="36"/>
        <v>8</v>
      </c>
      <c r="BH98" s="3">
        <f t="shared" si="37"/>
        <v>8</v>
      </c>
      <c r="BI98" s="3">
        <f t="shared" si="38"/>
        <v>6</v>
      </c>
      <c r="BJ98" s="3">
        <f t="shared" si="39"/>
        <v>2</v>
      </c>
      <c r="BK98" s="3">
        <f t="shared" si="40"/>
        <v>3</v>
      </c>
      <c r="CA98" s="3">
        <v>1</v>
      </c>
      <c r="CB98" s="3">
        <f t="shared" si="42"/>
        <v>1</v>
      </c>
      <c r="CC98" s="3">
        <v>5</v>
      </c>
      <c r="CG98" s="3">
        <v>7</v>
      </c>
      <c r="CH98" s="3">
        <v>7</v>
      </c>
      <c r="CI98" s="3">
        <f t="shared" si="41"/>
        <v>0</v>
      </c>
    </row>
    <row r="99" spans="1:87" x14ac:dyDescent="0.4">
      <c r="A99" s="3">
        <v>202503</v>
      </c>
      <c r="B99" s="3">
        <v>1</v>
      </c>
      <c r="C99" s="3">
        <v>3</v>
      </c>
      <c r="D99" s="3">
        <v>4</v>
      </c>
      <c r="E99" s="3">
        <v>1</v>
      </c>
      <c r="F99" s="3">
        <v>2</v>
      </c>
      <c r="G99" s="3">
        <v>1</v>
      </c>
      <c r="H99" s="3">
        <v>1</v>
      </c>
      <c r="I99" s="3">
        <v>2</v>
      </c>
      <c r="J99" s="3">
        <v>4.5</v>
      </c>
      <c r="K99" s="3">
        <v>2</v>
      </c>
      <c r="L99" s="3">
        <v>4</v>
      </c>
      <c r="M99" s="3">
        <v>5</v>
      </c>
      <c r="N99" s="3">
        <v>6</v>
      </c>
      <c r="O99" s="3">
        <v>2</v>
      </c>
      <c r="P99" s="3">
        <v>5</v>
      </c>
      <c r="Q99" s="3">
        <v>4</v>
      </c>
      <c r="R99" s="3">
        <v>2</v>
      </c>
      <c r="S99" s="4" t="s">
        <v>122</v>
      </c>
      <c r="T99" s="4" t="s">
        <v>122</v>
      </c>
      <c r="U99" s="3">
        <v>5</v>
      </c>
      <c r="V99" s="3">
        <v>6</v>
      </c>
      <c r="W99" s="3">
        <v>4</v>
      </c>
      <c r="X99" s="3">
        <v>5</v>
      </c>
      <c r="Y99" s="3">
        <v>6</v>
      </c>
      <c r="Z99" s="3">
        <v>1</v>
      </c>
      <c r="AA99" s="3">
        <v>1</v>
      </c>
      <c r="AB99" s="4" t="s">
        <v>122</v>
      </c>
      <c r="AC99" s="4" t="s">
        <v>122</v>
      </c>
      <c r="AD99" s="3" t="s">
        <v>122</v>
      </c>
      <c r="AE99" s="3" t="s">
        <v>122</v>
      </c>
      <c r="AF99" s="3" t="s">
        <v>122</v>
      </c>
      <c r="AG99" s="3">
        <v>4.5</v>
      </c>
      <c r="AH99" s="3">
        <v>4.5</v>
      </c>
      <c r="AI99" s="3">
        <v>2</v>
      </c>
      <c r="AJ99" s="3">
        <v>0</v>
      </c>
      <c r="AK99" s="3" t="s">
        <v>122</v>
      </c>
      <c r="AL99" s="3">
        <v>0</v>
      </c>
      <c r="AM99" s="3" t="s">
        <v>122</v>
      </c>
      <c r="AN99" s="3">
        <v>2</v>
      </c>
      <c r="AO99" s="3">
        <v>3</v>
      </c>
      <c r="AP99" s="3">
        <v>1</v>
      </c>
      <c r="AQ99" s="42">
        <v>4</v>
      </c>
      <c r="AR99" cm="1">
        <f t="array" ref="AR99">_xlfn.IFS(AQ99*1=2,1,AQ99*1=4,1,TRUE,0)</f>
        <v>1</v>
      </c>
      <c r="AS99" cm="1">
        <f t="array" ref="AS99">_xlfn.IFS(AQ99*1=1,1,AQ99*1=2,1,TRUE,0)</f>
        <v>0</v>
      </c>
      <c r="AT99" s="3">
        <v>0</v>
      </c>
      <c r="AU99" s="3">
        <v>0</v>
      </c>
      <c r="AV99" s="36">
        <f t="shared" si="43"/>
        <v>-4.5</v>
      </c>
      <c r="AW99" s="3">
        <f t="shared" si="44"/>
        <v>-4.5</v>
      </c>
      <c r="AX99" s="3">
        <f t="shared" si="27"/>
        <v>4</v>
      </c>
      <c r="AY99" s="3">
        <f t="shared" si="28"/>
        <v>5</v>
      </c>
      <c r="AZ99" s="3">
        <f t="shared" si="29"/>
        <v>6</v>
      </c>
      <c r="BA99" s="3">
        <f t="shared" si="30"/>
        <v>2</v>
      </c>
      <c r="BB99" s="3">
        <f t="shared" si="31"/>
        <v>5</v>
      </c>
      <c r="BC99" s="3">
        <f t="shared" si="32"/>
        <v>4</v>
      </c>
      <c r="BD99" s="3">
        <f t="shared" si="33"/>
        <v>2</v>
      </c>
      <c r="BE99" s="3">
        <f t="shared" si="34"/>
        <v>5</v>
      </c>
      <c r="BF99" s="3">
        <f t="shared" si="35"/>
        <v>6</v>
      </c>
      <c r="BG99" s="3">
        <f t="shared" si="36"/>
        <v>4</v>
      </c>
      <c r="BH99" s="3">
        <f t="shared" si="37"/>
        <v>5</v>
      </c>
      <c r="BI99" s="3">
        <f t="shared" si="38"/>
        <v>6</v>
      </c>
      <c r="BJ99" s="3">
        <f t="shared" si="39"/>
        <v>1</v>
      </c>
      <c r="BK99" s="3">
        <f t="shared" si="40"/>
        <v>1</v>
      </c>
      <c r="CA99" s="3">
        <v>2</v>
      </c>
      <c r="CB99" s="3">
        <f t="shared" si="42"/>
        <v>0</v>
      </c>
      <c r="CC99" s="3">
        <v>4.5</v>
      </c>
      <c r="CG99" s="3">
        <v>4</v>
      </c>
      <c r="CH99" s="3">
        <v>5</v>
      </c>
      <c r="CI99" s="3">
        <f t="shared" si="41"/>
        <v>-1</v>
      </c>
    </row>
    <row r="100" spans="1:87" x14ac:dyDescent="0.4">
      <c r="A100" s="3">
        <v>202503</v>
      </c>
      <c r="B100" s="3">
        <v>1</v>
      </c>
      <c r="C100" s="3">
        <v>4</v>
      </c>
      <c r="D100" s="3">
        <v>4</v>
      </c>
      <c r="E100" s="3">
        <v>2</v>
      </c>
      <c r="F100" s="3">
        <v>2</v>
      </c>
      <c r="G100" s="3">
        <v>2</v>
      </c>
      <c r="H100" s="3">
        <v>1</v>
      </c>
      <c r="I100" s="3">
        <v>3</v>
      </c>
      <c r="J100" s="3">
        <v>5</v>
      </c>
      <c r="K100" s="3">
        <v>2</v>
      </c>
      <c r="L100" s="3">
        <v>4</v>
      </c>
      <c r="M100" s="3">
        <v>8</v>
      </c>
      <c r="N100" s="3">
        <v>8</v>
      </c>
      <c r="O100" s="3">
        <v>4</v>
      </c>
      <c r="P100" s="3">
        <v>4</v>
      </c>
      <c r="Q100" s="3">
        <v>2</v>
      </c>
      <c r="R100" s="3">
        <v>3</v>
      </c>
      <c r="S100" s="3" t="s">
        <v>122</v>
      </c>
      <c r="T100" s="3" t="s">
        <v>122</v>
      </c>
      <c r="U100" s="3">
        <v>7</v>
      </c>
      <c r="V100" s="3">
        <v>9</v>
      </c>
      <c r="W100" s="3">
        <v>7</v>
      </c>
      <c r="X100" s="3">
        <v>8</v>
      </c>
      <c r="Y100" s="3">
        <v>5</v>
      </c>
      <c r="Z100" s="3">
        <v>3</v>
      </c>
      <c r="AA100" s="3">
        <v>3</v>
      </c>
      <c r="AB100" s="3" t="s">
        <v>122</v>
      </c>
      <c r="AC100" s="3" t="s">
        <v>122</v>
      </c>
      <c r="AD100" s="3" t="s">
        <v>122</v>
      </c>
      <c r="AE100" s="3" t="s">
        <v>122</v>
      </c>
      <c r="AF100" s="3" t="s">
        <v>122</v>
      </c>
      <c r="AG100" s="3">
        <v>5</v>
      </c>
      <c r="AH100" s="3">
        <v>5</v>
      </c>
      <c r="AI100" s="3">
        <v>2</v>
      </c>
      <c r="AJ100" s="3">
        <v>5</v>
      </c>
      <c r="AK100" s="3">
        <v>3</v>
      </c>
      <c r="AL100" s="3">
        <v>5.5</v>
      </c>
      <c r="AM100" s="3">
        <v>3</v>
      </c>
      <c r="AN100" s="3">
        <v>2</v>
      </c>
      <c r="AO100" s="3">
        <v>3</v>
      </c>
      <c r="AP100" s="3">
        <v>1</v>
      </c>
      <c r="AQ100" s="42">
        <v>3</v>
      </c>
      <c r="AR100" cm="1">
        <f t="array" ref="AR100">_xlfn.IFS(AQ100*1=2,1,AQ100*1=4,1,TRUE,0)</f>
        <v>0</v>
      </c>
      <c r="AS100" cm="1">
        <f t="array" ref="AS100">_xlfn.IFS(AQ100*1=1,1,AQ100*1=2,1,TRUE,0)</f>
        <v>0</v>
      </c>
      <c r="AT100" s="3">
        <v>5</v>
      </c>
      <c r="AU100" s="3">
        <v>5.5</v>
      </c>
      <c r="AV100" s="36">
        <f t="shared" si="43"/>
        <v>0.5</v>
      </c>
      <c r="AW100" s="3">
        <f t="shared" si="44"/>
        <v>0</v>
      </c>
      <c r="AX100" s="3">
        <f t="shared" si="27"/>
        <v>7</v>
      </c>
      <c r="AY100" s="3">
        <f t="shared" si="28"/>
        <v>9</v>
      </c>
      <c r="AZ100" s="3">
        <f t="shared" si="29"/>
        <v>7</v>
      </c>
      <c r="BA100" s="3">
        <f t="shared" si="30"/>
        <v>8</v>
      </c>
      <c r="BB100" s="3">
        <f t="shared" si="31"/>
        <v>5</v>
      </c>
      <c r="BC100" s="3">
        <f t="shared" si="32"/>
        <v>3</v>
      </c>
      <c r="BD100" s="3">
        <f t="shared" si="33"/>
        <v>3</v>
      </c>
      <c r="BE100" s="3">
        <f t="shared" si="34"/>
        <v>4</v>
      </c>
      <c r="BF100" s="3">
        <f t="shared" si="35"/>
        <v>8</v>
      </c>
      <c r="BG100" s="3">
        <f t="shared" si="36"/>
        <v>8</v>
      </c>
      <c r="BH100" s="3">
        <f t="shared" si="37"/>
        <v>4</v>
      </c>
      <c r="BI100" s="3">
        <f t="shared" si="38"/>
        <v>4</v>
      </c>
      <c r="BJ100" s="3">
        <f t="shared" si="39"/>
        <v>2</v>
      </c>
      <c r="BK100" s="3">
        <f t="shared" si="40"/>
        <v>3</v>
      </c>
      <c r="CA100" s="3">
        <v>2</v>
      </c>
      <c r="CB100" s="3">
        <f t="shared" si="42"/>
        <v>0</v>
      </c>
      <c r="CC100" s="3">
        <v>5</v>
      </c>
      <c r="CG100" s="3">
        <v>7</v>
      </c>
      <c r="CH100" s="3">
        <v>4</v>
      </c>
      <c r="CI100" s="3">
        <f t="shared" si="41"/>
        <v>3</v>
      </c>
    </row>
    <row r="101" spans="1:87" x14ac:dyDescent="0.4">
      <c r="A101" s="3">
        <v>202503</v>
      </c>
      <c r="B101" s="3">
        <v>1</v>
      </c>
      <c r="C101" s="3">
        <v>3</v>
      </c>
      <c r="D101" s="3">
        <v>3</v>
      </c>
      <c r="E101" s="3">
        <v>3</v>
      </c>
      <c r="F101" s="3">
        <v>5</v>
      </c>
      <c r="G101" s="3">
        <v>5</v>
      </c>
      <c r="H101" s="3">
        <v>5</v>
      </c>
      <c r="I101" s="3">
        <v>5</v>
      </c>
      <c r="J101" s="3">
        <v>6</v>
      </c>
      <c r="K101" s="3">
        <v>1</v>
      </c>
      <c r="L101" s="3">
        <v>7</v>
      </c>
      <c r="M101" s="3">
        <v>4</v>
      </c>
      <c r="N101" s="3">
        <v>1</v>
      </c>
      <c r="O101" s="3">
        <v>4</v>
      </c>
      <c r="P101" s="3">
        <v>8</v>
      </c>
      <c r="Q101" s="3">
        <v>1</v>
      </c>
      <c r="R101" s="3">
        <v>5</v>
      </c>
      <c r="S101" s="3">
        <v>4</v>
      </c>
      <c r="T101" s="3">
        <v>3</v>
      </c>
      <c r="U101" s="3">
        <v>9</v>
      </c>
      <c r="V101" s="3">
        <v>9</v>
      </c>
      <c r="W101" s="3">
        <v>9</v>
      </c>
      <c r="X101" s="3">
        <v>9</v>
      </c>
      <c r="Y101" s="3">
        <v>9</v>
      </c>
      <c r="Z101" s="3">
        <v>4</v>
      </c>
      <c r="AA101" s="3">
        <v>4</v>
      </c>
      <c r="AB101" s="3">
        <v>4</v>
      </c>
      <c r="AC101" s="3">
        <v>3</v>
      </c>
      <c r="AD101" s="3">
        <v>2</v>
      </c>
      <c r="AE101" s="3">
        <v>2</v>
      </c>
      <c r="AF101" s="3">
        <v>3</v>
      </c>
      <c r="AG101" s="3" t="s">
        <v>122</v>
      </c>
      <c r="AH101" s="3" t="s">
        <v>122</v>
      </c>
      <c r="AI101" s="3" t="s">
        <v>122</v>
      </c>
      <c r="AJ101" s="3" t="s">
        <v>122</v>
      </c>
      <c r="AK101" s="3" t="s">
        <v>122</v>
      </c>
      <c r="AL101" s="3" t="s">
        <v>122</v>
      </c>
      <c r="AM101" s="3" t="s">
        <v>122</v>
      </c>
      <c r="AN101" s="3">
        <v>2</v>
      </c>
      <c r="AO101" s="3">
        <v>3</v>
      </c>
      <c r="AP101" s="3">
        <v>2</v>
      </c>
      <c r="AQ101" s="42">
        <v>1</v>
      </c>
      <c r="AR101" cm="1">
        <f t="array" ref="AR101">_xlfn.IFS(AQ101*1=2,1,AQ101*1=4,1,TRUE,0)</f>
        <v>0</v>
      </c>
      <c r="AS101" cm="1">
        <f t="array" ref="AS101">_xlfn.IFS(AQ101*1=1,1,AQ101*1=2,1,TRUE,0)</f>
        <v>1</v>
      </c>
      <c r="AT101" s="3">
        <v>2</v>
      </c>
      <c r="AU101" s="3">
        <v>2</v>
      </c>
      <c r="AV101" s="36">
        <f t="shared" si="43"/>
        <v>-4</v>
      </c>
      <c r="AW101" s="3">
        <f t="shared" si="44"/>
        <v>-4</v>
      </c>
      <c r="AX101" s="3">
        <f t="shared" si="27"/>
        <v>9</v>
      </c>
      <c r="AY101" s="3">
        <f t="shared" si="28"/>
        <v>9</v>
      </c>
      <c r="AZ101" s="3">
        <f t="shared" si="29"/>
        <v>9</v>
      </c>
      <c r="BA101" s="3">
        <f t="shared" si="30"/>
        <v>9</v>
      </c>
      <c r="BB101" s="3">
        <f t="shared" si="31"/>
        <v>9</v>
      </c>
      <c r="BC101" s="3">
        <f t="shared" si="32"/>
        <v>4</v>
      </c>
      <c r="BD101" s="3">
        <f t="shared" si="33"/>
        <v>4</v>
      </c>
      <c r="BE101" s="3">
        <f t="shared" si="34"/>
        <v>7</v>
      </c>
      <c r="BF101" s="3">
        <f t="shared" si="35"/>
        <v>4</v>
      </c>
      <c r="BG101" s="3">
        <f t="shared" si="36"/>
        <v>1</v>
      </c>
      <c r="BH101" s="3">
        <f t="shared" si="37"/>
        <v>4</v>
      </c>
      <c r="BI101" s="3">
        <f t="shared" si="38"/>
        <v>8</v>
      </c>
      <c r="BJ101" s="3">
        <f t="shared" si="39"/>
        <v>1</v>
      </c>
      <c r="BK101" s="3">
        <f t="shared" si="40"/>
        <v>5</v>
      </c>
      <c r="CA101" s="3">
        <v>2</v>
      </c>
      <c r="CB101" s="3">
        <f t="shared" si="42"/>
        <v>0</v>
      </c>
      <c r="CC101" s="3">
        <v>6</v>
      </c>
      <c r="CG101" s="3">
        <v>9</v>
      </c>
      <c r="CH101" s="3">
        <v>7</v>
      </c>
      <c r="CI101" s="3">
        <f t="shared" si="41"/>
        <v>2</v>
      </c>
    </row>
    <row r="102" spans="1:87" x14ac:dyDescent="0.4">
      <c r="A102" s="3">
        <v>202503</v>
      </c>
      <c r="B102" s="3">
        <v>1</v>
      </c>
      <c r="C102" s="3">
        <v>4</v>
      </c>
      <c r="D102" s="3">
        <v>4</v>
      </c>
      <c r="E102" s="3">
        <v>1</v>
      </c>
      <c r="F102" s="3">
        <v>3</v>
      </c>
      <c r="G102" s="3">
        <v>2</v>
      </c>
      <c r="H102" s="3">
        <v>3</v>
      </c>
      <c r="I102" s="3">
        <v>2</v>
      </c>
      <c r="J102" s="3">
        <v>4.5</v>
      </c>
      <c r="K102" s="3">
        <v>3</v>
      </c>
      <c r="L102" s="3">
        <v>7</v>
      </c>
      <c r="M102" s="3">
        <v>9</v>
      </c>
      <c r="N102" s="3">
        <v>9</v>
      </c>
      <c r="O102" s="3">
        <v>9</v>
      </c>
      <c r="P102" s="3">
        <v>5</v>
      </c>
      <c r="Q102" s="3">
        <v>3</v>
      </c>
      <c r="R102" s="3">
        <v>1</v>
      </c>
      <c r="S102" s="4">
        <v>2</v>
      </c>
      <c r="T102" s="4">
        <v>3</v>
      </c>
      <c r="U102" s="3">
        <v>8</v>
      </c>
      <c r="V102" s="3">
        <v>9</v>
      </c>
      <c r="W102" s="3">
        <v>7</v>
      </c>
      <c r="X102" s="3">
        <v>8</v>
      </c>
      <c r="Y102" s="3">
        <v>5</v>
      </c>
      <c r="Z102" s="3">
        <v>3</v>
      </c>
      <c r="AA102" s="3">
        <v>2</v>
      </c>
      <c r="AB102" s="4">
        <v>2</v>
      </c>
      <c r="AC102" s="4">
        <v>3</v>
      </c>
      <c r="AD102" s="3">
        <v>2</v>
      </c>
      <c r="AE102" s="3">
        <v>2</v>
      </c>
      <c r="AF102" s="3">
        <v>3</v>
      </c>
      <c r="AG102" s="3" t="s">
        <v>122</v>
      </c>
      <c r="AH102" s="3" t="s">
        <v>122</v>
      </c>
      <c r="AI102" s="3" t="s">
        <v>122</v>
      </c>
      <c r="AJ102" s="3" t="s">
        <v>122</v>
      </c>
      <c r="AK102" s="3" t="s">
        <v>122</v>
      </c>
      <c r="AL102" s="3" t="s">
        <v>122</v>
      </c>
      <c r="AM102" s="3" t="s">
        <v>122</v>
      </c>
      <c r="AN102" s="3">
        <v>1</v>
      </c>
      <c r="AO102" s="3">
        <v>3</v>
      </c>
      <c r="AP102" s="3">
        <v>1</v>
      </c>
      <c r="AQ102" s="42">
        <v>1</v>
      </c>
      <c r="AR102" cm="1">
        <f t="array" ref="AR102">_xlfn.IFS(AQ102*1=2,1,AQ102*1=4,1,TRUE,0)</f>
        <v>0</v>
      </c>
      <c r="AS102" cm="1">
        <f t="array" ref="AS102">_xlfn.IFS(AQ102*1=1,1,AQ102*1=2,1,TRUE,0)</f>
        <v>1</v>
      </c>
      <c r="AT102" s="3">
        <v>2</v>
      </c>
      <c r="AU102" s="3">
        <v>2</v>
      </c>
      <c r="AV102" s="36">
        <f t="shared" si="43"/>
        <v>-2.5</v>
      </c>
      <c r="AW102" s="3">
        <f t="shared" si="44"/>
        <v>-2.5</v>
      </c>
      <c r="AX102" s="3">
        <f t="shared" si="27"/>
        <v>8</v>
      </c>
      <c r="AY102" s="3">
        <f t="shared" si="28"/>
        <v>9</v>
      </c>
      <c r="AZ102" s="3">
        <f t="shared" si="29"/>
        <v>7</v>
      </c>
      <c r="BA102" s="3">
        <f t="shared" si="30"/>
        <v>8</v>
      </c>
      <c r="BB102" s="3">
        <f t="shared" si="31"/>
        <v>5</v>
      </c>
      <c r="BC102" s="3">
        <f t="shared" si="32"/>
        <v>3</v>
      </c>
      <c r="BD102" s="3">
        <f t="shared" si="33"/>
        <v>2</v>
      </c>
      <c r="BE102" s="3">
        <f t="shared" si="34"/>
        <v>7</v>
      </c>
      <c r="BF102" s="3">
        <f t="shared" si="35"/>
        <v>9</v>
      </c>
      <c r="BG102" s="3">
        <f t="shared" si="36"/>
        <v>9</v>
      </c>
      <c r="BH102" s="3">
        <f t="shared" si="37"/>
        <v>9</v>
      </c>
      <c r="BI102" s="3">
        <f t="shared" si="38"/>
        <v>5</v>
      </c>
      <c r="BJ102" s="3">
        <f t="shared" si="39"/>
        <v>3</v>
      </c>
      <c r="BK102" s="3">
        <f t="shared" si="40"/>
        <v>1</v>
      </c>
      <c r="CA102" s="3">
        <v>1</v>
      </c>
      <c r="CB102" s="3">
        <f t="shared" si="42"/>
        <v>1</v>
      </c>
      <c r="CC102" s="3">
        <v>4.5</v>
      </c>
      <c r="CG102" s="3">
        <v>8</v>
      </c>
      <c r="CH102" s="3">
        <v>7</v>
      </c>
      <c r="CI102" s="3">
        <f t="shared" si="41"/>
        <v>1</v>
      </c>
    </row>
    <row r="103" spans="1:87" x14ac:dyDescent="0.4">
      <c r="A103" s="3">
        <v>202503</v>
      </c>
      <c r="B103" s="3">
        <v>0</v>
      </c>
      <c r="C103" s="3">
        <v>1</v>
      </c>
      <c r="D103" s="3">
        <v>1</v>
      </c>
      <c r="E103" s="3">
        <v>1</v>
      </c>
      <c r="F103" s="3">
        <v>3</v>
      </c>
      <c r="G103" s="3">
        <v>3</v>
      </c>
      <c r="H103" s="3">
        <v>1</v>
      </c>
      <c r="I103" s="3">
        <v>4</v>
      </c>
      <c r="J103" s="3">
        <v>2</v>
      </c>
      <c r="K103" s="3">
        <v>2</v>
      </c>
      <c r="L103" s="3">
        <v>3</v>
      </c>
      <c r="M103" s="3">
        <v>4</v>
      </c>
      <c r="N103" s="3">
        <v>4</v>
      </c>
      <c r="O103" s="3">
        <v>6</v>
      </c>
      <c r="P103" s="3">
        <v>5</v>
      </c>
      <c r="Q103" s="3">
        <v>2</v>
      </c>
      <c r="R103" s="3">
        <v>2</v>
      </c>
      <c r="S103" s="3" t="s">
        <v>122</v>
      </c>
      <c r="T103" s="3" t="s">
        <v>122</v>
      </c>
      <c r="U103" s="3">
        <v>7</v>
      </c>
      <c r="V103" s="3">
        <v>4</v>
      </c>
      <c r="W103" s="3">
        <v>5</v>
      </c>
      <c r="X103" s="3">
        <v>7</v>
      </c>
      <c r="Y103" s="3">
        <v>6</v>
      </c>
      <c r="Z103" s="3">
        <v>1</v>
      </c>
      <c r="AA103" s="3">
        <v>3</v>
      </c>
      <c r="AB103" s="3" t="s">
        <v>122</v>
      </c>
      <c r="AC103" s="4" t="s">
        <v>122</v>
      </c>
      <c r="AD103" s="3" t="s">
        <v>122</v>
      </c>
      <c r="AE103" s="3" t="s">
        <v>122</v>
      </c>
      <c r="AF103" s="3" t="s">
        <v>122</v>
      </c>
      <c r="AG103" s="3">
        <v>5.5</v>
      </c>
      <c r="AH103" s="3">
        <v>5</v>
      </c>
      <c r="AI103" s="3">
        <v>2</v>
      </c>
      <c r="AJ103" s="3">
        <v>4</v>
      </c>
      <c r="AK103" s="3">
        <v>2</v>
      </c>
      <c r="AL103" s="3">
        <v>2</v>
      </c>
      <c r="AM103" s="3">
        <v>3</v>
      </c>
      <c r="AN103" s="3">
        <v>1</v>
      </c>
      <c r="AO103" s="3">
        <v>4</v>
      </c>
      <c r="AP103" s="3">
        <v>4</v>
      </c>
      <c r="AQ103" s="42">
        <v>4</v>
      </c>
      <c r="AR103" cm="1">
        <f t="array" ref="AR103">_xlfn.IFS(AQ103*1=2,1,AQ103*1=4,1,TRUE,0)</f>
        <v>1</v>
      </c>
      <c r="AS103" cm="1">
        <f t="array" ref="AS103">_xlfn.IFS(AQ103*1=1,1,AQ103*1=2,1,TRUE,0)</f>
        <v>0</v>
      </c>
      <c r="AT103" s="3">
        <v>4</v>
      </c>
      <c r="AU103" s="3">
        <v>2</v>
      </c>
      <c r="AV103" s="36">
        <f t="shared" si="43"/>
        <v>0</v>
      </c>
      <c r="AW103" s="3">
        <f t="shared" si="44"/>
        <v>2</v>
      </c>
      <c r="AX103" s="3">
        <f t="shared" si="27"/>
        <v>3</v>
      </c>
      <c r="AY103" s="3">
        <f t="shared" si="28"/>
        <v>4</v>
      </c>
      <c r="AZ103" s="3">
        <f t="shared" si="29"/>
        <v>4</v>
      </c>
      <c r="BA103" s="3">
        <f t="shared" si="30"/>
        <v>6</v>
      </c>
      <c r="BB103" s="3">
        <f t="shared" si="31"/>
        <v>5</v>
      </c>
      <c r="BC103" s="3">
        <f t="shared" si="32"/>
        <v>2</v>
      </c>
      <c r="BD103" s="3">
        <f t="shared" si="33"/>
        <v>2</v>
      </c>
      <c r="BE103" s="3">
        <f t="shared" si="34"/>
        <v>7</v>
      </c>
      <c r="BF103" s="3">
        <f t="shared" si="35"/>
        <v>4</v>
      </c>
      <c r="BG103" s="3">
        <f t="shared" si="36"/>
        <v>5</v>
      </c>
      <c r="BH103" s="3">
        <f t="shared" si="37"/>
        <v>7</v>
      </c>
      <c r="BI103" s="3">
        <f t="shared" si="38"/>
        <v>6</v>
      </c>
      <c r="BJ103" s="3">
        <f t="shared" si="39"/>
        <v>1</v>
      </c>
      <c r="BK103" s="3">
        <f t="shared" si="40"/>
        <v>3</v>
      </c>
      <c r="CA103" s="3">
        <v>1</v>
      </c>
      <c r="CB103" s="3">
        <f t="shared" si="42"/>
        <v>1</v>
      </c>
      <c r="CC103" s="3">
        <v>2</v>
      </c>
      <c r="CG103" s="3">
        <v>3</v>
      </c>
      <c r="CH103" s="3">
        <v>7</v>
      </c>
      <c r="CI103" s="3">
        <f t="shared" si="41"/>
        <v>-4</v>
      </c>
    </row>
    <row r="104" spans="1:87" x14ac:dyDescent="0.4">
      <c r="A104" s="3">
        <v>202503</v>
      </c>
      <c r="B104" s="3">
        <v>0</v>
      </c>
      <c r="C104" s="3">
        <v>1</v>
      </c>
      <c r="D104" s="3">
        <v>1</v>
      </c>
      <c r="E104" s="3">
        <v>-999</v>
      </c>
      <c r="F104" s="3">
        <v>5</v>
      </c>
      <c r="G104" s="3">
        <v>3</v>
      </c>
      <c r="H104" s="3">
        <v>1</v>
      </c>
      <c r="I104" s="3">
        <v>4</v>
      </c>
      <c r="J104" s="3">
        <v>6</v>
      </c>
      <c r="K104" s="4">
        <v>2</v>
      </c>
      <c r="L104" s="3">
        <v>5</v>
      </c>
      <c r="M104" s="3">
        <v>9</v>
      </c>
      <c r="N104" s="3">
        <v>7</v>
      </c>
      <c r="O104" s="3">
        <v>5</v>
      </c>
      <c r="P104" s="3">
        <v>6</v>
      </c>
      <c r="Q104" s="3">
        <v>3</v>
      </c>
      <c r="R104" s="3">
        <v>2</v>
      </c>
      <c r="S104" s="3">
        <v>4</v>
      </c>
      <c r="T104" s="4">
        <v>2</v>
      </c>
      <c r="U104" s="3">
        <v>2</v>
      </c>
      <c r="V104" s="3">
        <v>8</v>
      </c>
      <c r="W104" s="3">
        <v>4</v>
      </c>
      <c r="X104" s="3">
        <v>2</v>
      </c>
      <c r="Y104" s="3">
        <v>6</v>
      </c>
      <c r="Z104" s="3">
        <v>2</v>
      </c>
      <c r="AA104" s="3">
        <v>4</v>
      </c>
      <c r="AB104" s="3">
        <v>0</v>
      </c>
      <c r="AC104" s="4" t="s">
        <v>122</v>
      </c>
      <c r="AD104" s="3">
        <v>0</v>
      </c>
      <c r="AE104" s="3">
        <v>0</v>
      </c>
      <c r="AF104" s="3">
        <v>3</v>
      </c>
      <c r="AG104" s="3" t="s">
        <v>122</v>
      </c>
      <c r="AH104" s="3" t="s">
        <v>122</v>
      </c>
      <c r="AI104" s="3" t="s">
        <v>122</v>
      </c>
      <c r="AJ104" s="3" t="s">
        <v>122</v>
      </c>
      <c r="AK104" s="3" t="s">
        <v>122</v>
      </c>
      <c r="AL104" s="3" t="s">
        <v>122</v>
      </c>
      <c r="AM104" s="3" t="s">
        <v>122</v>
      </c>
      <c r="AN104" s="3">
        <v>1</v>
      </c>
      <c r="AO104" s="3">
        <v>2</v>
      </c>
      <c r="AP104" s="3">
        <v>-999</v>
      </c>
      <c r="AQ104" s="42">
        <v>2</v>
      </c>
      <c r="AR104" cm="1">
        <f t="array" ref="AR104">_xlfn.IFS(AQ104*1=2,1,AQ104*1=4,1,TRUE,0)</f>
        <v>1</v>
      </c>
      <c r="AS104" cm="1">
        <f t="array" ref="AS104">_xlfn.IFS(AQ104*1=1,1,AQ104*1=2,1,TRUE,0)</f>
        <v>1</v>
      </c>
      <c r="AT104" s="3">
        <v>0</v>
      </c>
      <c r="AU104" s="3">
        <v>0</v>
      </c>
      <c r="AV104" s="36">
        <f t="shared" si="43"/>
        <v>-6</v>
      </c>
      <c r="AW104" s="3">
        <f t="shared" si="44"/>
        <v>-6</v>
      </c>
      <c r="AX104" s="3">
        <f t="shared" si="27"/>
        <v>5</v>
      </c>
      <c r="AY104" s="3">
        <f t="shared" si="28"/>
        <v>9</v>
      </c>
      <c r="AZ104" s="3">
        <f t="shared" si="29"/>
        <v>7</v>
      </c>
      <c r="BA104" s="3">
        <f t="shared" si="30"/>
        <v>5</v>
      </c>
      <c r="BB104" s="3">
        <f t="shared" si="31"/>
        <v>6</v>
      </c>
      <c r="BC104" s="3">
        <f t="shared" si="32"/>
        <v>3</v>
      </c>
      <c r="BD104" s="3">
        <f t="shared" si="33"/>
        <v>2</v>
      </c>
      <c r="BE104" s="3">
        <f t="shared" si="34"/>
        <v>2</v>
      </c>
      <c r="BF104" s="3">
        <f t="shared" si="35"/>
        <v>8</v>
      </c>
      <c r="BG104" s="3">
        <f t="shared" si="36"/>
        <v>4</v>
      </c>
      <c r="BH104" s="3">
        <f t="shared" si="37"/>
        <v>2</v>
      </c>
      <c r="BI104" s="3">
        <f t="shared" si="38"/>
        <v>6</v>
      </c>
      <c r="BJ104" s="3">
        <f t="shared" si="39"/>
        <v>2</v>
      </c>
      <c r="BK104" s="3">
        <f t="shared" si="40"/>
        <v>4</v>
      </c>
      <c r="CA104" s="3">
        <v>1</v>
      </c>
      <c r="CB104" s="3">
        <f t="shared" si="42"/>
        <v>1</v>
      </c>
      <c r="CC104" s="3">
        <v>6</v>
      </c>
      <c r="CG104" s="3">
        <v>5</v>
      </c>
      <c r="CH104" s="3">
        <v>2</v>
      </c>
      <c r="CI104" s="3">
        <f t="shared" si="41"/>
        <v>3</v>
      </c>
    </row>
    <row r="105" spans="1:87" x14ac:dyDescent="0.4">
      <c r="A105" s="3">
        <v>202503</v>
      </c>
      <c r="B105" s="3">
        <v>1</v>
      </c>
      <c r="C105" s="3">
        <v>1</v>
      </c>
      <c r="D105" s="3">
        <v>2</v>
      </c>
      <c r="E105" s="3">
        <v>1</v>
      </c>
      <c r="F105" s="3">
        <v>1</v>
      </c>
      <c r="G105" s="3">
        <v>1</v>
      </c>
      <c r="H105" s="3">
        <v>1</v>
      </c>
      <c r="I105" s="3">
        <v>3</v>
      </c>
      <c r="J105" s="3">
        <v>0</v>
      </c>
      <c r="K105" s="3" t="s">
        <v>122</v>
      </c>
      <c r="L105" s="3">
        <v>2</v>
      </c>
      <c r="M105" s="3">
        <v>5</v>
      </c>
      <c r="N105" s="3">
        <v>5</v>
      </c>
      <c r="O105" s="3">
        <v>2</v>
      </c>
      <c r="P105" s="3">
        <v>4</v>
      </c>
      <c r="Q105" s="3">
        <v>4</v>
      </c>
      <c r="R105" s="3">
        <v>1</v>
      </c>
      <c r="S105" s="4">
        <v>0</v>
      </c>
      <c r="T105" s="4" t="s">
        <v>122</v>
      </c>
      <c r="U105" s="3">
        <v>3</v>
      </c>
      <c r="V105" s="3">
        <v>5</v>
      </c>
      <c r="W105" s="3">
        <v>6</v>
      </c>
      <c r="X105" s="3">
        <v>3</v>
      </c>
      <c r="Y105" s="3">
        <v>4</v>
      </c>
      <c r="Z105" s="3">
        <v>3</v>
      </c>
      <c r="AA105" s="3">
        <v>2</v>
      </c>
      <c r="AB105" s="4">
        <v>0</v>
      </c>
      <c r="AC105" s="4" t="s">
        <v>122</v>
      </c>
      <c r="AD105" s="3">
        <v>0</v>
      </c>
      <c r="AE105" s="3">
        <v>0</v>
      </c>
      <c r="AF105" s="3">
        <v>3</v>
      </c>
      <c r="AG105" s="3" t="s">
        <v>122</v>
      </c>
      <c r="AH105" s="3" t="s">
        <v>122</v>
      </c>
      <c r="AI105" s="3" t="s">
        <v>122</v>
      </c>
      <c r="AJ105" s="3" t="s">
        <v>122</v>
      </c>
      <c r="AK105" s="3" t="s">
        <v>122</v>
      </c>
      <c r="AL105" s="3" t="s">
        <v>122</v>
      </c>
      <c r="AM105" s="3" t="s">
        <v>122</v>
      </c>
      <c r="AN105" s="3">
        <v>1</v>
      </c>
      <c r="AO105" s="3">
        <v>4</v>
      </c>
      <c r="AP105" s="3">
        <v>6</v>
      </c>
      <c r="AQ105" s="42">
        <v>1</v>
      </c>
      <c r="AR105" cm="1">
        <f t="array" ref="AR105">_xlfn.IFS(AQ105*1=2,1,AQ105*1=4,1,TRUE,0)</f>
        <v>0</v>
      </c>
      <c r="AS105" cm="1">
        <f t="array" ref="AS105">_xlfn.IFS(AQ105*1=1,1,AQ105*1=2,1,TRUE,0)</f>
        <v>1</v>
      </c>
      <c r="AT105" s="3">
        <v>0</v>
      </c>
      <c r="AU105" s="3">
        <v>0</v>
      </c>
      <c r="AV105" s="36">
        <f t="shared" si="43"/>
        <v>0</v>
      </c>
      <c r="AW105" s="3">
        <f t="shared" si="44"/>
        <v>0</v>
      </c>
      <c r="AX105" s="3">
        <f t="shared" si="27"/>
        <v>3</v>
      </c>
      <c r="AY105" s="3">
        <f t="shared" si="28"/>
        <v>5</v>
      </c>
      <c r="AZ105" s="3">
        <f t="shared" si="29"/>
        <v>6</v>
      </c>
      <c r="BA105" s="3">
        <f t="shared" si="30"/>
        <v>3</v>
      </c>
      <c r="BB105" s="3">
        <f t="shared" si="31"/>
        <v>4</v>
      </c>
      <c r="BC105" s="3">
        <f t="shared" si="32"/>
        <v>3</v>
      </c>
      <c r="BD105" s="3">
        <f t="shared" si="33"/>
        <v>2</v>
      </c>
      <c r="BE105" s="3">
        <f t="shared" si="34"/>
        <v>2</v>
      </c>
      <c r="BF105" s="3">
        <f t="shared" si="35"/>
        <v>5</v>
      </c>
      <c r="BG105" s="3">
        <f t="shared" si="36"/>
        <v>5</v>
      </c>
      <c r="BH105" s="3">
        <f t="shared" si="37"/>
        <v>2</v>
      </c>
      <c r="BI105" s="3">
        <f t="shared" si="38"/>
        <v>4</v>
      </c>
      <c r="BJ105" s="3">
        <f t="shared" si="39"/>
        <v>4</v>
      </c>
      <c r="BK105" s="3">
        <f t="shared" si="40"/>
        <v>1</v>
      </c>
      <c r="CA105" s="3">
        <v>1</v>
      </c>
      <c r="CB105" s="3">
        <f t="shared" si="42"/>
        <v>1</v>
      </c>
      <c r="CC105" s="3">
        <v>0</v>
      </c>
      <c r="CG105" s="3">
        <v>3</v>
      </c>
      <c r="CH105" s="3">
        <v>2</v>
      </c>
      <c r="CI105" s="3">
        <f t="shared" si="41"/>
        <v>1</v>
      </c>
    </row>
    <row r="106" spans="1:87" x14ac:dyDescent="0.4">
      <c r="A106" s="3">
        <v>202503</v>
      </c>
      <c r="B106" s="3">
        <v>1</v>
      </c>
      <c r="C106" s="3">
        <v>1</v>
      </c>
      <c r="D106" s="3">
        <v>2</v>
      </c>
      <c r="E106" s="3">
        <v>1</v>
      </c>
      <c r="F106" s="3">
        <v>1</v>
      </c>
      <c r="G106" s="3">
        <v>2</v>
      </c>
      <c r="H106" s="3">
        <v>1</v>
      </c>
      <c r="I106" s="3">
        <v>2</v>
      </c>
      <c r="J106" s="3">
        <v>5</v>
      </c>
      <c r="K106" s="3">
        <v>3</v>
      </c>
      <c r="L106" s="3">
        <v>7</v>
      </c>
      <c r="M106" s="3">
        <v>8</v>
      </c>
      <c r="N106" s="3">
        <v>8</v>
      </c>
      <c r="O106" s="3">
        <v>7</v>
      </c>
      <c r="P106" s="3">
        <v>8</v>
      </c>
      <c r="Q106" s="3">
        <v>2</v>
      </c>
      <c r="R106" s="3">
        <v>3</v>
      </c>
      <c r="S106" s="4" t="s">
        <v>122</v>
      </c>
      <c r="T106" s="4" t="s">
        <v>122</v>
      </c>
      <c r="U106" s="3">
        <v>2</v>
      </c>
      <c r="V106" s="3">
        <v>5</v>
      </c>
      <c r="W106" s="3">
        <v>3</v>
      </c>
      <c r="X106" s="3">
        <v>3</v>
      </c>
      <c r="Y106" s="3">
        <v>4</v>
      </c>
      <c r="Z106" s="3">
        <v>4</v>
      </c>
      <c r="AA106" s="3">
        <v>1</v>
      </c>
      <c r="AB106" s="4" t="s">
        <v>122</v>
      </c>
      <c r="AC106" s="4" t="s">
        <v>122</v>
      </c>
      <c r="AD106" s="3" t="s">
        <v>122</v>
      </c>
      <c r="AE106" s="3" t="s">
        <v>122</v>
      </c>
      <c r="AF106" s="3" t="s">
        <v>122</v>
      </c>
      <c r="AG106" s="3">
        <v>5</v>
      </c>
      <c r="AH106" s="3">
        <v>5</v>
      </c>
      <c r="AI106" s="3">
        <v>3</v>
      </c>
      <c r="AJ106" s="3">
        <v>5</v>
      </c>
      <c r="AK106" s="3">
        <v>3</v>
      </c>
      <c r="AL106" s="3">
        <v>6</v>
      </c>
      <c r="AM106" s="3">
        <v>2</v>
      </c>
      <c r="AN106" s="3">
        <v>2</v>
      </c>
      <c r="AO106" s="3">
        <v>4</v>
      </c>
      <c r="AP106" s="3">
        <v>1</v>
      </c>
      <c r="AQ106" s="42">
        <v>4</v>
      </c>
      <c r="AR106" cm="1">
        <f t="array" ref="AR106">_xlfn.IFS(AQ106*1=2,1,AQ106*1=4,1,TRUE,0)</f>
        <v>1</v>
      </c>
      <c r="AS106" cm="1">
        <f t="array" ref="AS106">_xlfn.IFS(AQ106*1=1,1,AQ106*1=2,1,TRUE,0)</f>
        <v>0</v>
      </c>
      <c r="AT106" s="3">
        <v>5</v>
      </c>
      <c r="AU106" s="3">
        <v>6</v>
      </c>
      <c r="AV106" s="36">
        <f t="shared" si="43"/>
        <v>1</v>
      </c>
      <c r="AW106" s="3">
        <f t="shared" si="44"/>
        <v>0</v>
      </c>
      <c r="AX106" s="3">
        <f t="shared" si="27"/>
        <v>7</v>
      </c>
      <c r="AY106" s="3">
        <f t="shared" si="28"/>
        <v>8</v>
      </c>
      <c r="AZ106" s="3">
        <f t="shared" si="29"/>
        <v>8</v>
      </c>
      <c r="BA106" s="3">
        <f t="shared" si="30"/>
        <v>7</v>
      </c>
      <c r="BB106" s="3">
        <f t="shared" si="31"/>
        <v>8</v>
      </c>
      <c r="BC106" s="3">
        <f t="shared" si="32"/>
        <v>2</v>
      </c>
      <c r="BD106" s="3">
        <f t="shared" si="33"/>
        <v>3</v>
      </c>
      <c r="BE106" s="3">
        <f t="shared" si="34"/>
        <v>2</v>
      </c>
      <c r="BF106" s="3">
        <f t="shared" si="35"/>
        <v>5</v>
      </c>
      <c r="BG106" s="3">
        <f t="shared" si="36"/>
        <v>3</v>
      </c>
      <c r="BH106" s="3">
        <f t="shared" si="37"/>
        <v>3</v>
      </c>
      <c r="BI106" s="3">
        <f t="shared" si="38"/>
        <v>4</v>
      </c>
      <c r="BJ106" s="3">
        <f t="shared" si="39"/>
        <v>4</v>
      </c>
      <c r="BK106" s="3">
        <f t="shared" si="40"/>
        <v>1</v>
      </c>
      <c r="CA106" s="3">
        <v>2</v>
      </c>
      <c r="CB106" s="3">
        <f t="shared" si="42"/>
        <v>0</v>
      </c>
      <c r="CC106" s="3">
        <v>5</v>
      </c>
      <c r="CG106" s="3">
        <v>7</v>
      </c>
      <c r="CH106" s="3">
        <v>2</v>
      </c>
      <c r="CI106" s="3">
        <f t="shared" si="41"/>
        <v>5</v>
      </c>
    </row>
    <row r="107" spans="1:87" x14ac:dyDescent="0.4">
      <c r="A107" s="3">
        <v>202503</v>
      </c>
      <c r="B107" s="3">
        <v>1</v>
      </c>
      <c r="C107" s="3">
        <v>3</v>
      </c>
      <c r="D107" s="3">
        <v>3</v>
      </c>
      <c r="E107" s="3">
        <v>1</v>
      </c>
      <c r="F107" s="3">
        <v>2</v>
      </c>
      <c r="G107" s="3">
        <v>1</v>
      </c>
      <c r="H107" s="3">
        <v>1</v>
      </c>
      <c r="I107" s="3">
        <v>2</v>
      </c>
      <c r="J107" s="3">
        <v>5</v>
      </c>
      <c r="K107" s="3">
        <v>2</v>
      </c>
      <c r="L107" s="3">
        <v>7</v>
      </c>
      <c r="M107" s="3">
        <v>8</v>
      </c>
      <c r="N107" s="3">
        <v>5</v>
      </c>
      <c r="O107" s="3">
        <v>7</v>
      </c>
      <c r="P107" s="3">
        <v>6</v>
      </c>
      <c r="Q107" s="3">
        <v>3</v>
      </c>
      <c r="R107" s="3">
        <v>3</v>
      </c>
      <c r="S107" s="3" t="s">
        <v>122</v>
      </c>
      <c r="T107" s="3" t="s">
        <v>122</v>
      </c>
      <c r="U107" s="3">
        <v>8</v>
      </c>
      <c r="V107" s="3">
        <v>7</v>
      </c>
      <c r="W107" s="3">
        <v>8</v>
      </c>
      <c r="X107" s="3">
        <v>8</v>
      </c>
      <c r="Y107" s="3">
        <v>8</v>
      </c>
      <c r="Z107" s="3">
        <v>3</v>
      </c>
      <c r="AA107" s="3">
        <v>3</v>
      </c>
      <c r="AB107" s="3" t="s">
        <v>122</v>
      </c>
      <c r="AC107" s="3" t="s">
        <v>122</v>
      </c>
      <c r="AD107" s="3" t="s">
        <v>122</v>
      </c>
      <c r="AE107" s="3" t="s">
        <v>122</v>
      </c>
      <c r="AF107" s="3" t="s">
        <v>122</v>
      </c>
      <c r="AG107" s="3">
        <v>5</v>
      </c>
      <c r="AH107" s="3">
        <v>5</v>
      </c>
      <c r="AI107" s="3">
        <v>3</v>
      </c>
      <c r="AJ107" s="3">
        <v>5</v>
      </c>
      <c r="AK107" s="3">
        <v>2</v>
      </c>
      <c r="AL107" s="3">
        <v>5</v>
      </c>
      <c r="AM107" s="3">
        <v>2</v>
      </c>
      <c r="AN107" s="3">
        <v>2</v>
      </c>
      <c r="AO107" s="3">
        <v>3</v>
      </c>
      <c r="AP107" s="3">
        <v>5</v>
      </c>
      <c r="AQ107" s="42">
        <v>3</v>
      </c>
      <c r="AR107" cm="1">
        <f t="array" ref="AR107">_xlfn.IFS(AQ107*1=2,1,AQ107*1=4,1,TRUE,0)</f>
        <v>0</v>
      </c>
      <c r="AS107" cm="1">
        <f t="array" ref="AS107">_xlfn.IFS(AQ107*1=1,1,AQ107*1=2,1,TRUE,0)</f>
        <v>0</v>
      </c>
      <c r="AT107" s="3">
        <v>5</v>
      </c>
      <c r="AU107" s="3">
        <v>5</v>
      </c>
      <c r="AV107" s="36">
        <f t="shared" si="43"/>
        <v>0</v>
      </c>
      <c r="AW107" s="3">
        <f t="shared" si="44"/>
        <v>0</v>
      </c>
      <c r="AX107" s="3">
        <f t="shared" si="27"/>
        <v>8</v>
      </c>
      <c r="AY107" s="3">
        <f t="shared" si="28"/>
        <v>7</v>
      </c>
      <c r="AZ107" s="3">
        <f t="shared" si="29"/>
        <v>8</v>
      </c>
      <c r="BA107" s="3">
        <f t="shared" si="30"/>
        <v>8</v>
      </c>
      <c r="BB107" s="3">
        <f t="shared" si="31"/>
        <v>8</v>
      </c>
      <c r="BC107" s="3">
        <f t="shared" si="32"/>
        <v>3</v>
      </c>
      <c r="BD107" s="3">
        <f t="shared" si="33"/>
        <v>3</v>
      </c>
      <c r="BE107" s="3">
        <f t="shared" si="34"/>
        <v>7</v>
      </c>
      <c r="BF107" s="3">
        <f t="shared" si="35"/>
        <v>8</v>
      </c>
      <c r="BG107" s="3">
        <f t="shared" si="36"/>
        <v>5</v>
      </c>
      <c r="BH107" s="3">
        <f t="shared" si="37"/>
        <v>7</v>
      </c>
      <c r="BI107" s="3">
        <f t="shared" si="38"/>
        <v>6</v>
      </c>
      <c r="BJ107" s="3">
        <f t="shared" si="39"/>
        <v>3</v>
      </c>
      <c r="BK107" s="3">
        <f t="shared" si="40"/>
        <v>3</v>
      </c>
      <c r="CA107" s="3">
        <v>2</v>
      </c>
      <c r="CB107" s="3">
        <f t="shared" si="42"/>
        <v>0</v>
      </c>
      <c r="CC107" s="3">
        <v>5</v>
      </c>
      <c r="CG107" s="3">
        <v>8</v>
      </c>
      <c r="CH107" s="3">
        <v>7</v>
      </c>
      <c r="CI107" s="3">
        <f t="shared" si="41"/>
        <v>1</v>
      </c>
    </row>
    <row r="108" spans="1:87" x14ac:dyDescent="0.4">
      <c r="A108" s="3">
        <v>202503</v>
      </c>
      <c r="B108" s="3">
        <v>1</v>
      </c>
      <c r="C108" s="3">
        <v>1</v>
      </c>
      <c r="D108" s="3">
        <v>4</v>
      </c>
      <c r="E108" s="3">
        <v>1</v>
      </c>
      <c r="F108" s="3">
        <v>2</v>
      </c>
      <c r="G108" s="3">
        <v>1</v>
      </c>
      <c r="H108" s="3">
        <v>1</v>
      </c>
      <c r="I108" s="3">
        <v>3</v>
      </c>
      <c r="J108" s="3">
        <v>4.5</v>
      </c>
      <c r="K108" s="3">
        <v>3</v>
      </c>
      <c r="L108" s="3">
        <v>7</v>
      </c>
      <c r="M108" s="3">
        <v>7</v>
      </c>
      <c r="N108" s="3">
        <v>6</v>
      </c>
      <c r="O108" s="3">
        <v>6</v>
      </c>
      <c r="P108" s="3">
        <v>8</v>
      </c>
      <c r="Q108" s="3">
        <v>3</v>
      </c>
      <c r="R108" s="3">
        <v>3</v>
      </c>
      <c r="S108" s="3">
        <v>5</v>
      </c>
      <c r="T108" s="3">
        <v>3</v>
      </c>
      <c r="U108" s="3">
        <v>8</v>
      </c>
      <c r="V108" s="3">
        <v>8</v>
      </c>
      <c r="W108" s="3">
        <v>8</v>
      </c>
      <c r="X108" s="3">
        <v>8</v>
      </c>
      <c r="Y108" s="3">
        <v>8</v>
      </c>
      <c r="Z108" s="3">
        <v>3</v>
      </c>
      <c r="AA108" s="3">
        <v>3</v>
      </c>
      <c r="AB108" s="3">
        <v>4.5</v>
      </c>
      <c r="AC108" s="3">
        <v>3</v>
      </c>
      <c r="AD108" s="3">
        <v>5</v>
      </c>
      <c r="AE108" s="3">
        <v>4.5</v>
      </c>
      <c r="AF108" s="3">
        <v>3</v>
      </c>
      <c r="AG108" s="3" t="s">
        <v>122</v>
      </c>
      <c r="AH108" s="3" t="s">
        <v>122</v>
      </c>
      <c r="AI108" s="3" t="s">
        <v>122</v>
      </c>
      <c r="AJ108" s="3" t="s">
        <v>122</v>
      </c>
      <c r="AK108" s="3" t="s">
        <v>122</v>
      </c>
      <c r="AL108" s="3" t="s">
        <v>122</v>
      </c>
      <c r="AM108" s="3" t="s">
        <v>122</v>
      </c>
      <c r="AN108" s="3">
        <v>1</v>
      </c>
      <c r="AO108" s="3">
        <v>3</v>
      </c>
      <c r="AP108" s="3">
        <v>2</v>
      </c>
      <c r="AQ108" s="42">
        <v>2</v>
      </c>
      <c r="AR108" cm="1">
        <f t="array" ref="AR108">_xlfn.IFS(AQ108*1=2,1,AQ108*1=4,1,TRUE,0)</f>
        <v>1</v>
      </c>
      <c r="AS108" cm="1">
        <f t="array" ref="AS108">_xlfn.IFS(AQ108*1=1,1,AQ108*1=2,1,TRUE,0)</f>
        <v>1</v>
      </c>
      <c r="AT108" s="3">
        <v>5</v>
      </c>
      <c r="AU108" s="3">
        <v>4.5</v>
      </c>
      <c r="AV108" s="36">
        <f t="shared" si="43"/>
        <v>0</v>
      </c>
      <c r="AW108" s="3">
        <f t="shared" si="44"/>
        <v>0.5</v>
      </c>
      <c r="AX108" s="3">
        <f t="shared" si="27"/>
        <v>7</v>
      </c>
      <c r="AY108" s="3">
        <f t="shared" si="28"/>
        <v>7</v>
      </c>
      <c r="AZ108" s="3">
        <f t="shared" si="29"/>
        <v>6</v>
      </c>
      <c r="BA108" s="3">
        <f t="shared" si="30"/>
        <v>6</v>
      </c>
      <c r="BB108" s="3">
        <f t="shared" si="31"/>
        <v>8</v>
      </c>
      <c r="BC108" s="3">
        <f t="shared" si="32"/>
        <v>3</v>
      </c>
      <c r="BD108" s="3">
        <f t="shared" si="33"/>
        <v>3</v>
      </c>
      <c r="BE108" s="3">
        <f t="shared" si="34"/>
        <v>8</v>
      </c>
      <c r="BF108" s="3">
        <f t="shared" si="35"/>
        <v>8</v>
      </c>
      <c r="BG108" s="3">
        <f t="shared" si="36"/>
        <v>8</v>
      </c>
      <c r="BH108" s="3">
        <f t="shared" si="37"/>
        <v>8</v>
      </c>
      <c r="BI108" s="3">
        <f t="shared" si="38"/>
        <v>8</v>
      </c>
      <c r="BJ108" s="3">
        <f t="shared" si="39"/>
        <v>3</v>
      </c>
      <c r="BK108" s="3">
        <f t="shared" si="40"/>
        <v>3</v>
      </c>
      <c r="CA108" s="3">
        <v>1</v>
      </c>
      <c r="CB108" s="3">
        <f t="shared" si="42"/>
        <v>1</v>
      </c>
      <c r="CC108" s="3">
        <v>4.5</v>
      </c>
      <c r="CG108" s="3">
        <v>7</v>
      </c>
      <c r="CH108" s="3">
        <v>8</v>
      </c>
      <c r="CI108" s="3">
        <f t="shared" si="41"/>
        <v>-1</v>
      </c>
    </row>
    <row r="109" spans="1:87" x14ac:dyDescent="0.4">
      <c r="A109" s="3">
        <v>202503</v>
      </c>
      <c r="B109" s="3">
        <v>1</v>
      </c>
      <c r="C109" s="3">
        <v>3</v>
      </c>
      <c r="D109" s="3">
        <v>4</v>
      </c>
      <c r="E109" s="3">
        <v>3</v>
      </c>
      <c r="F109" s="3">
        <v>2</v>
      </c>
      <c r="G109" s="3">
        <v>2</v>
      </c>
      <c r="H109" s="3">
        <v>3</v>
      </c>
      <c r="I109" s="3">
        <v>3</v>
      </c>
      <c r="J109" s="3">
        <v>6.5</v>
      </c>
      <c r="K109" s="3">
        <v>3</v>
      </c>
      <c r="L109" s="3">
        <v>7</v>
      </c>
      <c r="M109" s="3">
        <v>7</v>
      </c>
      <c r="N109" s="3">
        <v>6</v>
      </c>
      <c r="O109" s="3">
        <v>7</v>
      </c>
      <c r="P109" s="3">
        <v>8</v>
      </c>
      <c r="Q109" s="3">
        <v>3</v>
      </c>
      <c r="R109" s="3">
        <v>3</v>
      </c>
      <c r="S109" s="3">
        <v>6</v>
      </c>
      <c r="T109" s="3">
        <v>3</v>
      </c>
      <c r="U109" s="3">
        <v>8</v>
      </c>
      <c r="V109" s="3">
        <v>8</v>
      </c>
      <c r="W109" s="3">
        <v>7</v>
      </c>
      <c r="X109" s="3">
        <v>9</v>
      </c>
      <c r="Y109" s="3">
        <v>9</v>
      </c>
      <c r="Z109" s="3">
        <v>4</v>
      </c>
      <c r="AA109" s="3">
        <v>3</v>
      </c>
      <c r="AB109" s="3">
        <v>7</v>
      </c>
      <c r="AC109" s="3">
        <v>3</v>
      </c>
      <c r="AD109" s="3">
        <v>7</v>
      </c>
      <c r="AE109" s="3">
        <v>6.5</v>
      </c>
      <c r="AF109" s="3">
        <v>3</v>
      </c>
      <c r="AG109" s="3" t="s">
        <v>122</v>
      </c>
      <c r="AH109" s="3" t="s">
        <v>122</v>
      </c>
      <c r="AI109" s="3" t="s">
        <v>122</v>
      </c>
      <c r="AJ109" s="3" t="s">
        <v>122</v>
      </c>
      <c r="AK109" s="3" t="s">
        <v>122</v>
      </c>
      <c r="AL109" s="3" t="s">
        <v>122</v>
      </c>
      <c r="AM109" s="3" t="s">
        <v>122</v>
      </c>
      <c r="AN109" s="3">
        <v>1</v>
      </c>
      <c r="AO109" s="3">
        <v>3</v>
      </c>
      <c r="AP109" s="3">
        <v>5</v>
      </c>
      <c r="AQ109" s="42">
        <v>2</v>
      </c>
      <c r="AR109" cm="1">
        <f t="array" ref="AR109">_xlfn.IFS(AQ109*1=2,1,AQ109*1=4,1,TRUE,0)</f>
        <v>1</v>
      </c>
      <c r="AS109" cm="1">
        <f t="array" ref="AS109">_xlfn.IFS(AQ109*1=1,1,AQ109*1=2,1,TRUE,0)</f>
        <v>1</v>
      </c>
      <c r="AT109" s="3">
        <v>7</v>
      </c>
      <c r="AU109" s="3">
        <v>6.5</v>
      </c>
      <c r="AV109" s="36">
        <f t="shared" si="43"/>
        <v>0</v>
      </c>
      <c r="AW109" s="3">
        <f t="shared" si="44"/>
        <v>0.5</v>
      </c>
      <c r="AX109" s="3">
        <f t="shared" si="27"/>
        <v>7</v>
      </c>
      <c r="AY109" s="3">
        <f t="shared" si="28"/>
        <v>7</v>
      </c>
      <c r="AZ109" s="3">
        <f t="shared" si="29"/>
        <v>6</v>
      </c>
      <c r="BA109" s="3">
        <f t="shared" si="30"/>
        <v>7</v>
      </c>
      <c r="BB109" s="3">
        <f t="shared" si="31"/>
        <v>8</v>
      </c>
      <c r="BC109" s="3">
        <f t="shared" si="32"/>
        <v>3</v>
      </c>
      <c r="BD109" s="3">
        <f t="shared" si="33"/>
        <v>3</v>
      </c>
      <c r="BE109" s="3">
        <f t="shared" si="34"/>
        <v>8</v>
      </c>
      <c r="BF109" s="3">
        <f t="shared" si="35"/>
        <v>8</v>
      </c>
      <c r="BG109" s="3">
        <f t="shared" si="36"/>
        <v>7</v>
      </c>
      <c r="BH109" s="3">
        <f t="shared" si="37"/>
        <v>9</v>
      </c>
      <c r="BI109" s="3">
        <f t="shared" si="38"/>
        <v>9</v>
      </c>
      <c r="BJ109" s="3">
        <f t="shared" si="39"/>
        <v>4</v>
      </c>
      <c r="BK109" s="3">
        <f t="shared" si="40"/>
        <v>3</v>
      </c>
      <c r="CA109" s="3">
        <v>1</v>
      </c>
      <c r="CB109" s="3">
        <f t="shared" si="42"/>
        <v>1</v>
      </c>
      <c r="CC109" s="3">
        <v>6.5</v>
      </c>
      <c r="CG109" s="3">
        <v>7</v>
      </c>
      <c r="CH109" s="3">
        <v>8</v>
      </c>
      <c r="CI109" s="3">
        <f t="shared" si="41"/>
        <v>-1</v>
      </c>
    </row>
  </sheetData>
  <mergeCells count="3">
    <mergeCell ref="BV31:BX39"/>
    <mergeCell ref="BV14:BX22"/>
    <mergeCell ref="BV23:BX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CB40-1B7B-46DC-B723-82FB3FFB4BA1}">
  <dimension ref="A1:B49"/>
  <sheetViews>
    <sheetView workbookViewId="0">
      <selection activeCell="E10" sqref="E10"/>
    </sheetView>
  </sheetViews>
  <sheetFormatPr defaultRowHeight="14.6" x14ac:dyDescent="0.4"/>
  <cols>
    <col min="1" max="1" width="14.4609375" bestFit="1" customWidth="1"/>
  </cols>
  <sheetData>
    <row r="1" spans="1:2" x14ac:dyDescent="0.4">
      <c r="A1" s="3" t="s">
        <v>405</v>
      </c>
    </row>
    <row r="2" spans="1:2" x14ac:dyDescent="0.4">
      <c r="A2" s="6" t="s">
        <v>18</v>
      </c>
      <c r="B2" s="6" t="s">
        <v>1033</v>
      </c>
    </row>
    <row r="3" spans="1:2" x14ac:dyDescent="0.4">
      <c r="A3" s="6" t="s">
        <v>19</v>
      </c>
      <c r="B3" s="6" t="s">
        <v>98</v>
      </c>
    </row>
    <row r="4" spans="1:2" x14ac:dyDescent="0.4">
      <c r="A4" s="6" t="s">
        <v>20</v>
      </c>
      <c r="B4" s="6" t="s">
        <v>99</v>
      </c>
    </row>
    <row r="5" spans="1:2" x14ac:dyDescent="0.4">
      <c r="A5" s="6" t="s">
        <v>21</v>
      </c>
      <c r="B5" s="6" t="s">
        <v>100</v>
      </c>
    </row>
    <row r="6" spans="1:2" x14ac:dyDescent="0.4">
      <c r="A6" s="6" t="s">
        <v>22</v>
      </c>
      <c r="B6" s="6" t="s">
        <v>101</v>
      </c>
    </row>
    <row r="7" spans="1:2" x14ac:dyDescent="0.4">
      <c r="A7" s="6" t="s">
        <v>23</v>
      </c>
      <c r="B7" s="6" t="s">
        <v>102</v>
      </c>
    </row>
    <row r="8" spans="1:2" x14ac:dyDescent="0.4">
      <c r="A8" s="6" t="s">
        <v>24</v>
      </c>
      <c r="B8" s="6" t="s">
        <v>103</v>
      </c>
    </row>
    <row r="9" spans="1:2" x14ac:dyDescent="0.4">
      <c r="A9" s="6" t="s">
        <v>31</v>
      </c>
      <c r="B9" s="6" t="s">
        <v>104</v>
      </c>
    </row>
    <row r="10" spans="1:2" x14ac:dyDescent="0.4">
      <c r="A10" s="6" t="s">
        <v>32</v>
      </c>
      <c r="B10" s="6" t="s">
        <v>105</v>
      </c>
    </row>
    <row r="11" spans="1:2" x14ac:dyDescent="0.4">
      <c r="A11" s="6" t="s">
        <v>33</v>
      </c>
      <c r="B11" s="6" t="s">
        <v>106</v>
      </c>
    </row>
    <row r="12" spans="1:2" x14ac:dyDescent="0.4">
      <c r="A12" s="6" t="s">
        <v>34</v>
      </c>
      <c r="B12" s="6" t="s">
        <v>107</v>
      </c>
    </row>
    <row r="13" spans="1:2" x14ac:dyDescent="0.4">
      <c r="A13" s="6" t="s">
        <v>35</v>
      </c>
      <c r="B13" s="6" t="s">
        <v>108</v>
      </c>
    </row>
    <row r="14" spans="1:2" x14ac:dyDescent="0.4">
      <c r="A14" s="6" t="s">
        <v>36</v>
      </c>
      <c r="B14" s="6" t="s">
        <v>109</v>
      </c>
    </row>
    <row r="15" spans="1:2" x14ac:dyDescent="0.4">
      <c r="A15" s="6" t="s">
        <v>37</v>
      </c>
      <c r="B15" s="6" t="s">
        <v>110</v>
      </c>
    </row>
    <row r="16" spans="1:2" x14ac:dyDescent="0.4">
      <c r="A16" s="6" t="s">
        <v>38</v>
      </c>
      <c r="B16" s="6" t="s">
        <v>111</v>
      </c>
    </row>
    <row r="17" spans="1:2" x14ac:dyDescent="0.4">
      <c r="A17" s="6" t="s">
        <v>39</v>
      </c>
      <c r="B17" s="6" t="s">
        <v>112</v>
      </c>
    </row>
    <row r="18" spans="1:2" x14ac:dyDescent="0.4">
      <c r="A18" s="6" t="s">
        <v>40</v>
      </c>
      <c r="B18" s="6" t="s">
        <v>113</v>
      </c>
    </row>
    <row r="19" spans="1:2" x14ac:dyDescent="0.4">
      <c r="A19" s="6" t="s">
        <v>41</v>
      </c>
      <c r="B19" s="6" t="s">
        <v>114</v>
      </c>
    </row>
    <row r="20" spans="1:2" x14ac:dyDescent="0.4">
      <c r="A20" s="6" t="s">
        <v>42</v>
      </c>
      <c r="B20" s="6" t="s">
        <v>115</v>
      </c>
    </row>
    <row r="21" spans="1:2" x14ac:dyDescent="0.4">
      <c r="A21" s="6" t="s">
        <v>43</v>
      </c>
      <c r="B21" s="6" t="s">
        <v>107</v>
      </c>
    </row>
    <row r="22" spans="1:2" x14ac:dyDescent="0.4">
      <c r="A22" s="6" t="s">
        <v>44</v>
      </c>
      <c r="B22" s="6" t="s">
        <v>108</v>
      </c>
    </row>
    <row r="23" spans="1:2" x14ac:dyDescent="0.4">
      <c r="A23" s="6" t="s">
        <v>45</v>
      </c>
      <c r="B23" s="6" t="s">
        <v>109</v>
      </c>
    </row>
    <row r="24" spans="1:2" x14ac:dyDescent="0.4">
      <c r="A24" s="6" t="s">
        <v>46</v>
      </c>
      <c r="B24" s="6" t="s">
        <v>110</v>
      </c>
    </row>
    <row r="25" spans="1:2" x14ac:dyDescent="0.4">
      <c r="A25" s="6" t="s">
        <v>47</v>
      </c>
      <c r="B25" s="6" t="s">
        <v>111</v>
      </c>
    </row>
    <row r="26" spans="1:2" x14ac:dyDescent="0.4">
      <c r="A26" s="6" t="s">
        <v>48</v>
      </c>
      <c r="B26" s="6" t="s">
        <v>112</v>
      </c>
    </row>
    <row r="27" spans="1:2" x14ac:dyDescent="0.4">
      <c r="A27" s="6" t="s">
        <v>49</v>
      </c>
      <c r="B27" s="6" t="s">
        <v>116</v>
      </c>
    </row>
    <row r="28" spans="1:2" x14ac:dyDescent="0.4">
      <c r="A28" s="6" t="s">
        <v>50</v>
      </c>
      <c r="B28" s="6" t="s">
        <v>114</v>
      </c>
    </row>
    <row r="29" spans="1:2" x14ac:dyDescent="0.4">
      <c r="A29" s="6" t="s">
        <v>51</v>
      </c>
      <c r="B29" s="6" t="s">
        <v>117</v>
      </c>
    </row>
    <row r="30" spans="1:2" x14ac:dyDescent="0.4">
      <c r="A30" s="28" t="s">
        <v>52</v>
      </c>
      <c r="B30" s="6" t="s">
        <v>394</v>
      </c>
    </row>
    <row r="31" spans="1:2" x14ac:dyDescent="0.4">
      <c r="A31" s="28" t="s">
        <v>53</v>
      </c>
      <c r="B31" s="6" t="s">
        <v>393</v>
      </c>
    </row>
    <row r="32" spans="1:2" x14ac:dyDescent="0.4">
      <c r="A32" s="28" t="s">
        <v>54</v>
      </c>
      <c r="B32" s="6" t="s">
        <v>118</v>
      </c>
    </row>
    <row r="33" spans="1:2" x14ac:dyDescent="0.4">
      <c r="A33" s="29" t="s">
        <v>65</v>
      </c>
      <c r="B33" s="6" t="s">
        <v>392</v>
      </c>
    </row>
    <row r="34" spans="1:2" x14ac:dyDescent="0.4">
      <c r="A34" s="29" t="s">
        <v>66</v>
      </c>
      <c r="B34" s="6" t="s">
        <v>391</v>
      </c>
    </row>
    <row r="35" spans="1:2" x14ac:dyDescent="0.4">
      <c r="A35" s="29" t="s">
        <v>67</v>
      </c>
      <c r="B35" s="6" t="s">
        <v>118</v>
      </c>
    </row>
    <row r="36" spans="1:2" x14ac:dyDescent="0.4">
      <c r="A36" s="29" t="s">
        <v>78</v>
      </c>
      <c r="B36" s="6" t="s">
        <v>389</v>
      </c>
    </row>
    <row r="37" spans="1:2" x14ac:dyDescent="0.4">
      <c r="A37" s="29" t="s">
        <v>79</v>
      </c>
      <c r="B37" s="6" t="s">
        <v>390</v>
      </c>
    </row>
    <row r="38" spans="1:2" x14ac:dyDescent="0.4">
      <c r="A38" s="47" t="s">
        <v>80</v>
      </c>
      <c r="B38" s="6" t="s">
        <v>389</v>
      </c>
    </row>
    <row r="39" spans="1:2" x14ac:dyDescent="0.4">
      <c r="A39" s="29" t="s">
        <v>81</v>
      </c>
      <c r="B39" s="6" t="s">
        <v>388</v>
      </c>
    </row>
    <row r="40" spans="1:2" x14ac:dyDescent="0.4">
      <c r="A40" s="6" t="s">
        <v>82</v>
      </c>
      <c r="B40" s="6" t="s">
        <v>1032</v>
      </c>
    </row>
    <row r="41" spans="1:2" x14ac:dyDescent="0.4">
      <c r="A41" s="6" t="s">
        <v>95</v>
      </c>
      <c r="B41" s="6" t="s">
        <v>119</v>
      </c>
    </row>
    <row r="42" spans="1:2" x14ac:dyDescent="0.4">
      <c r="A42" s="6" t="s">
        <v>96</v>
      </c>
      <c r="B42" s="6" t="s">
        <v>120</v>
      </c>
    </row>
    <row r="43" spans="1:2" x14ac:dyDescent="0.4">
      <c r="A43" s="6" t="s">
        <v>97</v>
      </c>
      <c r="B43" s="6" t="s">
        <v>97</v>
      </c>
    </row>
    <row r="44" spans="1:2" x14ac:dyDescent="0.4">
      <c r="A44" s="11" t="s">
        <v>917</v>
      </c>
    </row>
    <row r="45" spans="1:2" x14ac:dyDescent="0.4">
      <c r="A45" s="11" t="s">
        <v>920</v>
      </c>
    </row>
    <row r="46" spans="1:2" x14ac:dyDescent="0.4">
      <c r="A46" s="36" t="s">
        <v>910</v>
      </c>
    </row>
    <row r="47" spans="1:2" x14ac:dyDescent="0.4">
      <c r="A47" s="36" t="s">
        <v>915</v>
      </c>
    </row>
    <row r="48" spans="1:2" x14ac:dyDescent="0.4">
      <c r="A48" s="36" t="s">
        <v>982</v>
      </c>
    </row>
    <row r="49" spans="1:1" x14ac:dyDescent="0.4">
      <c r="A49" s="36" t="s">
        <v>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35BA-877B-436F-9C0D-7282BD79A948}">
  <dimension ref="A1:DV340"/>
  <sheetViews>
    <sheetView showGridLines="0" zoomScale="80" zoomScaleNormal="80" workbookViewId="0">
      <pane xSplit="3" ySplit="1" topLeftCell="DG2" activePane="bottomRight" state="frozen"/>
      <selection pane="topRight" activeCell="B1" sqref="B1"/>
      <selection pane="bottomLeft" activeCell="A5" sqref="A5"/>
      <selection pane="bottomRight" activeCell="DH3" sqref="DH3"/>
    </sheetView>
  </sheetViews>
  <sheetFormatPr defaultColWidth="9.07421875" defaultRowHeight="14.6" x14ac:dyDescent="0.4"/>
  <cols>
    <col min="1" max="1" width="10.4609375" style="3" customWidth="1"/>
    <col min="2" max="2" width="9.07421875" style="3"/>
    <col min="3" max="3" width="16" style="3" customWidth="1"/>
    <col min="4" max="4" width="17.4609375" style="3" customWidth="1"/>
    <col min="5" max="5" width="9.07421875" style="3"/>
    <col min="6" max="6" width="15.07421875" style="3" customWidth="1"/>
    <col min="7" max="9" width="9.07421875" style="3"/>
    <col min="10" max="10" width="17.4609375" style="3" customWidth="1"/>
    <col min="11" max="11" width="22.53515625" style="3" customWidth="1"/>
    <col min="12" max="17" width="9.07421875" style="3"/>
    <col min="18" max="18" width="16.3046875" style="3" customWidth="1"/>
    <col min="19" max="19" width="9.07421875" style="3"/>
    <col min="20" max="20" width="23.84375" style="3" customWidth="1"/>
    <col min="21" max="21" width="10.69140625" style="3" customWidth="1"/>
    <col min="22" max="22" width="7.84375" style="3" bestFit="1" customWidth="1"/>
    <col min="23" max="23" width="10.3046875" style="3" bestFit="1" customWidth="1"/>
    <col min="24" max="24" width="9" style="3" bestFit="1" customWidth="1"/>
    <col min="25" max="25" width="12.69140625" style="3" bestFit="1" customWidth="1"/>
    <col min="26" max="26" width="13.3046875" style="3" bestFit="1" customWidth="1"/>
    <col min="27" max="27" width="14.84375" style="3" bestFit="1" customWidth="1"/>
    <col min="28" max="30" width="10" style="3" bestFit="1" customWidth="1"/>
    <col min="31" max="32" width="11.07421875" style="3" bestFit="1" customWidth="1"/>
    <col min="33" max="42" width="9.07421875" style="3"/>
    <col min="43" max="43" width="10.3046875" style="3" bestFit="1" customWidth="1"/>
    <col min="44" max="44" width="10.84375" style="3" bestFit="1" customWidth="1"/>
    <col min="45" max="53" width="9.07421875" style="3"/>
    <col min="54" max="83" width="12.69140625" style="3" customWidth="1"/>
    <col min="84" max="84" width="9.07421875" style="3"/>
    <col min="85" max="85" width="18.69140625" style="3" customWidth="1"/>
    <col min="86" max="95" width="9.07421875" style="3"/>
    <col min="96" max="96" width="20.4609375" style="3" bestFit="1" customWidth="1"/>
    <col min="97" max="98" width="9.07421875" style="3"/>
    <col min="99" max="99" width="12.3046875" style="3" bestFit="1" customWidth="1"/>
    <col min="100" max="101" width="12.3046875" style="3" customWidth="1"/>
    <col min="102" max="105" width="11.69140625" style="3" bestFit="1" customWidth="1"/>
    <col min="106" max="106" width="15.3046875" style="3" customWidth="1"/>
    <col min="107" max="107" width="13.53515625" style="3" bestFit="1" customWidth="1"/>
    <col min="108" max="111" width="17.69140625" style="3" customWidth="1"/>
    <col min="112" max="112" width="13.53515625" style="3" customWidth="1"/>
    <col min="113" max="113" width="9.07421875" style="3"/>
    <col min="114" max="116" width="12.69140625" style="63" customWidth="1"/>
    <col min="117" max="118" width="9.07421875" style="3"/>
    <col min="119" max="121" width="12.69140625" style="3" customWidth="1"/>
    <col min="122" max="123" width="9.07421875" style="3"/>
    <col min="124" max="126" width="12.69140625" style="3" customWidth="1"/>
    <col min="127" max="16384" width="9.07421875" style="3"/>
  </cols>
  <sheetData>
    <row r="1" spans="1:126" x14ac:dyDescent="0.4">
      <c r="A1" s="3" t="s">
        <v>405</v>
      </c>
      <c r="B1" s="3" t="s">
        <v>408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9" t="s">
        <v>65</v>
      </c>
      <c r="BP1" s="29" t="s">
        <v>66</v>
      </c>
      <c r="BQ1" s="29" t="s">
        <v>67</v>
      </c>
      <c r="BR1" s="29" t="s">
        <v>68</v>
      </c>
      <c r="BS1" s="29" t="s">
        <v>69</v>
      </c>
      <c r="BT1" s="29" t="s">
        <v>70</v>
      </c>
      <c r="BU1" s="29" t="s">
        <v>71</v>
      </c>
      <c r="BV1" s="29" t="s">
        <v>72</v>
      </c>
      <c r="BW1" s="29" t="s">
        <v>73</v>
      </c>
      <c r="BX1" s="29" t="s">
        <v>74</v>
      </c>
      <c r="BY1" s="29" t="s">
        <v>75</v>
      </c>
      <c r="BZ1" s="29" t="s">
        <v>76</v>
      </c>
      <c r="CA1" s="29" t="s">
        <v>77</v>
      </c>
      <c r="CB1" s="29" t="s">
        <v>78</v>
      </c>
      <c r="CC1" s="29" t="s">
        <v>79</v>
      </c>
      <c r="CD1" s="47" t="s">
        <v>80</v>
      </c>
      <c r="CE1" s="29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11" t="s">
        <v>917</v>
      </c>
      <c r="CW1" s="11" t="s">
        <v>920</v>
      </c>
      <c r="CX1" s="36" t="s">
        <v>910</v>
      </c>
      <c r="CY1" s="36" t="s">
        <v>915</v>
      </c>
      <c r="CZ1" s="36" t="s">
        <v>934</v>
      </c>
      <c r="DA1" s="36" t="s">
        <v>935</v>
      </c>
      <c r="DB1" s="36" t="s">
        <v>982</v>
      </c>
      <c r="DC1" s="36" t="s">
        <v>983</v>
      </c>
      <c r="DD1" s="36" t="s">
        <v>974</v>
      </c>
      <c r="DE1" s="36" t="s">
        <v>975</v>
      </c>
      <c r="DF1" s="36" t="s">
        <v>976</v>
      </c>
      <c r="DG1" s="36" t="s">
        <v>977</v>
      </c>
      <c r="DH1" s="36"/>
      <c r="DI1" s="36" t="s">
        <v>978</v>
      </c>
      <c r="DN1" s="36" t="s">
        <v>979</v>
      </c>
      <c r="DS1" s="36" t="s">
        <v>981</v>
      </c>
    </row>
    <row r="2" spans="1:126" x14ac:dyDescent="0.4">
      <c r="A2" s="3">
        <v>202410</v>
      </c>
      <c r="B2" s="3">
        <v>111</v>
      </c>
      <c r="C2" s="5">
        <v>45584.436909722222</v>
      </c>
      <c r="D2" s="5">
        <v>45584.440428240741</v>
      </c>
      <c r="E2" s="3">
        <v>0</v>
      </c>
      <c r="F2" s="4" t="s">
        <v>617</v>
      </c>
      <c r="G2" s="3">
        <v>100</v>
      </c>
      <c r="H2" s="3">
        <v>303</v>
      </c>
      <c r="I2" s="3">
        <v>1</v>
      </c>
      <c r="J2" s="5">
        <v>45584.440451388888</v>
      </c>
      <c r="K2" s="4" t="s">
        <v>618</v>
      </c>
      <c r="L2" s="4" t="s">
        <v>122</v>
      </c>
      <c r="M2" s="4" t="s">
        <v>122</v>
      </c>
      <c r="N2" s="4" t="s">
        <v>122</v>
      </c>
      <c r="O2" s="4" t="s">
        <v>122</v>
      </c>
      <c r="P2" s="3">
        <v>33.412199999999999</v>
      </c>
      <c r="Q2" s="3">
        <v>-112.0287</v>
      </c>
      <c r="R2" s="4" t="s">
        <v>129</v>
      </c>
      <c r="S2" s="4" t="s">
        <v>124</v>
      </c>
      <c r="T2" s="4" t="s">
        <v>619</v>
      </c>
      <c r="U2" s="3">
        <v>1</v>
      </c>
      <c r="V2" s="3">
        <v>2</v>
      </c>
      <c r="W2" s="3">
        <v>1</v>
      </c>
      <c r="X2" s="3">
        <v>2</v>
      </c>
      <c r="Y2" s="3">
        <v>3</v>
      </c>
      <c r="Z2" s="3">
        <v>3</v>
      </c>
      <c r="AA2" s="3">
        <v>3</v>
      </c>
      <c r="AG2" s="3">
        <v>2</v>
      </c>
      <c r="AH2" s="3">
        <v>5</v>
      </c>
      <c r="AI2" s="3">
        <v>3</v>
      </c>
      <c r="AJ2" s="3">
        <v>6</v>
      </c>
      <c r="AK2" s="3">
        <v>6</v>
      </c>
      <c r="AL2" s="3">
        <v>6</v>
      </c>
      <c r="AM2" s="3">
        <v>6</v>
      </c>
      <c r="AN2" s="3">
        <v>6</v>
      </c>
      <c r="AO2" s="3">
        <v>2</v>
      </c>
      <c r="AP2" s="3">
        <v>2</v>
      </c>
      <c r="AQ2" s="3">
        <v>5</v>
      </c>
      <c r="AR2" s="3">
        <v>3</v>
      </c>
      <c r="BC2" s="3">
        <v>6</v>
      </c>
      <c r="BD2" s="3">
        <v>3</v>
      </c>
      <c r="BE2" s="4" t="s">
        <v>125</v>
      </c>
      <c r="BF2" s="4" t="s">
        <v>122</v>
      </c>
      <c r="BG2" s="4" t="s">
        <v>122</v>
      </c>
      <c r="BH2" s="4"/>
      <c r="BI2" s="4" t="s">
        <v>125</v>
      </c>
      <c r="BJ2" s="4" t="s">
        <v>122</v>
      </c>
      <c r="BK2" s="4" t="s">
        <v>122</v>
      </c>
      <c r="BL2" s="4" t="s">
        <v>125</v>
      </c>
      <c r="BM2" s="4" t="s">
        <v>122</v>
      </c>
      <c r="BN2" s="3">
        <v>7</v>
      </c>
      <c r="BP2" s="4" t="s">
        <v>122</v>
      </c>
      <c r="BQ2" s="4" t="s">
        <v>122</v>
      </c>
      <c r="BR2" s="4" t="s">
        <v>122</v>
      </c>
      <c r="BS2" s="4" t="s">
        <v>122</v>
      </c>
      <c r="BT2" s="4" t="s">
        <v>122</v>
      </c>
      <c r="BU2" s="4"/>
      <c r="BV2" s="4" t="s">
        <v>122</v>
      </c>
      <c r="BW2" s="4" t="s">
        <v>122</v>
      </c>
      <c r="BX2" s="4" t="s">
        <v>122</v>
      </c>
      <c r="BY2" s="4" t="s">
        <v>122</v>
      </c>
      <c r="BZ2" s="4" t="s">
        <v>122</v>
      </c>
      <c r="CA2" s="4" t="s">
        <v>122</v>
      </c>
      <c r="CD2" s="4" t="s">
        <v>122</v>
      </c>
      <c r="CE2" s="4" t="s">
        <v>122</v>
      </c>
      <c r="CF2" s="3">
        <v>1</v>
      </c>
      <c r="CG2" s="4" t="s">
        <v>122</v>
      </c>
      <c r="CH2" s="3">
        <v>7</v>
      </c>
      <c r="CI2" s="4" t="s">
        <v>122</v>
      </c>
      <c r="CJ2" s="4" t="s">
        <v>122</v>
      </c>
      <c r="CK2" s="4" t="s">
        <v>122</v>
      </c>
      <c r="CL2" s="4" t="s">
        <v>122</v>
      </c>
      <c r="CM2" s="4" t="s">
        <v>122</v>
      </c>
      <c r="CN2" s="4" t="s">
        <v>122</v>
      </c>
      <c r="CO2" s="4" t="s">
        <v>125</v>
      </c>
      <c r="CP2" s="4" t="s">
        <v>122</v>
      </c>
      <c r="CQ2" s="4" t="s">
        <v>122</v>
      </c>
      <c r="CR2" s="4" t="s">
        <v>122</v>
      </c>
      <c r="CS2" s="3">
        <v>5</v>
      </c>
      <c r="CT2" s="3">
        <v>6</v>
      </c>
      <c r="CU2" s="3">
        <v>1</v>
      </c>
      <c r="CV2">
        <v>1</v>
      </c>
      <c r="CW2" cm="1">
        <f t="array" ref="CW2">_xlfn.IFS(CU2*1=1,1,CU2*1=2,1,TRUE,0)</f>
        <v>1</v>
      </c>
      <c r="CX2" s="3" t="e">
        <f>NA()</f>
        <v>#N/A</v>
      </c>
      <c r="CY2" s="3">
        <f>IF(BC2&lt;&gt;"",BC2,IF(CD2&lt;&gt;"",CD2,""))</f>
        <v>6</v>
      </c>
      <c r="CZ2" s="3" cm="1">
        <f t="array" ref="CZ2">_xlfn.IFS(BP2&lt;&gt;"", BP2, CV2=1,  AQ2, CV2=0,  AZ2)</f>
        <v>5</v>
      </c>
      <c r="DA2" s="3" t="e">
        <f>NA()</f>
        <v>#N/A</v>
      </c>
      <c r="DB2" s="36">
        <f>IF(COUNT(CY2,AH2)=2,CY2-AH2,"")</f>
        <v>1</v>
      </c>
      <c r="DC2" s="3" t="e">
        <f>CX2-AH2</f>
        <v>#N/A</v>
      </c>
      <c r="DD2" s="3">
        <f>IF($CW2=1,CZ2-$AH2,CY2-$AH2)</f>
        <v>0</v>
      </c>
      <c r="DE2" s="3">
        <f>IF($CW2=1,CY2-$AH2,CZ2-$AH2)</f>
        <v>1</v>
      </c>
      <c r="DF2" s="3" t="e">
        <f>IF($CW2=1,$DA2-$AH2,$CX2-$AH2)</f>
        <v>#N/A</v>
      </c>
      <c r="DG2" s="3" t="e">
        <f>IF($CW2=1,$CX2-$AH2, $DA2-$AH2)</f>
        <v>#N/A</v>
      </c>
      <c r="DI2" s="3" t="s">
        <v>1002</v>
      </c>
      <c r="DN2" s="3" t="s">
        <v>958</v>
      </c>
      <c r="DO2" s="63"/>
      <c r="DP2" s="63"/>
      <c r="DQ2" s="63"/>
      <c r="DS2" s="3" t="s">
        <v>958</v>
      </c>
      <c r="DT2" s="63"/>
      <c r="DU2" s="63"/>
      <c r="DV2" s="63"/>
    </row>
    <row r="3" spans="1:126" x14ac:dyDescent="0.4">
      <c r="A3" s="3">
        <v>202410</v>
      </c>
      <c r="B3" s="3">
        <v>111</v>
      </c>
      <c r="C3" s="5">
        <v>45584.437858796293</v>
      </c>
      <c r="D3" s="5">
        <v>45584.44059027778</v>
      </c>
      <c r="E3" s="3">
        <v>0</v>
      </c>
      <c r="F3" s="4" t="s">
        <v>620</v>
      </c>
      <c r="G3" s="3">
        <v>100</v>
      </c>
      <c r="H3" s="3">
        <v>236</v>
      </c>
      <c r="I3" s="3">
        <v>1</v>
      </c>
      <c r="J3" s="5">
        <v>45584.440607245371</v>
      </c>
      <c r="K3" s="4" t="s">
        <v>621</v>
      </c>
      <c r="L3" s="4" t="s">
        <v>122</v>
      </c>
      <c r="M3" s="4" t="s">
        <v>122</v>
      </c>
      <c r="N3" s="4" t="s">
        <v>122</v>
      </c>
      <c r="O3" s="4" t="s">
        <v>122</v>
      </c>
      <c r="P3" s="3">
        <v>49.229199999999999</v>
      </c>
      <c r="Q3" s="3">
        <v>-122.9932</v>
      </c>
      <c r="R3" s="4" t="s">
        <v>129</v>
      </c>
      <c r="S3" s="4" t="s">
        <v>124</v>
      </c>
      <c r="T3" s="4" t="s">
        <v>622</v>
      </c>
      <c r="U3" s="3">
        <v>1</v>
      </c>
      <c r="V3" s="3">
        <v>5</v>
      </c>
      <c r="W3" s="3">
        <v>3</v>
      </c>
      <c r="X3" s="3">
        <v>1</v>
      </c>
      <c r="Y3" s="3">
        <v>1</v>
      </c>
      <c r="Z3" s="3">
        <v>1</v>
      </c>
      <c r="AA3" s="3">
        <v>1</v>
      </c>
      <c r="AG3" s="3">
        <v>2</v>
      </c>
      <c r="AH3" s="3">
        <v>0</v>
      </c>
      <c r="AI3" s="4" t="s">
        <v>122</v>
      </c>
      <c r="AJ3" s="3">
        <v>5</v>
      </c>
      <c r="AK3" s="3">
        <v>5</v>
      </c>
      <c r="AL3" s="3">
        <v>6</v>
      </c>
      <c r="AM3" s="3">
        <v>6</v>
      </c>
      <c r="AN3" s="3">
        <v>6</v>
      </c>
      <c r="AO3" s="3">
        <v>3</v>
      </c>
      <c r="AP3" s="3">
        <v>3</v>
      </c>
      <c r="AQ3" s="4" t="s">
        <v>122</v>
      </c>
      <c r="AR3" s="4" t="s">
        <v>122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 t="s">
        <v>122</v>
      </c>
      <c r="BD3" s="4" t="s">
        <v>122</v>
      </c>
      <c r="BE3" s="4" t="s">
        <v>122</v>
      </c>
      <c r="BF3" s="4" t="s">
        <v>122</v>
      </c>
      <c r="BG3" s="4" t="s">
        <v>122</v>
      </c>
      <c r="BH3" s="4"/>
      <c r="BI3" s="4" t="s">
        <v>122</v>
      </c>
      <c r="BJ3" s="4" t="s">
        <v>122</v>
      </c>
      <c r="BK3" s="4" t="s">
        <v>122</v>
      </c>
      <c r="BL3" s="4" t="s">
        <v>122</v>
      </c>
      <c r="BM3" s="4" t="s">
        <v>122</v>
      </c>
      <c r="BN3" s="4" t="s">
        <v>122</v>
      </c>
      <c r="BO3" s="4"/>
      <c r="BP3" s="3">
        <v>0</v>
      </c>
      <c r="BQ3" s="4" t="s">
        <v>122</v>
      </c>
      <c r="BR3" s="4" t="s">
        <v>122</v>
      </c>
      <c r="BS3" s="4" t="s">
        <v>122</v>
      </c>
      <c r="BT3" s="4" t="s">
        <v>122</v>
      </c>
      <c r="BU3" s="4"/>
      <c r="BV3" s="4" t="s">
        <v>122</v>
      </c>
      <c r="BW3" s="4" t="s">
        <v>122</v>
      </c>
      <c r="BX3" s="4" t="s">
        <v>122</v>
      </c>
      <c r="BY3" s="4" t="s">
        <v>122</v>
      </c>
      <c r="BZ3" s="4" t="s">
        <v>125</v>
      </c>
      <c r="CA3" s="4" t="s">
        <v>122</v>
      </c>
      <c r="CD3" s="3">
        <v>0</v>
      </c>
      <c r="CE3" s="4" t="s">
        <v>122</v>
      </c>
      <c r="CF3" s="3">
        <v>1</v>
      </c>
      <c r="CG3" s="4" t="s">
        <v>122</v>
      </c>
      <c r="CH3" s="3">
        <v>4</v>
      </c>
      <c r="CI3" s="4" t="s">
        <v>122</v>
      </c>
      <c r="CJ3" s="4" t="s">
        <v>122</v>
      </c>
      <c r="CK3" s="4" t="s">
        <v>122</v>
      </c>
      <c r="CL3" s="4" t="s">
        <v>122</v>
      </c>
      <c r="CM3" s="4" t="s">
        <v>122</v>
      </c>
      <c r="CN3" s="4" t="s">
        <v>122</v>
      </c>
      <c r="CO3" s="4" t="s">
        <v>125</v>
      </c>
      <c r="CP3" s="4" t="s">
        <v>122</v>
      </c>
      <c r="CQ3" s="4" t="s">
        <v>122</v>
      </c>
      <c r="CR3" s="4" t="s">
        <v>122</v>
      </c>
      <c r="CS3" s="3">
        <v>4</v>
      </c>
      <c r="CT3" s="3">
        <v>5</v>
      </c>
      <c r="CU3" s="3">
        <v>0</v>
      </c>
      <c r="CV3">
        <v>1</v>
      </c>
      <c r="CW3" cm="1">
        <f t="array" ref="CW3">_xlfn.IFS(CU3*1=1,1,CU3*1=2,1,TRUE,0)</f>
        <v>0</v>
      </c>
      <c r="CX3" s="3" t="e">
        <f>NA()</f>
        <v>#N/A</v>
      </c>
      <c r="CY3" s="3">
        <f t="shared" ref="CY3:CY66" si="0">IF(BC3&lt;&gt;"",BC3,IF(CD3&lt;&gt;"",CD3,""))</f>
        <v>0</v>
      </c>
      <c r="CZ3" s="3" cm="1">
        <f t="array" ref="CZ3">_xlfn.IFS(BP3&lt;&gt;"", BP3, CV3=1,  AQ3, CV3=0,  AZ3)</f>
        <v>0</v>
      </c>
      <c r="DA3" s="3" t="e">
        <f>NA()</f>
        <v>#N/A</v>
      </c>
      <c r="DB3" s="36">
        <f t="shared" ref="DB3:DB66" si="1">IF(COUNT(CY3,AH3)=2,CY3-AH3,"")</f>
        <v>0</v>
      </c>
      <c r="DC3" s="3" t="e">
        <f t="shared" ref="DC3:DC66" si="2">CX3-AH3</f>
        <v>#N/A</v>
      </c>
      <c r="DD3" s="3">
        <f t="shared" ref="DD3:DD66" si="3">IF($CW3=1,CZ3-$AH3,CY3-$AH3)</f>
        <v>0</v>
      </c>
      <c r="DE3" s="3">
        <f t="shared" ref="DE3:DE66" si="4">IF($CW3=1,CY3-$AH3,CZ3-$AH3)</f>
        <v>0</v>
      </c>
      <c r="DF3" s="3" t="e">
        <f t="shared" ref="DF3:DF66" si="5">IF($CW3=1,$DA3-$AH3,$CX3-$AH3)</f>
        <v>#N/A</v>
      </c>
      <c r="DG3" s="3" t="e">
        <f t="shared" ref="DG3:DG66" si="6">IF($CW3=1,$CX3-$AH3, $DA3-$AH3)</f>
        <v>#N/A</v>
      </c>
      <c r="DI3" s="61" t="s">
        <v>953</v>
      </c>
      <c r="DJ3" s="64" t="s">
        <v>956</v>
      </c>
      <c r="DK3" s="64" t="s">
        <v>957</v>
      </c>
      <c r="DL3" s="64" t="s">
        <v>955</v>
      </c>
      <c r="DN3" s="61" t="s">
        <v>953</v>
      </c>
      <c r="DO3" s="64" t="s">
        <v>956</v>
      </c>
      <c r="DP3" s="64" t="s">
        <v>957</v>
      </c>
      <c r="DQ3" s="64" t="s">
        <v>955</v>
      </c>
      <c r="DS3" s="61" t="s">
        <v>953</v>
      </c>
      <c r="DT3" s="64" t="s">
        <v>956</v>
      </c>
      <c r="DU3" s="64" t="s">
        <v>957</v>
      </c>
      <c r="DV3" s="64" t="s">
        <v>955</v>
      </c>
    </row>
    <row r="4" spans="1:126" x14ac:dyDescent="0.4">
      <c r="A4" s="3">
        <v>202410</v>
      </c>
      <c r="B4" s="3">
        <v>111</v>
      </c>
      <c r="C4" s="5">
        <v>45584.43849537037</v>
      </c>
      <c r="D4" s="5">
        <v>45584.441134259258</v>
      </c>
      <c r="E4" s="3">
        <v>0</v>
      </c>
      <c r="F4" s="4" t="s">
        <v>623</v>
      </c>
      <c r="G4" s="3">
        <v>100</v>
      </c>
      <c r="H4" s="3">
        <v>228</v>
      </c>
      <c r="I4" s="3">
        <v>1</v>
      </c>
      <c r="J4" s="5">
        <v>45584.441153993059</v>
      </c>
      <c r="K4" s="4" t="s">
        <v>624</v>
      </c>
      <c r="L4" s="4" t="s">
        <v>122</v>
      </c>
      <c r="M4" s="4" t="s">
        <v>122</v>
      </c>
      <c r="N4" s="4" t="s">
        <v>122</v>
      </c>
      <c r="O4" s="4" t="s">
        <v>122</v>
      </c>
      <c r="P4" s="3">
        <v>49.229199999999999</v>
      </c>
      <c r="Q4" s="3">
        <v>-122.9932</v>
      </c>
      <c r="R4" s="4" t="s">
        <v>129</v>
      </c>
      <c r="S4" s="4" t="s">
        <v>124</v>
      </c>
      <c r="T4" s="4" t="s">
        <v>625</v>
      </c>
      <c r="U4" s="3">
        <v>1</v>
      </c>
      <c r="V4" s="3">
        <v>4</v>
      </c>
      <c r="W4" s="3">
        <v>4</v>
      </c>
      <c r="X4" s="3">
        <v>1</v>
      </c>
      <c r="Y4" s="3">
        <v>1</v>
      </c>
      <c r="Z4" s="3">
        <v>1</v>
      </c>
      <c r="AA4" s="3">
        <v>1</v>
      </c>
      <c r="AG4" s="3">
        <v>2</v>
      </c>
      <c r="AH4" s="3">
        <v>4.5</v>
      </c>
      <c r="AI4" s="3">
        <v>1</v>
      </c>
      <c r="AJ4" s="3">
        <v>7</v>
      </c>
      <c r="AK4" s="3">
        <v>9</v>
      </c>
      <c r="AL4" s="3">
        <v>8</v>
      </c>
      <c r="AM4" s="3">
        <v>7</v>
      </c>
      <c r="AN4" s="3">
        <v>4</v>
      </c>
      <c r="AO4" s="3">
        <v>2</v>
      </c>
      <c r="AP4" s="3">
        <v>2</v>
      </c>
      <c r="AQ4" s="3">
        <v>5</v>
      </c>
      <c r="AR4" s="3">
        <v>2</v>
      </c>
      <c r="BC4" s="3">
        <v>5</v>
      </c>
      <c r="BD4" s="3">
        <v>2</v>
      </c>
      <c r="BE4" s="4" t="s">
        <v>125</v>
      </c>
      <c r="BF4" s="4" t="s">
        <v>122</v>
      </c>
      <c r="BG4" s="4" t="s">
        <v>125</v>
      </c>
      <c r="BH4" s="4"/>
      <c r="BI4" s="4" t="s">
        <v>122</v>
      </c>
      <c r="BJ4" s="4" t="s">
        <v>122</v>
      </c>
      <c r="BK4" s="4" t="s">
        <v>122</v>
      </c>
      <c r="BL4" s="4" t="s">
        <v>122</v>
      </c>
      <c r="BM4" s="4" t="s">
        <v>122</v>
      </c>
      <c r="BN4" s="3">
        <v>1</v>
      </c>
      <c r="BP4" s="4" t="s">
        <v>122</v>
      </c>
      <c r="BQ4" s="4" t="s">
        <v>122</v>
      </c>
      <c r="BR4" s="4" t="s">
        <v>122</v>
      </c>
      <c r="BS4" s="4" t="s">
        <v>122</v>
      </c>
      <c r="BT4" s="4" t="s">
        <v>122</v>
      </c>
      <c r="BU4" s="4"/>
      <c r="BV4" s="4" t="s">
        <v>122</v>
      </c>
      <c r="BW4" s="4" t="s">
        <v>122</v>
      </c>
      <c r="BX4" s="4" t="s">
        <v>122</v>
      </c>
      <c r="BY4" s="4" t="s">
        <v>122</v>
      </c>
      <c r="BZ4" s="4" t="s">
        <v>122</v>
      </c>
      <c r="CA4" s="4" t="s">
        <v>122</v>
      </c>
      <c r="CD4" s="4" t="s">
        <v>122</v>
      </c>
      <c r="CE4" s="4" t="s">
        <v>122</v>
      </c>
      <c r="CF4" s="3">
        <v>1</v>
      </c>
      <c r="CG4" s="4" t="s">
        <v>122</v>
      </c>
      <c r="CH4" s="3">
        <v>2</v>
      </c>
      <c r="CI4" s="4" t="s">
        <v>122</v>
      </c>
      <c r="CJ4" s="4" t="s">
        <v>122</v>
      </c>
      <c r="CK4" s="4" t="s">
        <v>122</v>
      </c>
      <c r="CL4" s="4" t="s">
        <v>122</v>
      </c>
      <c r="CM4" s="4" t="s">
        <v>122</v>
      </c>
      <c r="CN4" s="4" t="s">
        <v>122</v>
      </c>
      <c r="CO4" s="4" t="s">
        <v>125</v>
      </c>
      <c r="CP4" s="4" t="s">
        <v>122</v>
      </c>
      <c r="CQ4" s="4" t="s">
        <v>122</v>
      </c>
      <c r="CR4" s="4" t="s">
        <v>122</v>
      </c>
      <c r="CS4" s="3">
        <v>3</v>
      </c>
      <c r="CT4" s="3">
        <v>5</v>
      </c>
      <c r="CU4" s="3">
        <v>1</v>
      </c>
      <c r="CV4">
        <v>1</v>
      </c>
      <c r="CW4" cm="1">
        <f t="array" ref="CW4">_xlfn.IFS(CU4*1=1,1,CU4*1=2,1,TRUE,0)</f>
        <v>1</v>
      </c>
      <c r="CX4" s="3" t="e">
        <f>NA()</f>
        <v>#N/A</v>
      </c>
      <c r="CY4" s="3">
        <f t="shared" si="0"/>
        <v>5</v>
      </c>
      <c r="CZ4" s="3" cm="1">
        <f t="array" ref="CZ4">_xlfn.IFS(BP4&lt;&gt;"", BP4, CV4=1,  AQ4, CV4=0,  AZ4)</f>
        <v>5</v>
      </c>
      <c r="DA4" s="3" t="e">
        <f>NA()</f>
        <v>#N/A</v>
      </c>
      <c r="DB4" s="36">
        <f t="shared" si="1"/>
        <v>0.5</v>
      </c>
      <c r="DC4" s="3" t="e">
        <f t="shared" si="2"/>
        <v>#N/A</v>
      </c>
      <c r="DD4" s="3">
        <f t="shared" si="3"/>
        <v>0.5</v>
      </c>
      <c r="DE4" s="3">
        <f t="shared" si="4"/>
        <v>0.5</v>
      </c>
      <c r="DF4" s="3" t="e">
        <f t="shared" si="5"/>
        <v>#N/A</v>
      </c>
      <c r="DG4" s="3" t="e">
        <f t="shared" si="6"/>
        <v>#N/A</v>
      </c>
      <c r="DI4" s="59">
        <v>202410</v>
      </c>
      <c r="DJ4" s="63">
        <f>COUNT($DB$2:$DB$98)</f>
        <v>97</v>
      </c>
      <c r="DN4" s="59">
        <v>202410</v>
      </c>
      <c r="DO4" s="63">
        <f>COUNT($DD$2:$DD$98)</f>
        <v>97</v>
      </c>
      <c r="DP4" s="63"/>
      <c r="DQ4" s="63"/>
      <c r="DS4" s="59">
        <v>202410</v>
      </c>
      <c r="DT4" s="63">
        <f>COUNT($DE$2:$DE$98)</f>
        <v>97</v>
      </c>
      <c r="DU4" s="63"/>
      <c r="DV4" s="63"/>
    </row>
    <row r="5" spans="1:126" x14ac:dyDescent="0.4">
      <c r="A5" s="3">
        <v>202410</v>
      </c>
      <c r="B5" s="3">
        <v>111</v>
      </c>
      <c r="C5" s="5">
        <v>45584.439675925925</v>
      </c>
      <c r="D5" s="5">
        <v>45584.442673611113</v>
      </c>
      <c r="E5" s="3">
        <v>0</v>
      </c>
      <c r="F5" s="4" t="s">
        <v>626</v>
      </c>
      <c r="G5" s="3">
        <v>100</v>
      </c>
      <c r="H5" s="3">
        <v>259</v>
      </c>
      <c r="I5" s="3">
        <v>1</v>
      </c>
      <c r="J5" s="5">
        <v>45584.442693668978</v>
      </c>
      <c r="K5" s="4" t="s">
        <v>627</v>
      </c>
      <c r="L5" s="4" t="s">
        <v>122</v>
      </c>
      <c r="M5" s="4" t="s">
        <v>122</v>
      </c>
      <c r="N5" s="4" t="s">
        <v>122</v>
      </c>
      <c r="O5" s="4" t="s">
        <v>122</v>
      </c>
      <c r="P5" s="3">
        <v>32.250300000000003</v>
      </c>
      <c r="Q5" s="3">
        <v>-110.94499999999999</v>
      </c>
      <c r="R5" s="4" t="s">
        <v>123</v>
      </c>
      <c r="S5" s="4" t="s">
        <v>124</v>
      </c>
      <c r="T5" s="4" t="s">
        <v>628</v>
      </c>
      <c r="U5" s="3">
        <v>1</v>
      </c>
      <c r="V5" s="3">
        <v>1</v>
      </c>
      <c r="W5" s="3">
        <v>4</v>
      </c>
      <c r="X5" s="3">
        <v>1</v>
      </c>
      <c r="Y5" s="3">
        <v>1</v>
      </c>
      <c r="Z5" s="3">
        <v>2</v>
      </c>
      <c r="AA5" s="3">
        <v>2</v>
      </c>
      <c r="AG5" s="3">
        <v>3</v>
      </c>
      <c r="AH5" s="3">
        <v>5</v>
      </c>
      <c r="AI5" s="3">
        <v>2</v>
      </c>
      <c r="AJ5" s="3">
        <v>4</v>
      </c>
      <c r="AK5" s="3">
        <v>8</v>
      </c>
      <c r="AL5" s="3">
        <v>6</v>
      </c>
      <c r="AM5" s="3">
        <v>3</v>
      </c>
      <c r="AN5" s="3">
        <v>7</v>
      </c>
      <c r="AO5" s="3">
        <v>2</v>
      </c>
      <c r="AP5" s="3">
        <v>3</v>
      </c>
      <c r="AQ5" s="3">
        <v>5</v>
      </c>
      <c r="AR5" s="3">
        <v>2</v>
      </c>
      <c r="BC5" s="3">
        <v>5</v>
      </c>
      <c r="BD5" s="3">
        <v>2</v>
      </c>
      <c r="BE5" s="4" t="s">
        <v>122</v>
      </c>
      <c r="BF5" s="4" t="s">
        <v>122</v>
      </c>
      <c r="BG5" s="4" t="s">
        <v>122</v>
      </c>
      <c r="BH5" s="4"/>
      <c r="BI5" s="4" t="s">
        <v>122</v>
      </c>
      <c r="BJ5" s="4" t="s">
        <v>122</v>
      </c>
      <c r="BK5" s="4" t="s">
        <v>122</v>
      </c>
      <c r="BL5" s="4" t="s">
        <v>122</v>
      </c>
      <c r="BM5" s="4" t="s">
        <v>125</v>
      </c>
      <c r="BN5" s="4" t="s">
        <v>122</v>
      </c>
      <c r="BP5" s="4" t="s">
        <v>122</v>
      </c>
      <c r="BQ5" s="4" t="s">
        <v>122</v>
      </c>
      <c r="BR5" s="4" t="s">
        <v>122</v>
      </c>
      <c r="BS5" s="4" t="s">
        <v>122</v>
      </c>
      <c r="BT5" s="4" t="s">
        <v>122</v>
      </c>
      <c r="BU5" s="4"/>
      <c r="BV5" s="4" t="s">
        <v>122</v>
      </c>
      <c r="BW5" s="4" t="s">
        <v>122</v>
      </c>
      <c r="BX5" s="4" t="s">
        <v>122</v>
      </c>
      <c r="BY5" s="4" t="s">
        <v>122</v>
      </c>
      <c r="BZ5" s="4" t="s">
        <v>122</v>
      </c>
      <c r="CA5" s="4" t="s">
        <v>122</v>
      </c>
      <c r="CD5" s="4" t="s">
        <v>122</v>
      </c>
      <c r="CE5" s="4" t="s">
        <v>122</v>
      </c>
      <c r="CF5" s="3">
        <v>1</v>
      </c>
      <c r="CG5" s="4" t="s">
        <v>122</v>
      </c>
      <c r="CH5" s="3">
        <v>7</v>
      </c>
      <c r="CI5" s="4" t="s">
        <v>122</v>
      </c>
      <c r="CJ5" s="4" t="s">
        <v>122</v>
      </c>
      <c r="CK5" s="4" t="s">
        <v>122</v>
      </c>
      <c r="CL5" s="4" t="s">
        <v>122</v>
      </c>
      <c r="CM5" s="4" t="s">
        <v>122</v>
      </c>
      <c r="CN5" s="4" t="s">
        <v>122</v>
      </c>
      <c r="CO5" s="4" t="s">
        <v>125</v>
      </c>
      <c r="CP5" s="4" t="s">
        <v>122</v>
      </c>
      <c r="CQ5" s="4" t="s">
        <v>122</v>
      </c>
      <c r="CR5" s="4" t="s">
        <v>122</v>
      </c>
      <c r="CS5" s="3">
        <v>5</v>
      </c>
      <c r="CT5" s="3">
        <v>4</v>
      </c>
      <c r="CU5" s="3">
        <v>1</v>
      </c>
      <c r="CV5">
        <v>1</v>
      </c>
      <c r="CW5" cm="1">
        <f t="array" ref="CW5">_xlfn.IFS(CU5*1=1,1,CU5*1=2,1,TRUE,0)</f>
        <v>1</v>
      </c>
      <c r="CX5" s="3" t="e">
        <f>NA()</f>
        <v>#N/A</v>
      </c>
      <c r="CY5" s="3">
        <f t="shared" si="0"/>
        <v>5</v>
      </c>
      <c r="CZ5" s="3" cm="1">
        <f t="array" ref="CZ5">_xlfn.IFS(BP5&lt;&gt;"", BP5, CV5=1,  AQ5, CV5=0,  AZ5)</f>
        <v>5</v>
      </c>
      <c r="DA5" s="3" t="e">
        <f>NA()</f>
        <v>#N/A</v>
      </c>
      <c r="DB5" s="36">
        <f t="shared" si="1"/>
        <v>0</v>
      </c>
      <c r="DC5" s="3" t="e">
        <f t="shared" si="2"/>
        <v>#N/A</v>
      </c>
      <c r="DD5" s="3">
        <f t="shared" si="3"/>
        <v>0</v>
      </c>
      <c r="DE5" s="3">
        <f t="shared" si="4"/>
        <v>0</v>
      </c>
      <c r="DF5" s="3" t="e">
        <f t="shared" si="5"/>
        <v>#N/A</v>
      </c>
      <c r="DG5" s="3" t="e">
        <f t="shared" si="6"/>
        <v>#N/A</v>
      </c>
      <c r="DI5" s="59">
        <v>202503</v>
      </c>
      <c r="DJ5" s="63">
        <f>COUNT($DB$99:$DB$206)</f>
        <v>108</v>
      </c>
      <c r="DK5" s="63">
        <f>COUNT(DC99:DC206)</f>
        <v>108</v>
      </c>
      <c r="DL5" s="63">
        <f>DJ5+DK5</f>
        <v>216</v>
      </c>
      <c r="DN5" s="59">
        <v>202503</v>
      </c>
      <c r="DO5" s="63">
        <f>COUNT($DD$99:$DD$206)</f>
        <v>108</v>
      </c>
      <c r="DP5" s="63">
        <f>COUNT($DF$99:$DF$206)</f>
        <v>108</v>
      </c>
      <c r="DQ5" s="63"/>
      <c r="DS5" s="59">
        <v>202503</v>
      </c>
      <c r="DT5" s="63">
        <f>COUNT($DE$99:$DE$206)</f>
        <v>107</v>
      </c>
      <c r="DU5" s="63">
        <f>COUNT($DE$99:$DE$206)</f>
        <v>107</v>
      </c>
      <c r="DV5" s="63"/>
    </row>
    <row r="6" spans="1:126" x14ac:dyDescent="0.4">
      <c r="A6" s="3">
        <v>202410</v>
      </c>
      <c r="B6" s="3">
        <v>111</v>
      </c>
      <c r="C6" s="5">
        <v>45584.441828703704</v>
      </c>
      <c r="D6" s="5">
        <v>45584.444004629629</v>
      </c>
      <c r="E6" s="3">
        <v>0</v>
      </c>
      <c r="F6" s="4" t="s">
        <v>629</v>
      </c>
      <c r="G6" s="3">
        <v>100</v>
      </c>
      <c r="H6" s="3">
        <v>188</v>
      </c>
      <c r="I6" s="3">
        <v>1</v>
      </c>
      <c r="J6" s="5">
        <v>45584.444027800928</v>
      </c>
      <c r="K6" s="4" t="s">
        <v>630</v>
      </c>
      <c r="L6" s="4" t="s">
        <v>122</v>
      </c>
      <c r="M6" s="4" t="s">
        <v>122</v>
      </c>
      <c r="N6" s="4" t="s">
        <v>122</v>
      </c>
      <c r="O6" s="4" t="s">
        <v>122</v>
      </c>
      <c r="P6" s="3">
        <v>36.178800000000003</v>
      </c>
      <c r="Q6" s="3">
        <v>-115.17149999999999</v>
      </c>
      <c r="R6" s="4" t="s">
        <v>129</v>
      </c>
      <c r="S6" s="4" t="s">
        <v>124</v>
      </c>
      <c r="T6" s="4" t="s">
        <v>631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2</v>
      </c>
      <c r="AA6" s="3">
        <v>1</v>
      </c>
      <c r="AG6" s="3">
        <v>2</v>
      </c>
      <c r="AH6" s="3">
        <v>4</v>
      </c>
      <c r="AI6" s="3">
        <v>2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5</v>
      </c>
      <c r="AP6" s="3">
        <v>5</v>
      </c>
      <c r="AQ6" s="4" t="s">
        <v>122</v>
      </c>
      <c r="AR6" s="4" t="s">
        <v>122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 t="s">
        <v>122</v>
      </c>
      <c r="BD6" s="4" t="s">
        <v>122</v>
      </c>
      <c r="BE6" s="4" t="s">
        <v>122</v>
      </c>
      <c r="BF6" s="4" t="s">
        <v>122</v>
      </c>
      <c r="BG6" s="4" t="s">
        <v>122</v>
      </c>
      <c r="BH6" s="4"/>
      <c r="BI6" s="4" t="s">
        <v>122</v>
      </c>
      <c r="BJ6" s="4" t="s">
        <v>122</v>
      </c>
      <c r="BK6" s="4" t="s">
        <v>122</v>
      </c>
      <c r="BL6" s="4" t="s">
        <v>122</v>
      </c>
      <c r="BM6" s="4" t="s">
        <v>122</v>
      </c>
      <c r="BN6" s="4" t="s">
        <v>122</v>
      </c>
      <c r="BO6" s="4"/>
      <c r="BP6" s="3">
        <v>0</v>
      </c>
      <c r="BQ6" s="4" t="s">
        <v>122</v>
      </c>
      <c r="BR6" s="4" t="s">
        <v>125</v>
      </c>
      <c r="BS6" s="4" t="s">
        <v>122</v>
      </c>
      <c r="BT6" s="4" t="s">
        <v>122</v>
      </c>
      <c r="BU6" s="4"/>
      <c r="BV6" s="4" t="s">
        <v>122</v>
      </c>
      <c r="BW6" s="4" t="s">
        <v>122</v>
      </c>
      <c r="BX6" s="4" t="s">
        <v>122</v>
      </c>
      <c r="BY6" s="4" t="s">
        <v>122</v>
      </c>
      <c r="BZ6" s="4" t="s">
        <v>122</v>
      </c>
      <c r="CA6" s="4" t="s">
        <v>122</v>
      </c>
      <c r="CD6" s="3">
        <v>0</v>
      </c>
      <c r="CE6" s="4" t="s">
        <v>122</v>
      </c>
      <c r="CF6" s="3">
        <v>3</v>
      </c>
      <c r="CG6" s="4" t="s">
        <v>122</v>
      </c>
      <c r="CH6" s="3">
        <v>6</v>
      </c>
      <c r="CI6" s="4" t="s">
        <v>122</v>
      </c>
      <c r="CJ6" s="4" t="s">
        <v>125</v>
      </c>
      <c r="CK6" s="4" t="s">
        <v>122</v>
      </c>
      <c r="CL6" s="4" t="s">
        <v>122</v>
      </c>
      <c r="CM6" s="4" t="s">
        <v>122</v>
      </c>
      <c r="CN6" s="4" t="s">
        <v>122</v>
      </c>
      <c r="CO6" s="4" t="s">
        <v>122</v>
      </c>
      <c r="CP6" s="4" t="s">
        <v>122</v>
      </c>
      <c r="CQ6" s="4" t="s">
        <v>122</v>
      </c>
      <c r="CR6" s="4" t="s">
        <v>122</v>
      </c>
      <c r="CS6" s="3">
        <v>1</v>
      </c>
      <c r="CT6" s="3">
        <v>1</v>
      </c>
      <c r="CU6" s="3">
        <v>0</v>
      </c>
      <c r="CV6">
        <v>1</v>
      </c>
      <c r="CW6" cm="1">
        <f t="array" ref="CW6">_xlfn.IFS(CU6*1=1,1,CU6*1=2,1,TRUE,0)</f>
        <v>0</v>
      </c>
      <c r="CX6" s="3" t="e">
        <f>NA()</f>
        <v>#N/A</v>
      </c>
      <c r="CY6" s="3">
        <f t="shared" si="0"/>
        <v>0</v>
      </c>
      <c r="CZ6" s="3" cm="1">
        <f t="array" ref="CZ6">_xlfn.IFS(BP6&lt;&gt;"", BP6, CV6=1,  AQ6, CV6=0,  AZ6)</f>
        <v>0</v>
      </c>
      <c r="DA6" s="3" t="e">
        <f>NA()</f>
        <v>#N/A</v>
      </c>
      <c r="DB6" s="36">
        <f t="shared" si="1"/>
        <v>-4</v>
      </c>
      <c r="DC6" s="3" t="e">
        <f t="shared" si="2"/>
        <v>#N/A</v>
      </c>
      <c r="DD6" s="3">
        <f t="shared" si="3"/>
        <v>-4</v>
      </c>
      <c r="DE6" s="3">
        <f t="shared" si="4"/>
        <v>-4</v>
      </c>
      <c r="DF6" s="3" t="e">
        <f t="shared" si="5"/>
        <v>#N/A</v>
      </c>
      <c r="DG6" s="3" t="e">
        <f t="shared" si="6"/>
        <v>#N/A</v>
      </c>
      <c r="DI6" s="59">
        <v>202511</v>
      </c>
      <c r="DJ6" s="63">
        <f>COUNT($DB$207:$DB$340)</f>
        <v>133</v>
      </c>
      <c r="DK6" s="63">
        <f>COUNT(DC207:DC340)</f>
        <v>132</v>
      </c>
      <c r="DL6" s="63">
        <f>DJ6+DK6</f>
        <v>265</v>
      </c>
      <c r="DN6" s="59">
        <v>202511</v>
      </c>
      <c r="DO6" s="63">
        <f>COUNT($DD$207:$DD$340)</f>
        <v>134</v>
      </c>
      <c r="DP6" s="63">
        <f>COUNT($DF$207:$DF$340)</f>
        <v>134</v>
      </c>
      <c r="DQ6" s="63"/>
      <c r="DS6" s="59">
        <v>202511</v>
      </c>
      <c r="DT6" s="63">
        <f>COUNT($DE$207:$DE$340)</f>
        <v>131</v>
      </c>
      <c r="DU6" s="63">
        <f>COUNT($DE$207:$DE$340)</f>
        <v>131</v>
      </c>
      <c r="DV6" s="63"/>
    </row>
    <row r="7" spans="1:126" x14ac:dyDescent="0.4">
      <c r="A7" s="3">
        <v>202410</v>
      </c>
      <c r="B7" s="3">
        <v>111</v>
      </c>
      <c r="C7" s="5">
        <v>45584.443055555559</v>
      </c>
      <c r="D7" s="5">
        <v>45584.455046296294</v>
      </c>
      <c r="E7" s="3">
        <v>0</v>
      </c>
      <c r="F7" s="4" t="s">
        <v>626</v>
      </c>
      <c r="G7" s="3">
        <v>100</v>
      </c>
      <c r="H7" s="3">
        <v>1035</v>
      </c>
      <c r="I7" s="3">
        <v>1</v>
      </c>
      <c r="J7" s="5">
        <v>45584.455064178241</v>
      </c>
      <c r="K7" s="4" t="s">
        <v>645</v>
      </c>
      <c r="L7" s="4" t="s">
        <v>122</v>
      </c>
      <c r="M7" s="4" t="s">
        <v>122</v>
      </c>
      <c r="N7" s="4" t="s">
        <v>122</v>
      </c>
      <c r="O7" s="4" t="s">
        <v>122</v>
      </c>
      <c r="P7" s="3">
        <v>32.250300000000003</v>
      </c>
      <c r="Q7" s="3">
        <v>-110.94499999999999</v>
      </c>
      <c r="R7" s="4" t="s">
        <v>123</v>
      </c>
      <c r="S7" s="4" t="s">
        <v>124</v>
      </c>
      <c r="T7" s="4" t="s">
        <v>646</v>
      </c>
      <c r="U7" s="3">
        <v>1</v>
      </c>
      <c r="V7" s="3">
        <v>2</v>
      </c>
      <c r="W7" s="3">
        <v>3</v>
      </c>
      <c r="X7" s="3">
        <v>3</v>
      </c>
      <c r="Y7" s="3">
        <v>3</v>
      </c>
      <c r="Z7" s="3">
        <v>3</v>
      </c>
      <c r="AA7" s="3">
        <v>3</v>
      </c>
      <c r="AG7" s="3">
        <v>2</v>
      </c>
      <c r="AH7" s="3">
        <v>5</v>
      </c>
      <c r="AI7" s="3">
        <v>1</v>
      </c>
      <c r="AJ7" s="3">
        <v>7</v>
      </c>
      <c r="AK7" s="3">
        <v>7</v>
      </c>
      <c r="AL7" s="3">
        <v>7</v>
      </c>
      <c r="AM7" s="3">
        <v>7</v>
      </c>
      <c r="AN7" s="3">
        <v>7</v>
      </c>
      <c r="AO7" s="3">
        <v>2</v>
      </c>
      <c r="AP7" s="3">
        <v>4</v>
      </c>
      <c r="AQ7" s="3">
        <v>6</v>
      </c>
      <c r="AR7" s="3">
        <v>1</v>
      </c>
      <c r="BC7" s="3">
        <v>6.5</v>
      </c>
      <c r="BD7" s="3">
        <v>1</v>
      </c>
      <c r="BE7" s="4" t="s">
        <v>125</v>
      </c>
      <c r="BF7" s="4" t="s">
        <v>122</v>
      </c>
      <c r="BG7" s="4" t="s">
        <v>125</v>
      </c>
      <c r="BH7" s="4"/>
      <c r="BI7" s="4" t="s">
        <v>122</v>
      </c>
      <c r="BJ7" s="4" t="s">
        <v>122</v>
      </c>
      <c r="BK7" s="4" t="s">
        <v>122</v>
      </c>
      <c r="BL7" s="4" t="s">
        <v>122</v>
      </c>
      <c r="BM7" s="4" t="s">
        <v>122</v>
      </c>
      <c r="BN7" s="3">
        <v>3</v>
      </c>
      <c r="BP7" s="4" t="s">
        <v>122</v>
      </c>
      <c r="BQ7" s="4" t="s">
        <v>122</v>
      </c>
      <c r="BR7" s="4" t="s">
        <v>122</v>
      </c>
      <c r="BS7" s="4" t="s">
        <v>122</v>
      </c>
      <c r="BT7" s="4" t="s">
        <v>122</v>
      </c>
      <c r="BU7" s="4"/>
      <c r="BV7" s="4" t="s">
        <v>122</v>
      </c>
      <c r="BW7" s="4" t="s">
        <v>122</v>
      </c>
      <c r="BX7" s="4" t="s">
        <v>122</v>
      </c>
      <c r="BY7" s="4" t="s">
        <v>122</v>
      </c>
      <c r="BZ7" s="4" t="s">
        <v>122</v>
      </c>
      <c r="CA7" s="4" t="s">
        <v>122</v>
      </c>
      <c r="CD7" s="4" t="s">
        <v>122</v>
      </c>
      <c r="CE7" s="4" t="s">
        <v>122</v>
      </c>
      <c r="CF7" s="3">
        <v>2</v>
      </c>
      <c r="CG7" s="4" t="s">
        <v>122</v>
      </c>
      <c r="CH7" s="3">
        <v>7</v>
      </c>
      <c r="CI7" s="4" t="s">
        <v>122</v>
      </c>
      <c r="CJ7" s="4" t="s">
        <v>122</v>
      </c>
      <c r="CK7" s="4" t="s">
        <v>122</v>
      </c>
      <c r="CL7" s="4" t="s">
        <v>122</v>
      </c>
      <c r="CM7" s="4" t="s">
        <v>122</v>
      </c>
      <c r="CN7" s="4" t="s">
        <v>122</v>
      </c>
      <c r="CO7" s="4" t="s">
        <v>125</v>
      </c>
      <c r="CP7" s="4" t="s">
        <v>122</v>
      </c>
      <c r="CQ7" s="4" t="s">
        <v>122</v>
      </c>
      <c r="CR7" s="4" t="s">
        <v>122</v>
      </c>
      <c r="CS7" s="3">
        <v>4</v>
      </c>
      <c r="CT7" s="3">
        <v>4</v>
      </c>
      <c r="CU7" s="3">
        <v>1</v>
      </c>
      <c r="CV7">
        <v>1</v>
      </c>
      <c r="CW7" cm="1">
        <f t="array" ref="CW7">_xlfn.IFS(CU7*1=1,1,CU7*1=2,1,TRUE,0)</f>
        <v>1</v>
      </c>
      <c r="CX7" s="3" t="e">
        <f>NA()</f>
        <v>#N/A</v>
      </c>
      <c r="CY7" s="3">
        <f t="shared" si="0"/>
        <v>6.5</v>
      </c>
      <c r="CZ7" s="3" cm="1">
        <f t="array" ref="CZ7">_xlfn.IFS(BP7&lt;&gt;"", BP7, CV7=1,  AQ7, CV7=0,  AZ7)</f>
        <v>6</v>
      </c>
      <c r="DA7" s="3" t="e">
        <f>NA()</f>
        <v>#N/A</v>
      </c>
      <c r="DB7" s="36">
        <f t="shared" si="1"/>
        <v>1.5</v>
      </c>
      <c r="DC7" s="3" t="e">
        <f t="shared" si="2"/>
        <v>#N/A</v>
      </c>
      <c r="DD7" s="3">
        <f t="shared" si="3"/>
        <v>1</v>
      </c>
      <c r="DE7" s="3">
        <f t="shared" si="4"/>
        <v>1.5</v>
      </c>
      <c r="DF7" s="3" t="e">
        <f t="shared" si="5"/>
        <v>#N/A</v>
      </c>
      <c r="DG7" s="3" t="e">
        <f t="shared" si="6"/>
        <v>#N/A</v>
      </c>
      <c r="DI7" s="62" t="s">
        <v>954</v>
      </c>
      <c r="DJ7" s="65">
        <f>COUNT($DB$2:$DB$340)</f>
        <v>338</v>
      </c>
      <c r="DK7" s="65">
        <f>COUNT(DC99:DC340)</f>
        <v>240</v>
      </c>
      <c r="DL7" s="65">
        <f>DJ7+DK7</f>
        <v>578</v>
      </c>
      <c r="DN7" s="62" t="s">
        <v>954</v>
      </c>
      <c r="DO7" s="65">
        <f>COUNT($DD$2:$DD$340)</f>
        <v>339</v>
      </c>
      <c r="DP7" s="65">
        <f>COUNT($DF$2:$DF$340)</f>
        <v>242</v>
      </c>
      <c r="DQ7" s="65"/>
      <c r="DS7" s="62" t="s">
        <v>954</v>
      </c>
      <c r="DT7" s="65">
        <f>COUNT($DE$2:$DE$340)</f>
        <v>335</v>
      </c>
      <c r="DU7" s="65">
        <f>COUNT($DE$2:$DE$340)</f>
        <v>335</v>
      </c>
      <c r="DV7" s="65"/>
    </row>
    <row r="8" spans="1:126" x14ac:dyDescent="0.4">
      <c r="A8" s="3">
        <v>202410</v>
      </c>
      <c r="B8" s="3">
        <v>111</v>
      </c>
      <c r="C8" s="5">
        <v>45584.4450462963</v>
      </c>
      <c r="D8" s="5">
        <v>45584.44866898148</v>
      </c>
      <c r="E8" s="3">
        <v>0</v>
      </c>
      <c r="F8" s="4" t="s">
        <v>632</v>
      </c>
      <c r="G8" s="3">
        <v>100</v>
      </c>
      <c r="H8" s="3">
        <v>312</v>
      </c>
      <c r="I8" s="3">
        <v>1</v>
      </c>
      <c r="J8" s="5">
        <v>45584.448692094906</v>
      </c>
      <c r="K8" s="4" t="s">
        <v>633</v>
      </c>
      <c r="L8" s="4" t="s">
        <v>122</v>
      </c>
      <c r="M8" s="4" t="s">
        <v>122</v>
      </c>
      <c r="N8" s="4" t="s">
        <v>122</v>
      </c>
      <c r="O8" s="4" t="s">
        <v>122</v>
      </c>
      <c r="P8" s="3">
        <v>33.412199999999999</v>
      </c>
      <c r="Q8" s="3">
        <v>-112.0287</v>
      </c>
      <c r="R8" s="4" t="s">
        <v>129</v>
      </c>
      <c r="S8" s="4" t="s">
        <v>124</v>
      </c>
      <c r="T8" s="4" t="s">
        <v>634</v>
      </c>
      <c r="U8" s="3">
        <v>1</v>
      </c>
      <c r="V8" s="3">
        <v>5</v>
      </c>
      <c r="W8" s="3">
        <v>2</v>
      </c>
      <c r="X8" s="3">
        <v>2</v>
      </c>
      <c r="Y8" s="3">
        <v>3</v>
      </c>
      <c r="Z8" s="3">
        <v>5</v>
      </c>
      <c r="AA8" s="3">
        <v>5</v>
      </c>
      <c r="AG8" s="3">
        <v>3</v>
      </c>
      <c r="AH8" s="3">
        <v>6</v>
      </c>
      <c r="AI8" s="3">
        <v>2</v>
      </c>
      <c r="AJ8" s="3">
        <v>4</v>
      </c>
      <c r="AK8" s="3">
        <v>8</v>
      </c>
      <c r="AL8" s="3">
        <v>6</v>
      </c>
      <c r="AM8" s="3">
        <v>3</v>
      </c>
      <c r="AN8" s="3">
        <v>2</v>
      </c>
      <c r="AO8" s="3">
        <v>2</v>
      </c>
      <c r="AP8" s="3">
        <v>2</v>
      </c>
      <c r="AQ8" s="4" t="s">
        <v>122</v>
      </c>
      <c r="AR8" s="4" t="s">
        <v>122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 t="s">
        <v>122</v>
      </c>
      <c r="BD8" s="4" t="s">
        <v>122</v>
      </c>
      <c r="BE8" s="4" t="s">
        <v>122</v>
      </c>
      <c r="BF8" s="4" t="s">
        <v>122</v>
      </c>
      <c r="BG8" s="4" t="s">
        <v>122</v>
      </c>
      <c r="BH8" s="4"/>
      <c r="BI8" s="4" t="s">
        <v>122</v>
      </c>
      <c r="BJ8" s="4" t="s">
        <v>122</v>
      </c>
      <c r="BK8" s="4" t="s">
        <v>122</v>
      </c>
      <c r="BL8" s="4" t="s">
        <v>122</v>
      </c>
      <c r="BM8" s="4" t="s">
        <v>122</v>
      </c>
      <c r="BN8" s="4" t="s">
        <v>122</v>
      </c>
      <c r="BO8" s="4"/>
      <c r="BP8" s="3">
        <v>6</v>
      </c>
      <c r="BQ8" s="3">
        <v>2</v>
      </c>
      <c r="BR8" s="4" t="s">
        <v>125</v>
      </c>
      <c r="BS8" s="4" t="s">
        <v>122</v>
      </c>
      <c r="BT8" s="4" t="s">
        <v>125</v>
      </c>
      <c r="BU8" s="4"/>
      <c r="BV8" s="4" t="s">
        <v>125</v>
      </c>
      <c r="BW8" s="4" t="s">
        <v>122</v>
      </c>
      <c r="BX8" s="4" t="s">
        <v>122</v>
      </c>
      <c r="BY8" s="4" t="s">
        <v>122</v>
      </c>
      <c r="BZ8" s="4" t="s">
        <v>122</v>
      </c>
      <c r="CA8" s="3">
        <v>1</v>
      </c>
      <c r="CD8" s="3">
        <v>6</v>
      </c>
      <c r="CE8" s="3">
        <v>2</v>
      </c>
      <c r="CF8" s="3">
        <v>1</v>
      </c>
      <c r="CG8" s="4" t="s">
        <v>122</v>
      </c>
      <c r="CH8" s="3">
        <v>4</v>
      </c>
      <c r="CI8" s="4" t="s">
        <v>122</v>
      </c>
      <c r="CJ8" s="4" t="s">
        <v>122</v>
      </c>
      <c r="CK8" s="4" t="s">
        <v>125</v>
      </c>
      <c r="CL8" s="4" t="s">
        <v>122</v>
      </c>
      <c r="CM8" s="4" t="s">
        <v>122</v>
      </c>
      <c r="CN8" s="4" t="s">
        <v>122</v>
      </c>
      <c r="CO8" s="4" t="s">
        <v>122</v>
      </c>
      <c r="CP8" s="4" t="s">
        <v>122</v>
      </c>
      <c r="CQ8" s="4" t="s">
        <v>122</v>
      </c>
      <c r="CR8" s="4" t="s">
        <v>122</v>
      </c>
      <c r="CS8" s="3">
        <v>5</v>
      </c>
      <c r="CT8" s="3">
        <v>5</v>
      </c>
      <c r="CU8" s="3">
        <v>0</v>
      </c>
      <c r="CV8">
        <v>1</v>
      </c>
      <c r="CW8" cm="1">
        <f t="array" ref="CW8">_xlfn.IFS(CU8*1=1,1,CU8*1=2,1,TRUE,0)</f>
        <v>0</v>
      </c>
      <c r="CX8" s="3" t="e">
        <f>NA()</f>
        <v>#N/A</v>
      </c>
      <c r="CY8" s="3">
        <f t="shared" si="0"/>
        <v>6</v>
      </c>
      <c r="CZ8" s="3" cm="1">
        <f t="array" ref="CZ8">_xlfn.IFS(BP8&lt;&gt;"", BP8, CV8=1,  AQ8, CV8=0,  AZ8)</f>
        <v>6</v>
      </c>
      <c r="DA8" s="3" t="e">
        <f>NA()</f>
        <v>#N/A</v>
      </c>
      <c r="DB8" s="36">
        <f t="shared" si="1"/>
        <v>0</v>
      </c>
      <c r="DC8" s="3" t="e">
        <f t="shared" si="2"/>
        <v>#N/A</v>
      </c>
      <c r="DD8" s="3">
        <f t="shared" si="3"/>
        <v>0</v>
      </c>
      <c r="DE8" s="3">
        <f t="shared" si="4"/>
        <v>0</v>
      </c>
      <c r="DF8" s="3" t="e">
        <f t="shared" si="5"/>
        <v>#N/A</v>
      </c>
      <c r="DG8" s="3" t="e">
        <f t="shared" si="6"/>
        <v>#N/A</v>
      </c>
    </row>
    <row r="9" spans="1:126" x14ac:dyDescent="0.4">
      <c r="A9" s="3">
        <v>202410</v>
      </c>
      <c r="B9" s="3">
        <v>111</v>
      </c>
      <c r="C9" s="5">
        <v>45584.446215277778</v>
      </c>
      <c r="D9" s="5">
        <v>45584.449976851851</v>
      </c>
      <c r="E9" s="3">
        <v>0</v>
      </c>
      <c r="F9" s="4" t="s">
        <v>470</v>
      </c>
      <c r="G9" s="3">
        <v>100</v>
      </c>
      <c r="H9" s="3">
        <v>325</v>
      </c>
      <c r="I9" s="3">
        <v>1</v>
      </c>
      <c r="J9" s="5">
        <v>45584.449996539355</v>
      </c>
      <c r="K9" s="4" t="s">
        <v>638</v>
      </c>
      <c r="L9" s="4" t="s">
        <v>122</v>
      </c>
      <c r="M9" s="4" t="s">
        <v>122</v>
      </c>
      <c r="N9" s="4" t="s">
        <v>122</v>
      </c>
      <c r="O9" s="4" t="s">
        <v>122</v>
      </c>
      <c r="P9" s="3">
        <v>32.338299999999997</v>
      </c>
      <c r="Q9" s="3">
        <v>-111.0455</v>
      </c>
      <c r="R9" s="4" t="s">
        <v>129</v>
      </c>
      <c r="S9" s="4" t="s">
        <v>124</v>
      </c>
      <c r="T9" s="4" t="s">
        <v>639</v>
      </c>
      <c r="U9" s="3">
        <v>1</v>
      </c>
      <c r="V9" s="3">
        <v>1</v>
      </c>
      <c r="W9" s="3">
        <v>2</v>
      </c>
      <c r="X9" s="3">
        <v>1</v>
      </c>
      <c r="Y9" s="3">
        <v>3</v>
      </c>
      <c r="Z9" s="3">
        <v>2</v>
      </c>
      <c r="AA9" s="3">
        <v>1</v>
      </c>
      <c r="AG9" s="3">
        <v>2</v>
      </c>
      <c r="AH9" s="3">
        <v>4</v>
      </c>
      <c r="AI9" s="3">
        <v>3</v>
      </c>
      <c r="AJ9" s="3">
        <v>7</v>
      </c>
      <c r="AK9" s="3">
        <v>8</v>
      </c>
      <c r="AL9" s="3">
        <v>7</v>
      </c>
      <c r="AM9" s="3">
        <v>7</v>
      </c>
      <c r="AN9" s="3">
        <v>8</v>
      </c>
      <c r="AO9" s="3">
        <v>4</v>
      </c>
      <c r="AP9" s="3">
        <v>4</v>
      </c>
      <c r="AQ9" s="3">
        <v>4</v>
      </c>
      <c r="AR9" s="3">
        <v>3</v>
      </c>
      <c r="BC9" s="3">
        <v>4</v>
      </c>
      <c r="BD9" s="3">
        <v>2</v>
      </c>
      <c r="BE9" s="4" t="s">
        <v>125</v>
      </c>
      <c r="BF9" s="4" t="s">
        <v>125</v>
      </c>
      <c r="BG9" s="4" t="s">
        <v>122</v>
      </c>
      <c r="BH9" s="4"/>
      <c r="BI9" s="4" t="s">
        <v>125</v>
      </c>
      <c r="BJ9" s="4" t="s">
        <v>125</v>
      </c>
      <c r="BK9" s="4" t="s">
        <v>125</v>
      </c>
      <c r="BL9" s="4" t="s">
        <v>122</v>
      </c>
      <c r="BM9" s="4" t="s">
        <v>122</v>
      </c>
      <c r="BN9" s="3">
        <v>1</v>
      </c>
      <c r="BP9" s="4" t="s">
        <v>122</v>
      </c>
      <c r="BQ9" s="4" t="s">
        <v>122</v>
      </c>
      <c r="BR9" s="4" t="s">
        <v>122</v>
      </c>
      <c r="BS9" s="4" t="s">
        <v>122</v>
      </c>
      <c r="BT9" s="4" t="s">
        <v>122</v>
      </c>
      <c r="BU9" s="4"/>
      <c r="BV9" s="4" t="s">
        <v>122</v>
      </c>
      <c r="BW9" s="4" t="s">
        <v>122</v>
      </c>
      <c r="BX9" s="4" t="s">
        <v>122</v>
      </c>
      <c r="BY9" s="4" t="s">
        <v>122</v>
      </c>
      <c r="BZ9" s="4" t="s">
        <v>122</v>
      </c>
      <c r="CA9" s="4" t="s">
        <v>122</v>
      </c>
      <c r="CD9" s="4" t="s">
        <v>122</v>
      </c>
      <c r="CE9" s="4" t="s">
        <v>122</v>
      </c>
      <c r="CF9" s="3">
        <v>2</v>
      </c>
      <c r="CG9" s="4" t="s">
        <v>122</v>
      </c>
      <c r="CH9" s="3">
        <v>2</v>
      </c>
      <c r="CI9" s="4" t="s">
        <v>122</v>
      </c>
      <c r="CJ9" s="4" t="s">
        <v>122</v>
      </c>
      <c r="CK9" s="4" t="s">
        <v>122</v>
      </c>
      <c r="CL9" s="4" t="s">
        <v>125</v>
      </c>
      <c r="CM9" s="4" t="s">
        <v>122</v>
      </c>
      <c r="CN9" s="4" t="s">
        <v>122</v>
      </c>
      <c r="CO9" s="4" t="s">
        <v>122</v>
      </c>
      <c r="CP9" s="4" t="s">
        <v>122</v>
      </c>
      <c r="CQ9" s="4" t="s">
        <v>122</v>
      </c>
      <c r="CR9" s="4" t="s">
        <v>122</v>
      </c>
      <c r="CS9" s="3">
        <v>3</v>
      </c>
      <c r="CT9" s="3">
        <v>2</v>
      </c>
      <c r="CU9" s="3">
        <v>1</v>
      </c>
      <c r="CV9">
        <v>1</v>
      </c>
      <c r="CW9" cm="1">
        <f t="array" ref="CW9">_xlfn.IFS(CU9*1=1,1,CU9*1=2,1,TRUE,0)</f>
        <v>1</v>
      </c>
      <c r="CX9" s="3" t="e">
        <f>NA()</f>
        <v>#N/A</v>
      </c>
      <c r="CY9" s="3">
        <f t="shared" si="0"/>
        <v>4</v>
      </c>
      <c r="CZ9" s="3" cm="1">
        <f t="array" ref="CZ9">_xlfn.IFS(BP9&lt;&gt;"", BP9, CV9=1,  AQ9, CV9=0,  AZ9)</f>
        <v>4</v>
      </c>
      <c r="DA9" s="3" t="e">
        <f>NA()</f>
        <v>#N/A</v>
      </c>
      <c r="DB9" s="36">
        <f t="shared" si="1"/>
        <v>0</v>
      </c>
      <c r="DC9" s="3" t="e">
        <f t="shared" si="2"/>
        <v>#N/A</v>
      </c>
      <c r="DD9" s="3">
        <f t="shared" si="3"/>
        <v>0</v>
      </c>
      <c r="DE9" s="3">
        <f t="shared" si="4"/>
        <v>0</v>
      </c>
      <c r="DF9" s="3" t="e">
        <f t="shared" si="5"/>
        <v>#N/A</v>
      </c>
      <c r="DG9" s="3" t="e">
        <f t="shared" si="6"/>
        <v>#N/A</v>
      </c>
      <c r="DI9" s="36" t="s">
        <v>968</v>
      </c>
      <c r="DN9" s="36" t="s">
        <v>980</v>
      </c>
      <c r="DO9" s="63"/>
      <c r="DP9" s="63"/>
      <c r="DQ9" s="63"/>
      <c r="DS9" s="36" t="s">
        <v>980</v>
      </c>
      <c r="DT9" s="63"/>
      <c r="DU9" s="63"/>
      <c r="DV9" s="63"/>
    </row>
    <row r="10" spans="1:126" x14ac:dyDescent="0.4">
      <c r="A10" s="3">
        <v>202410</v>
      </c>
      <c r="B10" s="3">
        <v>111</v>
      </c>
      <c r="C10" s="5">
        <v>45584.446446759262</v>
      </c>
      <c r="D10" s="5">
        <v>45584.450370370374</v>
      </c>
      <c r="E10" s="3">
        <v>0</v>
      </c>
      <c r="F10" s="4" t="s">
        <v>614</v>
      </c>
      <c r="G10" s="3">
        <v>100</v>
      </c>
      <c r="H10" s="3">
        <v>338</v>
      </c>
      <c r="I10" s="3">
        <v>1</v>
      </c>
      <c r="J10" s="5">
        <v>45584.450389305559</v>
      </c>
      <c r="K10" s="4" t="s">
        <v>640</v>
      </c>
      <c r="L10" s="4" t="s">
        <v>122</v>
      </c>
      <c r="M10" s="4" t="s">
        <v>122</v>
      </c>
      <c r="N10" s="4" t="s">
        <v>122</v>
      </c>
      <c r="O10" s="4" t="s">
        <v>122</v>
      </c>
      <c r="P10" s="3">
        <v>32.250300000000003</v>
      </c>
      <c r="Q10" s="3">
        <v>-110.94499999999999</v>
      </c>
      <c r="R10" s="4" t="s">
        <v>129</v>
      </c>
      <c r="S10" s="4" t="s">
        <v>124</v>
      </c>
      <c r="T10" s="4" t="s">
        <v>641</v>
      </c>
      <c r="U10" s="3">
        <v>1</v>
      </c>
      <c r="V10" s="3">
        <v>2</v>
      </c>
      <c r="W10" s="3">
        <v>2</v>
      </c>
      <c r="X10" s="3">
        <v>2</v>
      </c>
      <c r="Y10" s="3">
        <v>3</v>
      </c>
      <c r="Z10" s="3">
        <v>5</v>
      </c>
      <c r="AA10" s="3">
        <v>5</v>
      </c>
      <c r="AG10" s="3">
        <v>3</v>
      </c>
      <c r="AH10" s="3">
        <v>4</v>
      </c>
      <c r="AI10" s="3">
        <v>2</v>
      </c>
      <c r="AJ10" s="3">
        <v>9</v>
      </c>
      <c r="AK10" s="3">
        <v>9</v>
      </c>
      <c r="AL10" s="3">
        <v>9</v>
      </c>
      <c r="AM10" s="3">
        <v>9</v>
      </c>
      <c r="AN10" s="3">
        <v>9</v>
      </c>
      <c r="AO10" s="3">
        <v>3</v>
      </c>
      <c r="AP10" s="3">
        <v>3</v>
      </c>
      <c r="AQ10" s="4" t="s">
        <v>122</v>
      </c>
      <c r="AR10" s="4" t="s">
        <v>122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 t="s">
        <v>122</v>
      </c>
      <c r="BD10" s="4" t="s">
        <v>122</v>
      </c>
      <c r="BE10" s="4" t="s">
        <v>122</v>
      </c>
      <c r="BF10" s="4" t="s">
        <v>122</v>
      </c>
      <c r="BG10" s="4" t="s">
        <v>122</v>
      </c>
      <c r="BH10" s="4"/>
      <c r="BI10" s="4" t="s">
        <v>122</v>
      </c>
      <c r="BJ10" s="4" t="s">
        <v>122</v>
      </c>
      <c r="BK10" s="4" t="s">
        <v>122</v>
      </c>
      <c r="BL10" s="4" t="s">
        <v>122</v>
      </c>
      <c r="BM10" s="4" t="s">
        <v>122</v>
      </c>
      <c r="BN10" s="4" t="s">
        <v>122</v>
      </c>
      <c r="BO10" s="4"/>
      <c r="BP10" s="3">
        <v>4</v>
      </c>
      <c r="BQ10" s="3">
        <v>2</v>
      </c>
      <c r="BR10" s="4" t="s">
        <v>125</v>
      </c>
      <c r="BS10" s="4" t="s">
        <v>122</v>
      </c>
      <c r="BT10" s="4" t="s">
        <v>122</v>
      </c>
      <c r="BU10" s="4"/>
      <c r="BV10" s="4" t="s">
        <v>122</v>
      </c>
      <c r="BW10" s="4" t="s">
        <v>122</v>
      </c>
      <c r="BX10" s="4" t="s">
        <v>122</v>
      </c>
      <c r="BY10" s="4" t="s">
        <v>122</v>
      </c>
      <c r="BZ10" s="4" t="s">
        <v>122</v>
      </c>
      <c r="CA10" s="3">
        <v>1</v>
      </c>
      <c r="CD10" s="3">
        <v>5</v>
      </c>
      <c r="CE10" s="3">
        <v>2</v>
      </c>
      <c r="CF10" s="3">
        <v>2</v>
      </c>
      <c r="CG10" s="4" t="s">
        <v>122</v>
      </c>
      <c r="CH10" s="3">
        <v>2</v>
      </c>
      <c r="CI10" s="4" t="s">
        <v>122</v>
      </c>
      <c r="CJ10" s="4" t="s">
        <v>122</v>
      </c>
      <c r="CK10" s="4" t="s">
        <v>122</v>
      </c>
      <c r="CL10" s="4" t="s">
        <v>125</v>
      </c>
      <c r="CM10" s="4" t="s">
        <v>122</v>
      </c>
      <c r="CN10" s="4" t="s">
        <v>122</v>
      </c>
      <c r="CO10" s="4" t="s">
        <v>122</v>
      </c>
      <c r="CP10" s="4" t="s">
        <v>122</v>
      </c>
      <c r="CQ10" s="4" t="s">
        <v>122</v>
      </c>
      <c r="CR10" s="4" t="s">
        <v>122</v>
      </c>
      <c r="CS10" s="3">
        <v>2</v>
      </c>
      <c r="CT10" s="3">
        <v>-999</v>
      </c>
      <c r="CU10" s="3">
        <v>0</v>
      </c>
      <c r="CV10">
        <v>1</v>
      </c>
      <c r="CW10" cm="1">
        <f t="array" ref="CW10">_xlfn.IFS(CU10*1=1,1,CU10*1=2,1,TRUE,0)</f>
        <v>0</v>
      </c>
      <c r="CX10" s="3" t="e">
        <f>NA()</f>
        <v>#N/A</v>
      </c>
      <c r="CY10" s="3">
        <f t="shared" si="0"/>
        <v>5</v>
      </c>
      <c r="CZ10" s="3" cm="1">
        <f t="array" ref="CZ10">_xlfn.IFS(BP10&lt;&gt;"", BP10, CV10=1,  AQ10, CV10=0,  AZ10)</f>
        <v>4</v>
      </c>
      <c r="DA10" s="3" t="e">
        <f>NA()</f>
        <v>#N/A</v>
      </c>
      <c r="DB10" s="36">
        <f t="shared" si="1"/>
        <v>1</v>
      </c>
      <c r="DC10" s="3" t="e">
        <f t="shared" si="2"/>
        <v>#N/A</v>
      </c>
      <c r="DD10" s="3">
        <f t="shared" si="3"/>
        <v>1</v>
      </c>
      <c r="DE10" s="3">
        <f t="shared" si="4"/>
        <v>0</v>
      </c>
      <c r="DF10" s="3" t="e">
        <f t="shared" si="5"/>
        <v>#N/A</v>
      </c>
      <c r="DG10" s="3" t="e">
        <f t="shared" si="6"/>
        <v>#N/A</v>
      </c>
      <c r="DI10" s="61" t="s">
        <v>953</v>
      </c>
      <c r="DJ10" s="64" t="s">
        <v>956</v>
      </c>
      <c r="DK10" s="64" t="s">
        <v>957</v>
      </c>
      <c r="DL10" s="64" t="s">
        <v>955</v>
      </c>
      <c r="DN10" s="61" t="s">
        <v>953</v>
      </c>
      <c r="DO10" s="64" t="s">
        <v>956</v>
      </c>
      <c r="DP10" s="64" t="s">
        <v>957</v>
      </c>
      <c r="DQ10" s="64" t="s">
        <v>955</v>
      </c>
      <c r="DS10" s="61" t="s">
        <v>953</v>
      </c>
      <c r="DT10" s="64" t="s">
        <v>956</v>
      </c>
      <c r="DU10" s="64" t="s">
        <v>957</v>
      </c>
      <c r="DV10" s="64" t="s">
        <v>955</v>
      </c>
    </row>
    <row r="11" spans="1:126" x14ac:dyDescent="0.4">
      <c r="A11" s="3">
        <v>202410</v>
      </c>
      <c r="B11" s="3">
        <v>111</v>
      </c>
      <c r="C11" s="5">
        <v>45584.447546296295</v>
      </c>
      <c r="D11" s="5">
        <v>45584.449571759258</v>
      </c>
      <c r="E11" s="3">
        <v>0</v>
      </c>
      <c r="F11" s="4" t="s">
        <v>635</v>
      </c>
      <c r="G11" s="3">
        <v>100</v>
      </c>
      <c r="H11" s="3">
        <v>175</v>
      </c>
      <c r="I11" s="3">
        <v>1</v>
      </c>
      <c r="J11" s="5">
        <v>45584.44958925926</v>
      </c>
      <c r="K11" s="4" t="s">
        <v>636</v>
      </c>
      <c r="L11" s="4" t="s">
        <v>122</v>
      </c>
      <c r="M11" s="4" t="s">
        <v>122</v>
      </c>
      <c r="N11" s="4" t="s">
        <v>122</v>
      </c>
      <c r="O11" s="4" t="s">
        <v>122</v>
      </c>
      <c r="P11" s="3">
        <v>33.412199999999999</v>
      </c>
      <c r="Q11" s="3">
        <v>-112.0287</v>
      </c>
      <c r="R11" s="4" t="s">
        <v>129</v>
      </c>
      <c r="S11" s="4" t="s">
        <v>124</v>
      </c>
      <c r="T11" s="4" t="s">
        <v>637</v>
      </c>
      <c r="U11" s="3">
        <v>1</v>
      </c>
      <c r="V11" s="3">
        <v>3</v>
      </c>
      <c r="W11" s="3">
        <v>3</v>
      </c>
      <c r="X11" s="3">
        <v>1</v>
      </c>
      <c r="Y11" s="3">
        <v>1</v>
      </c>
      <c r="Z11" s="3">
        <v>1</v>
      </c>
      <c r="AA11" s="3">
        <v>1</v>
      </c>
      <c r="AG11" s="3">
        <v>2</v>
      </c>
      <c r="AH11" s="3">
        <v>0</v>
      </c>
      <c r="AI11" s="4" t="s">
        <v>122</v>
      </c>
      <c r="AJ11" s="3">
        <v>7</v>
      </c>
      <c r="AK11" s="3">
        <v>7</v>
      </c>
      <c r="AL11" s="3">
        <v>8</v>
      </c>
      <c r="AM11" s="3">
        <v>7</v>
      </c>
      <c r="AN11" s="3">
        <v>7</v>
      </c>
      <c r="AO11" s="3">
        <v>3</v>
      </c>
      <c r="AP11" s="3">
        <v>3</v>
      </c>
      <c r="AQ11" s="3">
        <v>0</v>
      </c>
      <c r="AR11" s="4" t="s">
        <v>122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">
        <v>0</v>
      </c>
      <c r="BD11" s="4" t="s">
        <v>122</v>
      </c>
      <c r="BE11" s="4" t="s">
        <v>125</v>
      </c>
      <c r="BF11" s="4" t="s">
        <v>122</v>
      </c>
      <c r="BG11" s="4" t="s">
        <v>122</v>
      </c>
      <c r="BH11" s="4"/>
      <c r="BI11" s="4" t="s">
        <v>122</v>
      </c>
      <c r="BJ11" s="4" t="s">
        <v>122</v>
      </c>
      <c r="BK11" s="4" t="s">
        <v>122</v>
      </c>
      <c r="BL11" s="4" t="s">
        <v>122</v>
      </c>
      <c r="BM11" s="4" t="s">
        <v>122</v>
      </c>
      <c r="BN11" s="3">
        <v>1</v>
      </c>
      <c r="BO11" s="4"/>
      <c r="BP11" s="4" t="s">
        <v>122</v>
      </c>
      <c r="BQ11" s="4" t="s">
        <v>122</v>
      </c>
      <c r="BR11" s="4" t="s">
        <v>122</v>
      </c>
      <c r="BS11" s="4" t="s">
        <v>122</v>
      </c>
      <c r="BT11" s="4" t="s">
        <v>122</v>
      </c>
      <c r="BU11" s="4"/>
      <c r="BV11" s="4" t="s">
        <v>122</v>
      </c>
      <c r="BW11" s="4" t="s">
        <v>122</v>
      </c>
      <c r="BX11" s="4" t="s">
        <v>122</v>
      </c>
      <c r="BY11" s="4" t="s">
        <v>122</v>
      </c>
      <c r="BZ11" s="4" t="s">
        <v>122</v>
      </c>
      <c r="CA11" s="4" t="s">
        <v>122</v>
      </c>
      <c r="CD11" s="4" t="s">
        <v>122</v>
      </c>
      <c r="CE11" s="4" t="s">
        <v>122</v>
      </c>
      <c r="CF11" s="3">
        <v>1</v>
      </c>
      <c r="CG11" s="4" t="s">
        <v>122</v>
      </c>
      <c r="CH11" s="3">
        <v>5</v>
      </c>
      <c r="CI11" s="4" t="s">
        <v>122</v>
      </c>
      <c r="CJ11" s="4" t="s">
        <v>122</v>
      </c>
      <c r="CK11" s="4" t="s">
        <v>125</v>
      </c>
      <c r="CL11" s="4" t="s">
        <v>122</v>
      </c>
      <c r="CM11" s="4" t="s">
        <v>122</v>
      </c>
      <c r="CN11" s="4" t="s">
        <v>122</v>
      </c>
      <c r="CO11" s="4" t="s">
        <v>122</v>
      </c>
      <c r="CP11" s="4" t="s">
        <v>122</v>
      </c>
      <c r="CQ11" s="4" t="s">
        <v>122</v>
      </c>
      <c r="CR11" s="4" t="s">
        <v>122</v>
      </c>
      <c r="CS11" s="3">
        <v>4</v>
      </c>
      <c r="CT11" s="3">
        <v>5</v>
      </c>
      <c r="CU11" s="3">
        <v>1</v>
      </c>
      <c r="CV11">
        <v>1</v>
      </c>
      <c r="CW11" cm="1">
        <f t="array" ref="CW11">_xlfn.IFS(CU11*1=1,1,CU11*1=2,1,TRUE,0)</f>
        <v>1</v>
      </c>
      <c r="CX11" s="3" t="e">
        <f>NA()</f>
        <v>#N/A</v>
      </c>
      <c r="CY11" s="3">
        <f t="shared" si="0"/>
        <v>0</v>
      </c>
      <c r="CZ11" s="3" cm="1">
        <f t="array" ref="CZ11">_xlfn.IFS(BP11&lt;&gt;"", BP11, CV11=1,  AQ11, CV11=0,  AZ11)</f>
        <v>0</v>
      </c>
      <c r="DA11" s="3" t="e">
        <f>NA()</f>
        <v>#N/A</v>
      </c>
      <c r="DB11" s="36">
        <f t="shared" si="1"/>
        <v>0</v>
      </c>
      <c r="DC11" s="3" t="e">
        <f t="shared" si="2"/>
        <v>#N/A</v>
      </c>
      <c r="DD11" s="3">
        <f t="shared" si="3"/>
        <v>0</v>
      </c>
      <c r="DE11" s="3">
        <f t="shared" si="4"/>
        <v>0</v>
      </c>
      <c r="DF11" s="3" t="e">
        <f t="shared" si="5"/>
        <v>#N/A</v>
      </c>
      <c r="DG11" s="3" t="e">
        <f t="shared" si="6"/>
        <v>#N/A</v>
      </c>
      <c r="DI11" s="59">
        <v>202410</v>
      </c>
      <c r="DJ11" s="66">
        <f>AVERAGE($DB$2:$DB$98)</f>
        <v>0.51030927835051543</v>
      </c>
      <c r="DN11" s="59">
        <v>202410</v>
      </c>
      <c r="DO11" s="66">
        <f>AVERAGE($DD$2:$DD$98)</f>
        <v>0.32989690721649484</v>
      </c>
      <c r="DP11" s="63"/>
      <c r="DQ11" s="63"/>
      <c r="DS11" s="59">
        <v>202410</v>
      </c>
      <c r="DT11" s="66">
        <f>AVERAGE($DE$2:$DE$98)</f>
        <v>0.39175257731958762</v>
      </c>
      <c r="DU11" s="63"/>
      <c r="DV11" s="63"/>
    </row>
    <row r="12" spans="1:126" x14ac:dyDescent="0.4">
      <c r="A12" s="3">
        <v>202410</v>
      </c>
      <c r="B12" s="3">
        <v>111</v>
      </c>
      <c r="C12" s="5">
        <v>45584.450057870374</v>
      </c>
      <c r="D12" s="5">
        <v>45584.455254629633</v>
      </c>
      <c r="E12" s="3">
        <v>0</v>
      </c>
      <c r="F12" s="4" t="s">
        <v>647</v>
      </c>
      <c r="G12" s="3">
        <v>100</v>
      </c>
      <c r="H12" s="3">
        <v>449</v>
      </c>
      <c r="I12" s="3">
        <v>1</v>
      </c>
      <c r="J12" s="5">
        <v>45584.455278368056</v>
      </c>
      <c r="K12" s="4" t="s">
        <v>648</v>
      </c>
      <c r="L12" s="4" t="s">
        <v>122</v>
      </c>
      <c r="M12" s="4" t="s">
        <v>122</v>
      </c>
      <c r="N12" s="4" t="s">
        <v>122</v>
      </c>
      <c r="O12" s="4" t="s">
        <v>122</v>
      </c>
      <c r="P12" s="3">
        <v>33.465600000000002</v>
      </c>
      <c r="Q12" s="3">
        <v>-111.9956</v>
      </c>
      <c r="R12" s="4" t="s">
        <v>129</v>
      </c>
      <c r="S12" s="4" t="s">
        <v>124</v>
      </c>
      <c r="T12" s="4" t="s">
        <v>649</v>
      </c>
      <c r="U12" s="3">
        <v>1</v>
      </c>
      <c r="V12" s="3">
        <v>2</v>
      </c>
      <c r="W12" s="3">
        <v>2</v>
      </c>
      <c r="X12" s="3">
        <v>3</v>
      </c>
      <c r="Y12" s="3">
        <v>1</v>
      </c>
      <c r="Z12" s="3">
        <v>2</v>
      </c>
      <c r="AA12" s="3">
        <v>1</v>
      </c>
      <c r="AG12" s="3">
        <v>3</v>
      </c>
      <c r="AH12" s="3">
        <v>5</v>
      </c>
      <c r="AI12" s="3">
        <v>2</v>
      </c>
      <c r="AJ12" s="3">
        <v>8</v>
      </c>
      <c r="AK12" s="3">
        <v>8</v>
      </c>
      <c r="AL12" s="3">
        <v>8</v>
      </c>
      <c r="AM12" s="3">
        <v>8</v>
      </c>
      <c r="AN12" s="3">
        <v>7</v>
      </c>
      <c r="AO12" s="3">
        <v>1</v>
      </c>
      <c r="AP12" s="3">
        <v>1</v>
      </c>
      <c r="AQ12" s="4" t="s">
        <v>122</v>
      </c>
      <c r="AR12" s="4" t="s">
        <v>122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 t="s">
        <v>122</v>
      </c>
      <c r="BD12" s="4" t="s">
        <v>122</v>
      </c>
      <c r="BE12" s="4" t="s">
        <v>122</v>
      </c>
      <c r="BF12" s="4" t="s">
        <v>122</v>
      </c>
      <c r="BG12" s="4" t="s">
        <v>122</v>
      </c>
      <c r="BH12" s="4"/>
      <c r="BI12" s="4" t="s">
        <v>122</v>
      </c>
      <c r="BJ12" s="4" t="s">
        <v>122</v>
      </c>
      <c r="BK12" s="4" t="s">
        <v>122</v>
      </c>
      <c r="BL12" s="4" t="s">
        <v>122</v>
      </c>
      <c r="BM12" s="4" t="s">
        <v>122</v>
      </c>
      <c r="BN12" s="4" t="s">
        <v>122</v>
      </c>
      <c r="BO12" s="4"/>
      <c r="BP12" s="3">
        <v>5</v>
      </c>
      <c r="BQ12" s="3">
        <v>2</v>
      </c>
      <c r="BR12" s="4" t="s">
        <v>125</v>
      </c>
      <c r="BS12" s="4" t="s">
        <v>125</v>
      </c>
      <c r="BT12" s="4" t="s">
        <v>125</v>
      </c>
      <c r="BU12" s="4"/>
      <c r="BV12" s="4" t="s">
        <v>125</v>
      </c>
      <c r="BW12" s="4" t="s">
        <v>125</v>
      </c>
      <c r="BX12" s="4" t="s">
        <v>125</v>
      </c>
      <c r="BY12" s="4" t="s">
        <v>125</v>
      </c>
      <c r="BZ12" s="4" t="s">
        <v>122</v>
      </c>
      <c r="CA12" s="3">
        <v>7</v>
      </c>
      <c r="CD12" s="3">
        <v>5</v>
      </c>
      <c r="CE12" s="3">
        <v>2</v>
      </c>
      <c r="CF12" s="3">
        <v>2</v>
      </c>
      <c r="CG12" s="4" t="s">
        <v>122</v>
      </c>
      <c r="CH12" s="3">
        <v>5</v>
      </c>
      <c r="CI12" s="4" t="s">
        <v>122</v>
      </c>
      <c r="CJ12" s="4" t="s">
        <v>122</v>
      </c>
      <c r="CK12" s="4" t="s">
        <v>125</v>
      </c>
      <c r="CL12" s="4" t="s">
        <v>122</v>
      </c>
      <c r="CM12" s="4" t="s">
        <v>122</v>
      </c>
      <c r="CN12" s="4" t="s">
        <v>122</v>
      </c>
      <c r="CO12" s="4" t="s">
        <v>122</v>
      </c>
      <c r="CP12" s="4" t="s">
        <v>122</v>
      </c>
      <c r="CQ12" s="4" t="s">
        <v>122</v>
      </c>
      <c r="CR12" s="4" t="s">
        <v>122</v>
      </c>
      <c r="CS12" s="3">
        <v>3</v>
      </c>
      <c r="CT12" s="3">
        <v>3</v>
      </c>
      <c r="CU12" s="3">
        <v>0</v>
      </c>
      <c r="CV12">
        <v>1</v>
      </c>
      <c r="CW12" cm="1">
        <f t="array" ref="CW12">_xlfn.IFS(CU12*1=1,1,CU12*1=2,1,TRUE,0)</f>
        <v>0</v>
      </c>
      <c r="CX12" s="3" t="e">
        <f>NA()</f>
        <v>#N/A</v>
      </c>
      <c r="CY12" s="3">
        <f t="shared" si="0"/>
        <v>5</v>
      </c>
      <c r="CZ12" s="3" cm="1">
        <f t="array" ref="CZ12">_xlfn.IFS(BP12&lt;&gt;"", BP12, CV12=1,  AQ12, CV12=0,  AZ12)</f>
        <v>5</v>
      </c>
      <c r="DA12" s="3" t="e">
        <f>NA()</f>
        <v>#N/A</v>
      </c>
      <c r="DB12" s="36">
        <f t="shared" si="1"/>
        <v>0</v>
      </c>
      <c r="DC12" s="3" t="e">
        <f t="shared" si="2"/>
        <v>#N/A</v>
      </c>
      <c r="DD12" s="3">
        <f t="shared" si="3"/>
        <v>0</v>
      </c>
      <c r="DE12" s="3">
        <f t="shared" si="4"/>
        <v>0</v>
      </c>
      <c r="DF12" s="3" t="e">
        <f t="shared" si="5"/>
        <v>#N/A</v>
      </c>
      <c r="DG12" s="3" t="e">
        <f t="shared" si="6"/>
        <v>#N/A</v>
      </c>
      <c r="DI12" s="59">
        <v>202503</v>
      </c>
      <c r="DJ12" s="66">
        <f>AVERAGE($DB$99:$DB$206)</f>
        <v>-0.28703703703703703</v>
      </c>
      <c r="DK12" s="66">
        <f>AVERAGE($DC$99:$DC$206)</f>
        <v>-0.47222222222222221</v>
      </c>
      <c r="DL12" s="66">
        <f>AVERAGE($DB$99:$DC$206)</f>
        <v>-0.37962962962962965</v>
      </c>
      <c r="DN12" s="59">
        <v>202503</v>
      </c>
      <c r="DO12" s="66">
        <f>AVERAGE($DD$99:$DD$206)</f>
        <v>-0.18055555555555555</v>
      </c>
      <c r="DP12" s="66">
        <f>AVERAGE($DF$99:$DF$206)</f>
        <v>-0.42592592592592593</v>
      </c>
      <c r="DQ12" s="66"/>
      <c r="DS12" s="59">
        <v>202503</v>
      </c>
      <c r="DT12" s="66">
        <f>AVERAGE($DE$99:$DE$206)</f>
        <v>-0.17757009345794392</v>
      </c>
      <c r="DU12" s="66">
        <f>AVERAGE($DG$99:$DG$206)</f>
        <v>-0.31018518518518517</v>
      </c>
      <c r="DV12" s="66"/>
    </row>
    <row r="13" spans="1:126" x14ac:dyDescent="0.4">
      <c r="A13" s="3">
        <v>202410</v>
      </c>
      <c r="B13" s="3">
        <v>111</v>
      </c>
      <c r="C13" s="5">
        <v>45584.451331018521</v>
      </c>
      <c r="D13" s="5">
        <v>45584.4531712963</v>
      </c>
      <c r="E13" s="3">
        <v>0</v>
      </c>
      <c r="F13" s="4" t="s">
        <v>642</v>
      </c>
      <c r="G13" s="3">
        <v>100</v>
      </c>
      <c r="H13" s="3">
        <v>159</v>
      </c>
      <c r="I13" s="3">
        <v>1</v>
      </c>
      <c r="J13" s="5">
        <v>45584.453190138891</v>
      </c>
      <c r="K13" s="4" t="s">
        <v>643</v>
      </c>
      <c r="L13" s="4" t="s">
        <v>122</v>
      </c>
      <c r="M13" s="4" t="s">
        <v>122</v>
      </c>
      <c r="N13" s="4" t="s">
        <v>122</v>
      </c>
      <c r="O13" s="4" t="s">
        <v>122</v>
      </c>
      <c r="P13" s="3">
        <v>33.4602</v>
      </c>
      <c r="Q13" s="3">
        <v>-112.13339999999999</v>
      </c>
      <c r="R13" s="4" t="s">
        <v>129</v>
      </c>
      <c r="S13" s="4" t="s">
        <v>124</v>
      </c>
      <c r="T13" s="4" t="s">
        <v>644</v>
      </c>
      <c r="U13" s="3">
        <v>1</v>
      </c>
      <c r="V13" s="3">
        <v>2</v>
      </c>
      <c r="W13" s="3">
        <v>3</v>
      </c>
      <c r="X13" s="3">
        <v>1</v>
      </c>
      <c r="Y13" s="3">
        <v>1</v>
      </c>
      <c r="Z13" s="3">
        <v>1</v>
      </c>
      <c r="AA13" s="3">
        <v>1</v>
      </c>
      <c r="AG13" s="3">
        <v>2</v>
      </c>
      <c r="AH13" s="3">
        <v>0</v>
      </c>
      <c r="AI13" s="4" t="s">
        <v>122</v>
      </c>
      <c r="AJ13" s="3">
        <v>4</v>
      </c>
      <c r="AK13" s="3">
        <v>7</v>
      </c>
      <c r="AL13" s="3">
        <v>7</v>
      </c>
      <c r="AM13" s="3">
        <v>4</v>
      </c>
      <c r="AN13" s="3">
        <v>4</v>
      </c>
      <c r="AO13" s="3">
        <v>4</v>
      </c>
      <c r="AP13" s="3">
        <v>4</v>
      </c>
      <c r="AQ13" s="3">
        <v>4</v>
      </c>
      <c r="AR13" s="3">
        <v>2</v>
      </c>
      <c r="BC13" s="3">
        <v>4</v>
      </c>
      <c r="BD13" s="3">
        <v>2</v>
      </c>
      <c r="BE13" s="4" t="s">
        <v>125</v>
      </c>
      <c r="BF13" s="4" t="s">
        <v>122</v>
      </c>
      <c r="BG13" s="4" t="s">
        <v>125</v>
      </c>
      <c r="BH13" s="4"/>
      <c r="BI13" s="4" t="s">
        <v>122</v>
      </c>
      <c r="BJ13" s="4" t="s">
        <v>122</v>
      </c>
      <c r="BK13" s="4" t="s">
        <v>122</v>
      </c>
      <c r="BL13" s="4" t="s">
        <v>125</v>
      </c>
      <c r="BM13" s="4" t="s">
        <v>122</v>
      </c>
      <c r="BN13" s="3">
        <v>1</v>
      </c>
      <c r="BP13" s="4" t="s">
        <v>122</v>
      </c>
      <c r="BQ13" s="4" t="s">
        <v>122</v>
      </c>
      <c r="BR13" s="4" t="s">
        <v>122</v>
      </c>
      <c r="BS13" s="4" t="s">
        <v>122</v>
      </c>
      <c r="BT13" s="4" t="s">
        <v>122</v>
      </c>
      <c r="BU13" s="4"/>
      <c r="BV13" s="4" t="s">
        <v>122</v>
      </c>
      <c r="BW13" s="4" t="s">
        <v>122</v>
      </c>
      <c r="BX13" s="4" t="s">
        <v>122</v>
      </c>
      <c r="BY13" s="4" t="s">
        <v>122</v>
      </c>
      <c r="BZ13" s="4" t="s">
        <v>122</v>
      </c>
      <c r="CA13" s="4" t="s">
        <v>122</v>
      </c>
      <c r="CD13" s="4" t="s">
        <v>122</v>
      </c>
      <c r="CE13" s="4" t="s">
        <v>122</v>
      </c>
      <c r="CF13" s="3">
        <v>1</v>
      </c>
      <c r="CG13" s="4" t="s">
        <v>122</v>
      </c>
      <c r="CH13" s="3">
        <v>3</v>
      </c>
      <c r="CI13" s="4" t="s">
        <v>122</v>
      </c>
      <c r="CJ13" s="4" t="s">
        <v>122</v>
      </c>
      <c r="CK13" s="4" t="s">
        <v>122</v>
      </c>
      <c r="CL13" s="4" t="s">
        <v>122</v>
      </c>
      <c r="CM13" s="4" t="s">
        <v>122</v>
      </c>
      <c r="CN13" s="4" t="s">
        <v>122</v>
      </c>
      <c r="CO13" s="4" t="s">
        <v>125</v>
      </c>
      <c r="CP13" s="4" t="s">
        <v>122</v>
      </c>
      <c r="CQ13" s="4" t="s">
        <v>122</v>
      </c>
      <c r="CR13" s="4" t="s">
        <v>122</v>
      </c>
      <c r="CS13" s="3">
        <v>5</v>
      </c>
      <c r="CT13" s="3">
        <v>6</v>
      </c>
      <c r="CU13" s="3">
        <v>1</v>
      </c>
      <c r="CV13">
        <v>1</v>
      </c>
      <c r="CW13" cm="1">
        <f t="array" ref="CW13">_xlfn.IFS(CU13*1=1,1,CU13*1=2,1,TRUE,0)</f>
        <v>1</v>
      </c>
      <c r="CX13" s="3" t="e">
        <f>NA()</f>
        <v>#N/A</v>
      </c>
      <c r="CY13" s="3">
        <f t="shared" si="0"/>
        <v>4</v>
      </c>
      <c r="CZ13" s="3" cm="1">
        <f t="array" ref="CZ13">_xlfn.IFS(BP13&lt;&gt;"", BP13, CV13=1,  AQ13, CV13=0,  AZ13)</f>
        <v>4</v>
      </c>
      <c r="DA13" s="3" t="e">
        <f>NA()</f>
        <v>#N/A</v>
      </c>
      <c r="DB13" s="36">
        <f t="shared" si="1"/>
        <v>4</v>
      </c>
      <c r="DC13" s="3" t="e">
        <f t="shared" si="2"/>
        <v>#N/A</v>
      </c>
      <c r="DD13" s="3">
        <f t="shared" si="3"/>
        <v>4</v>
      </c>
      <c r="DE13" s="3">
        <f t="shared" si="4"/>
        <v>4</v>
      </c>
      <c r="DF13" s="3" t="e">
        <f t="shared" si="5"/>
        <v>#N/A</v>
      </c>
      <c r="DG13" s="3" t="e">
        <f t="shared" si="6"/>
        <v>#N/A</v>
      </c>
      <c r="DI13" s="59">
        <v>202511</v>
      </c>
      <c r="DJ13" s="66">
        <f>AVERAGE($DB$207:$DB$340)</f>
        <v>-0.27368421052631575</v>
      </c>
      <c r="DK13" s="66">
        <f>AVERAGE($DC$207:$DC$340)</f>
        <v>-0.37878787878787878</v>
      </c>
      <c r="DL13" s="66">
        <f>AVERAGE($DB$207:$DC$340)</f>
        <v>-0.3260377358490566</v>
      </c>
      <c r="DN13" s="59">
        <v>202511</v>
      </c>
      <c r="DO13" s="66">
        <f>AVERAGE($DD$207:$DD$340)</f>
        <v>-0.25671641791044775</v>
      </c>
      <c r="DP13" s="66">
        <f>AVERAGE($DF$207:$DF$340)</f>
        <v>-0.27985074626865669</v>
      </c>
      <c r="DQ13" s="66"/>
      <c r="DS13" s="59">
        <v>202511</v>
      </c>
      <c r="DT13" s="66">
        <f>AVERAGE($DE$207:$DE$340)</f>
        <v>-0.30534351145038169</v>
      </c>
      <c r="DU13" s="66">
        <f>AVERAGE($DG$207:$DG$340)</f>
        <v>-0.28125</v>
      </c>
      <c r="DV13" s="66"/>
    </row>
    <row r="14" spans="1:126" x14ac:dyDescent="0.4">
      <c r="A14" s="3">
        <v>202410</v>
      </c>
      <c r="B14" s="3">
        <v>111</v>
      </c>
      <c r="C14" s="5">
        <v>45584.453020833331</v>
      </c>
      <c r="D14" s="5">
        <v>45584.455393518518</v>
      </c>
      <c r="E14" s="3">
        <v>0</v>
      </c>
      <c r="F14" s="4" t="s">
        <v>650</v>
      </c>
      <c r="G14" s="3">
        <v>100</v>
      </c>
      <c r="H14" s="3">
        <v>204</v>
      </c>
      <c r="I14" s="3">
        <v>1</v>
      </c>
      <c r="J14" s="5">
        <v>45584.455412766205</v>
      </c>
      <c r="K14" s="4" t="s">
        <v>651</v>
      </c>
      <c r="L14" s="4" t="s">
        <v>122</v>
      </c>
      <c r="M14" s="4" t="s">
        <v>122</v>
      </c>
      <c r="N14" s="4" t="s">
        <v>122</v>
      </c>
      <c r="O14" s="4" t="s">
        <v>122</v>
      </c>
      <c r="P14" s="3">
        <v>36.168500000000002</v>
      </c>
      <c r="Q14" s="3">
        <v>-115.1164</v>
      </c>
      <c r="R14" s="4" t="s">
        <v>129</v>
      </c>
      <c r="S14" s="4" t="s">
        <v>124</v>
      </c>
      <c r="T14" s="4" t="s">
        <v>652</v>
      </c>
      <c r="U14" s="3">
        <v>0</v>
      </c>
      <c r="V14" s="3">
        <v>3</v>
      </c>
      <c r="W14" s="3">
        <v>4</v>
      </c>
      <c r="X14" s="3">
        <v>1</v>
      </c>
      <c r="Y14" s="3">
        <v>2</v>
      </c>
      <c r="Z14" s="3">
        <v>2</v>
      </c>
      <c r="AA14" s="3">
        <v>1</v>
      </c>
      <c r="AG14" s="3">
        <v>4</v>
      </c>
      <c r="AH14" s="3">
        <v>4</v>
      </c>
      <c r="AI14" s="3">
        <v>1</v>
      </c>
      <c r="AJ14" s="3">
        <v>8</v>
      </c>
      <c r="AK14" s="3">
        <v>8</v>
      </c>
      <c r="AL14" s="3">
        <v>8</v>
      </c>
      <c r="AM14" s="3">
        <v>7</v>
      </c>
      <c r="AN14" s="3">
        <v>9</v>
      </c>
      <c r="AO14" s="3">
        <v>2</v>
      </c>
      <c r="AP14" s="3">
        <v>4</v>
      </c>
      <c r="AQ14" s="4" t="s">
        <v>122</v>
      </c>
      <c r="AR14" s="4" t="s">
        <v>122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 t="s">
        <v>122</v>
      </c>
      <c r="BD14" s="4" t="s">
        <v>122</v>
      </c>
      <c r="BE14" s="4" t="s">
        <v>122</v>
      </c>
      <c r="BF14" s="4" t="s">
        <v>122</v>
      </c>
      <c r="BG14" s="4" t="s">
        <v>122</v>
      </c>
      <c r="BH14" s="4"/>
      <c r="BI14" s="4" t="s">
        <v>122</v>
      </c>
      <c r="BJ14" s="4" t="s">
        <v>122</v>
      </c>
      <c r="BK14" s="4" t="s">
        <v>122</v>
      </c>
      <c r="BL14" s="4" t="s">
        <v>122</v>
      </c>
      <c r="BM14" s="4" t="s">
        <v>122</v>
      </c>
      <c r="BN14" s="4" t="s">
        <v>122</v>
      </c>
      <c r="BO14" s="4"/>
      <c r="BP14" s="3">
        <v>4</v>
      </c>
      <c r="BQ14" s="3">
        <v>1</v>
      </c>
      <c r="BR14" s="4" t="s">
        <v>122</v>
      </c>
      <c r="BS14" s="4" t="s">
        <v>122</v>
      </c>
      <c r="BT14" s="4" t="s">
        <v>122</v>
      </c>
      <c r="BU14" s="4"/>
      <c r="BV14" s="4" t="s">
        <v>122</v>
      </c>
      <c r="BW14" s="4" t="s">
        <v>125</v>
      </c>
      <c r="BX14" s="4" t="s">
        <v>122</v>
      </c>
      <c r="BY14" s="4" t="s">
        <v>122</v>
      </c>
      <c r="BZ14" s="4" t="s">
        <v>122</v>
      </c>
      <c r="CA14" s="3">
        <v>5</v>
      </c>
      <c r="CD14" s="3">
        <v>4</v>
      </c>
      <c r="CE14" s="3">
        <v>1</v>
      </c>
      <c r="CF14" s="3">
        <v>1</v>
      </c>
      <c r="CG14" s="4" t="s">
        <v>122</v>
      </c>
      <c r="CH14" s="3">
        <v>3</v>
      </c>
      <c r="CI14" s="4" t="s">
        <v>122</v>
      </c>
      <c r="CJ14" s="4" t="s">
        <v>122</v>
      </c>
      <c r="CK14" s="4" t="s">
        <v>122</v>
      </c>
      <c r="CL14" s="4" t="s">
        <v>122</v>
      </c>
      <c r="CM14" s="4" t="s">
        <v>122</v>
      </c>
      <c r="CN14" s="4" t="s">
        <v>122</v>
      </c>
      <c r="CO14" s="4" t="s">
        <v>125</v>
      </c>
      <c r="CP14" s="4" t="s">
        <v>122</v>
      </c>
      <c r="CQ14" s="4" t="s">
        <v>122</v>
      </c>
      <c r="CR14" s="4" t="s">
        <v>122</v>
      </c>
      <c r="CS14" s="3">
        <v>5</v>
      </c>
      <c r="CT14" s="3">
        <v>6</v>
      </c>
      <c r="CU14" s="3">
        <v>0</v>
      </c>
      <c r="CV14">
        <v>1</v>
      </c>
      <c r="CW14" cm="1">
        <f t="array" ref="CW14">_xlfn.IFS(CU14*1=1,1,CU14*1=2,1,TRUE,0)</f>
        <v>0</v>
      </c>
      <c r="CX14" s="3" t="e">
        <f>NA()</f>
        <v>#N/A</v>
      </c>
      <c r="CY14" s="3">
        <f t="shared" si="0"/>
        <v>4</v>
      </c>
      <c r="CZ14" s="3" cm="1">
        <f t="array" ref="CZ14">_xlfn.IFS(BP14&lt;&gt;"", BP14, CV14=1,  AQ14, CV14=0,  AZ14)</f>
        <v>4</v>
      </c>
      <c r="DA14" s="3" t="e">
        <f>NA()</f>
        <v>#N/A</v>
      </c>
      <c r="DB14" s="36">
        <f t="shared" si="1"/>
        <v>0</v>
      </c>
      <c r="DC14" s="3" t="e">
        <f t="shared" si="2"/>
        <v>#N/A</v>
      </c>
      <c r="DD14" s="3">
        <f t="shared" si="3"/>
        <v>0</v>
      </c>
      <c r="DE14" s="3">
        <f t="shared" si="4"/>
        <v>0</v>
      </c>
      <c r="DF14" s="3" t="e">
        <f t="shared" si="5"/>
        <v>#N/A</v>
      </c>
      <c r="DG14" s="3" t="e">
        <f t="shared" si="6"/>
        <v>#N/A</v>
      </c>
      <c r="DI14" s="62" t="s">
        <v>954</v>
      </c>
      <c r="DJ14" s="67">
        <f>AVERAGE($DB$2:$DB$340)</f>
        <v>-5.2958579881656802E-2</v>
      </c>
      <c r="DK14" s="67">
        <f>AVERAGE($DC$99:$DC$340)</f>
        <v>-0.42083333333333334</v>
      </c>
      <c r="DL14" s="67">
        <f>AVERAGE($DB$2:$DB$98, $DB$99:$DC$340)</f>
        <v>-0.20570934256055365</v>
      </c>
      <c r="DN14" s="62" t="s">
        <v>954</v>
      </c>
      <c r="DO14" s="67">
        <f>AVERAGE($DD$2:$DD$340)</f>
        <v>-6.4601769911504417E-2</v>
      </c>
      <c r="DP14" s="67">
        <f>AVERAGE($DF$99:$DF$340)</f>
        <v>-0.3450413223140496</v>
      </c>
      <c r="DQ14" s="67"/>
      <c r="DS14" s="62" t="s">
        <v>954</v>
      </c>
      <c r="DT14" s="67">
        <f>AVERAGE($DE$2:$DE$340)</f>
        <v>-6.2686567164179099E-2</v>
      </c>
      <c r="DU14" s="67">
        <f>AVERAGE($DG$99:$DG$340)</f>
        <v>-0.29449152542372881</v>
      </c>
      <c r="DV14" s="67"/>
    </row>
    <row r="15" spans="1:126" x14ac:dyDescent="0.4">
      <c r="A15" s="3">
        <v>202410</v>
      </c>
      <c r="B15" s="3">
        <v>111</v>
      </c>
      <c r="C15" s="5">
        <v>45584.454317129632</v>
      </c>
      <c r="D15" s="5">
        <v>45584.458414351851</v>
      </c>
      <c r="E15" s="3">
        <v>0</v>
      </c>
      <c r="F15" s="4" t="s">
        <v>653</v>
      </c>
      <c r="G15" s="3">
        <v>100</v>
      </c>
      <c r="H15" s="3">
        <v>353</v>
      </c>
      <c r="I15" s="3">
        <v>1</v>
      </c>
      <c r="J15" s="5">
        <v>45584.458431956016</v>
      </c>
      <c r="K15" s="4" t="s">
        <v>654</v>
      </c>
      <c r="L15" s="4" t="s">
        <v>122</v>
      </c>
      <c r="M15" s="4" t="s">
        <v>122</v>
      </c>
      <c r="N15" s="4" t="s">
        <v>122</v>
      </c>
      <c r="O15" s="4" t="s">
        <v>122</v>
      </c>
      <c r="P15" s="3">
        <v>25.768899999999999</v>
      </c>
      <c r="Q15" s="3">
        <v>-80.194599999999994</v>
      </c>
      <c r="R15" s="4" t="s">
        <v>129</v>
      </c>
      <c r="S15" s="4" t="s">
        <v>124</v>
      </c>
      <c r="T15" s="4" t="s">
        <v>655</v>
      </c>
      <c r="U15" s="3">
        <v>0</v>
      </c>
      <c r="V15" s="3">
        <v>2</v>
      </c>
      <c r="W15" s="3">
        <v>2</v>
      </c>
      <c r="X15" s="3">
        <v>1</v>
      </c>
      <c r="Y15" s="3">
        <v>5</v>
      </c>
      <c r="Z15" s="3">
        <v>5</v>
      </c>
      <c r="AA15" s="3">
        <v>5</v>
      </c>
      <c r="AG15" s="3">
        <v>2</v>
      </c>
      <c r="AH15" s="3">
        <v>4</v>
      </c>
      <c r="AI15" s="3">
        <v>3</v>
      </c>
      <c r="AJ15" s="3">
        <v>4</v>
      </c>
      <c r="AK15" s="3">
        <v>7</v>
      </c>
      <c r="AL15" s="3">
        <v>5</v>
      </c>
      <c r="AM15" s="3">
        <v>4</v>
      </c>
      <c r="AN15" s="3">
        <v>6</v>
      </c>
      <c r="AO15" s="3">
        <v>4</v>
      </c>
      <c r="AP15" s="3">
        <v>3</v>
      </c>
      <c r="AQ15" s="3">
        <v>4</v>
      </c>
      <c r="AR15" s="3">
        <v>3</v>
      </c>
      <c r="BC15" s="3">
        <v>4</v>
      </c>
      <c r="BD15" s="3">
        <v>3</v>
      </c>
      <c r="BE15" s="4" t="s">
        <v>122</v>
      </c>
      <c r="BF15" s="4" t="s">
        <v>125</v>
      </c>
      <c r="BG15" s="4" t="s">
        <v>122</v>
      </c>
      <c r="BH15" s="4"/>
      <c r="BI15" s="4" t="s">
        <v>122</v>
      </c>
      <c r="BJ15" s="4" t="s">
        <v>122</v>
      </c>
      <c r="BK15" s="4" t="s">
        <v>122</v>
      </c>
      <c r="BL15" s="4" t="s">
        <v>122</v>
      </c>
      <c r="BM15" s="4" t="s">
        <v>122</v>
      </c>
      <c r="BN15" s="3">
        <v>2</v>
      </c>
      <c r="BP15" s="4" t="s">
        <v>122</v>
      </c>
      <c r="BQ15" s="4" t="s">
        <v>122</v>
      </c>
      <c r="BR15" s="4" t="s">
        <v>122</v>
      </c>
      <c r="BS15" s="4" t="s">
        <v>122</v>
      </c>
      <c r="BT15" s="4" t="s">
        <v>122</v>
      </c>
      <c r="BU15" s="4"/>
      <c r="BV15" s="4" t="s">
        <v>122</v>
      </c>
      <c r="BW15" s="4" t="s">
        <v>122</v>
      </c>
      <c r="BX15" s="4" t="s">
        <v>122</v>
      </c>
      <c r="BY15" s="4" t="s">
        <v>122</v>
      </c>
      <c r="BZ15" s="4" t="s">
        <v>122</v>
      </c>
      <c r="CA15" s="4" t="s">
        <v>122</v>
      </c>
      <c r="CD15" s="4" t="s">
        <v>122</v>
      </c>
      <c r="CE15" s="4" t="s">
        <v>122</v>
      </c>
      <c r="CF15" s="3">
        <v>1</v>
      </c>
      <c r="CG15" s="4" t="s">
        <v>122</v>
      </c>
      <c r="CH15" s="3">
        <v>6</v>
      </c>
      <c r="CI15" s="4" t="s">
        <v>122</v>
      </c>
      <c r="CJ15" s="4" t="s">
        <v>122</v>
      </c>
      <c r="CK15" s="4" t="s">
        <v>122</v>
      </c>
      <c r="CL15" s="4" t="s">
        <v>122</v>
      </c>
      <c r="CM15" s="4" t="s">
        <v>122</v>
      </c>
      <c r="CN15" s="4" t="s">
        <v>122</v>
      </c>
      <c r="CO15" s="4" t="s">
        <v>125</v>
      </c>
      <c r="CP15" s="4" t="s">
        <v>122</v>
      </c>
      <c r="CQ15" s="4" t="s">
        <v>122</v>
      </c>
      <c r="CR15" s="4" t="s">
        <v>122</v>
      </c>
      <c r="CS15" s="3">
        <v>4</v>
      </c>
      <c r="CT15" s="3">
        <v>6</v>
      </c>
      <c r="CU15" s="3">
        <v>1</v>
      </c>
      <c r="CV15">
        <v>1</v>
      </c>
      <c r="CW15" cm="1">
        <f t="array" ref="CW15">_xlfn.IFS(CU15*1=1,1,CU15*1=2,1,TRUE,0)</f>
        <v>1</v>
      </c>
      <c r="CX15" s="3" t="e">
        <f>NA()</f>
        <v>#N/A</v>
      </c>
      <c r="CY15" s="3">
        <f t="shared" si="0"/>
        <v>4</v>
      </c>
      <c r="CZ15" s="3" cm="1">
        <f t="array" ref="CZ15">_xlfn.IFS(BP15&lt;&gt;"", BP15, CV15=1,  AQ15, CV15=0,  AZ15)</f>
        <v>4</v>
      </c>
      <c r="DA15" s="3" t="e">
        <f>NA()</f>
        <v>#N/A</v>
      </c>
      <c r="DB15" s="36">
        <f t="shared" si="1"/>
        <v>0</v>
      </c>
      <c r="DC15" s="3" t="e">
        <f t="shared" si="2"/>
        <v>#N/A</v>
      </c>
      <c r="DD15" s="3">
        <f t="shared" si="3"/>
        <v>0</v>
      </c>
      <c r="DE15" s="3">
        <f t="shared" si="4"/>
        <v>0</v>
      </c>
      <c r="DF15" s="3" t="e">
        <f t="shared" si="5"/>
        <v>#N/A</v>
      </c>
      <c r="DG15" s="3" t="e">
        <f t="shared" si="6"/>
        <v>#N/A</v>
      </c>
    </row>
    <row r="16" spans="1:126" x14ac:dyDescent="0.4">
      <c r="A16" s="3">
        <v>202410</v>
      </c>
      <c r="B16" s="3">
        <v>111</v>
      </c>
      <c r="C16" s="5">
        <v>45584.455590277779</v>
      </c>
      <c r="D16" s="5">
        <v>45584.479699074072</v>
      </c>
      <c r="E16" s="3">
        <v>0</v>
      </c>
      <c r="F16" s="4" t="s">
        <v>246</v>
      </c>
      <c r="G16" s="3">
        <v>100</v>
      </c>
      <c r="H16" s="3">
        <v>2082</v>
      </c>
      <c r="I16" s="3">
        <v>1</v>
      </c>
      <c r="J16" s="5">
        <v>45584.479712453707</v>
      </c>
      <c r="K16" s="4" t="s">
        <v>699</v>
      </c>
      <c r="L16" s="4" t="s">
        <v>122</v>
      </c>
      <c r="M16" s="4" t="s">
        <v>122</v>
      </c>
      <c r="N16" s="4" t="s">
        <v>122</v>
      </c>
      <c r="O16" s="4" t="s">
        <v>122</v>
      </c>
      <c r="P16" s="3">
        <v>32.250300000000003</v>
      </c>
      <c r="Q16" s="3">
        <v>-110.94499999999999</v>
      </c>
      <c r="R16" s="4" t="s">
        <v>123</v>
      </c>
      <c r="S16" s="4" t="s">
        <v>124</v>
      </c>
      <c r="T16" s="4" t="s">
        <v>700</v>
      </c>
      <c r="U16" s="3">
        <v>1</v>
      </c>
      <c r="V16" s="3">
        <v>2</v>
      </c>
      <c r="W16" s="3">
        <v>2</v>
      </c>
      <c r="X16" s="3">
        <v>1</v>
      </c>
      <c r="Y16" s="3">
        <v>1</v>
      </c>
      <c r="Z16" s="3">
        <v>1</v>
      </c>
      <c r="AA16" s="3">
        <v>1</v>
      </c>
      <c r="AG16" s="3">
        <v>4</v>
      </c>
      <c r="AH16" s="3">
        <v>5</v>
      </c>
      <c r="AI16" s="3">
        <v>2</v>
      </c>
      <c r="AJ16" s="3">
        <v>7</v>
      </c>
      <c r="AK16" s="3">
        <v>8</v>
      </c>
      <c r="AL16" s="3">
        <v>5</v>
      </c>
      <c r="AM16" s="3">
        <v>7</v>
      </c>
      <c r="AN16" s="3">
        <v>7</v>
      </c>
      <c r="AO16" s="3">
        <v>3</v>
      </c>
      <c r="AP16" s="3">
        <v>3</v>
      </c>
      <c r="AQ16" s="3">
        <v>6</v>
      </c>
      <c r="AR16" s="3">
        <v>2</v>
      </c>
      <c r="BC16" s="3">
        <v>5.5</v>
      </c>
      <c r="BD16" s="3">
        <v>2</v>
      </c>
      <c r="BE16" s="4" t="s">
        <v>125</v>
      </c>
      <c r="BF16" s="4" t="s">
        <v>122</v>
      </c>
      <c r="BG16" s="4" t="s">
        <v>122</v>
      </c>
      <c r="BH16" s="4"/>
      <c r="BI16" s="4" t="s">
        <v>125</v>
      </c>
      <c r="BJ16" s="4" t="s">
        <v>122</v>
      </c>
      <c r="BK16" s="4" t="s">
        <v>122</v>
      </c>
      <c r="BL16" s="4" t="s">
        <v>122</v>
      </c>
      <c r="BM16" s="4" t="s">
        <v>122</v>
      </c>
      <c r="BN16" s="3">
        <v>1</v>
      </c>
      <c r="BP16" s="4" t="s">
        <v>122</v>
      </c>
      <c r="BQ16" s="4" t="s">
        <v>122</v>
      </c>
      <c r="BR16" s="4" t="s">
        <v>122</v>
      </c>
      <c r="BS16" s="4" t="s">
        <v>122</v>
      </c>
      <c r="BT16" s="4" t="s">
        <v>122</v>
      </c>
      <c r="BU16" s="4"/>
      <c r="BV16" s="4" t="s">
        <v>122</v>
      </c>
      <c r="BW16" s="4" t="s">
        <v>122</v>
      </c>
      <c r="BX16" s="4" t="s">
        <v>122</v>
      </c>
      <c r="BY16" s="4" t="s">
        <v>122</v>
      </c>
      <c r="BZ16" s="4" t="s">
        <v>122</v>
      </c>
      <c r="CA16" s="4" t="s">
        <v>122</v>
      </c>
      <c r="CD16" s="4" t="s">
        <v>122</v>
      </c>
      <c r="CE16" s="4" t="s">
        <v>122</v>
      </c>
      <c r="CF16" s="3">
        <v>1</v>
      </c>
      <c r="CG16" s="4" t="s">
        <v>122</v>
      </c>
      <c r="CH16" s="3">
        <v>2</v>
      </c>
      <c r="CI16" s="4" t="s">
        <v>122</v>
      </c>
      <c r="CJ16" s="4" t="s">
        <v>122</v>
      </c>
      <c r="CK16" s="4" t="s">
        <v>125</v>
      </c>
      <c r="CL16" s="4" t="s">
        <v>122</v>
      </c>
      <c r="CM16" s="4" t="s">
        <v>122</v>
      </c>
      <c r="CN16" s="4" t="s">
        <v>122</v>
      </c>
      <c r="CO16" s="4" t="s">
        <v>122</v>
      </c>
      <c r="CP16" s="4" t="s">
        <v>122</v>
      </c>
      <c r="CQ16" s="4" t="s">
        <v>122</v>
      </c>
      <c r="CR16" s="4" t="s">
        <v>122</v>
      </c>
      <c r="CS16" s="3">
        <v>3</v>
      </c>
      <c r="CT16" s="3">
        <v>-999</v>
      </c>
      <c r="CU16" s="3">
        <v>1</v>
      </c>
      <c r="CV16">
        <v>1</v>
      </c>
      <c r="CW16" cm="1">
        <f t="array" ref="CW16">_xlfn.IFS(CU16*1=1,1,CU16*1=2,1,TRUE,0)</f>
        <v>1</v>
      </c>
      <c r="CX16" s="3" t="e">
        <f>NA()</f>
        <v>#N/A</v>
      </c>
      <c r="CY16" s="3">
        <f t="shared" si="0"/>
        <v>5.5</v>
      </c>
      <c r="CZ16" s="3" cm="1">
        <f t="array" ref="CZ16">_xlfn.IFS(BP16&lt;&gt;"", BP16, CV16=1,  AQ16, CV16=0,  AZ16)</f>
        <v>6</v>
      </c>
      <c r="DA16" s="3" t="e">
        <f>NA()</f>
        <v>#N/A</v>
      </c>
      <c r="DB16" s="36">
        <f t="shared" si="1"/>
        <v>0.5</v>
      </c>
      <c r="DC16" s="3" t="e">
        <f t="shared" si="2"/>
        <v>#N/A</v>
      </c>
      <c r="DD16" s="3">
        <f t="shared" si="3"/>
        <v>1</v>
      </c>
      <c r="DE16" s="3">
        <f t="shared" si="4"/>
        <v>0.5</v>
      </c>
      <c r="DF16" s="3" t="e">
        <f t="shared" si="5"/>
        <v>#N/A</v>
      </c>
      <c r="DG16" s="3" t="e">
        <f t="shared" si="6"/>
        <v>#N/A</v>
      </c>
      <c r="DI16" s="36" t="s">
        <v>967</v>
      </c>
      <c r="DN16" s="36" t="s">
        <v>967</v>
      </c>
      <c r="DO16" s="63"/>
      <c r="DP16" s="63"/>
      <c r="DQ16" s="63"/>
      <c r="DS16" s="36" t="s">
        <v>967</v>
      </c>
      <c r="DT16" s="63"/>
      <c r="DU16" s="63"/>
      <c r="DV16" s="63"/>
    </row>
    <row r="17" spans="1:126" x14ac:dyDescent="0.4">
      <c r="A17" s="3">
        <v>202410</v>
      </c>
      <c r="B17" s="3">
        <v>111</v>
      </c>
      <c r="C17" s="5">
        <v>45584.455625000002</v>
      </c>
      <c r="D17" s="5">
        <v>45584.459861111114</v>
      </c>
      <c r="E17" s="3">
        <v>0</v>
      </c>
      <c r="F17" s="4" t="s">
        <v>413</v>
      </c>
      <c r="G17" s="3">
        <v>100</v>
      </c>
      <c r="H17" s="3">
        <v>366</v>
      </c>
      <c r="I17" s="3">
        <v>1</v>
      </c>
      <c r="J17" s="5">
        <v>45584.459877395835</v>
      </c>
      <c r="K17" s="4" t="s">
        <v>656</v>
      </c>
      <c r="L17" s="4" t="s">
        <v>122</v>
      </c>
      <c r="M17" s="4" t="s">
        <v>122</v>
      </c>
      <c r="N17" s="4" t="s">
        <v>122</v>
      </c>
      <c r="O17" s="4" t="s">
        <v>122</v>
      </c>
      <c r="P17" s="3">
        <v>32.250300000000003</v>
      </c>
      <c r="Q17" s="3">
        <v>-110.94499999999999</v>
      </c>
      <c r="R17" s="4" t="s">
        <v>129</v>
      </c>
      <c r="S17" s="4" t="s">
        <v>124</v>
      </c>
      <c r="T17" s="4" t="s">
        <v>657</v>
      </c>
      <c r="U17" s="3">
        <v>1</v>
      </c>
      <c r="V17" s="3">
        <v>2</v>
      </c>
      <c r="W17" s="3">
        <v>-999</v>
      </c>
      <c r="X17" s="3">
        <v>2</v>
      </c>
      <c r="Y17" s="3">
        <v>3</v>
      </c>
      <c r="Z17" s="3">
        <v>3</v>
      </c>
      <c r="AA17" s="3">
        <v>1</v>
      </c>
      <c r="AG17" s="3">
        <v>3</v>
      </c>
      <c r="AH17" s="3">
        <v>5</v>
      </c>
      <c r="AI17" s="3">
        <v>2</v>
      </c>
      <c r="AJ17" s="3">
        <v>6</v>
      </c>
      <c r="AK17" s="3">
        <v>8</v>
      </c>
      <c r="AL17" s="3">
        <v>5</v>
      </c>
      <c r="AM17" s="3">
        <v>7</v>
      </c>
      <c r="AN17" s="3">
        <v>6</v>
      </c>
      <c r="AO17" s="3">
        <v>2</v>
      </c>
      <c r="AP17" s="3">
        <v>1</v>
      </c>
      <c r="AQ17" s="4" t="s">
        <v>122</v>
      </c>
      <c r="AR17" s="4" t="s">
        <v>122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 t="s">
        <v>122</v>
      </c>
      <c r="BD17" s="4" t="s">
        <v>122</v>
      </c>
      <c r="BE17" s="4" t="s">
        <v>122</v>
      </c>
      <c r="BF17" s="4" t="s">
        <v>122</v>
      </c>
      <c r="BG17" s="4" t="s">
        <v>122</v>
      </c>
      <c r="BH17" s="4"/>
      <c r="BI17" s="4" t="s">
        <v>122</v>
      </c>
      <c r="BJ17" s="4" t="s">
        <v>122</v>
      </c>
      <c r="BK17" s="4" t="s">
        <v>122</v>
      </c>
      <c r="BL17" s="4" t="s">
        <v>122</v>
      </c>
      <c r="BM17" s="4" t="s">
        <v>122</v>
      </c>
      <c r="BN17" s="4" t="s">
        <v>122</v>
      </c>
      <c r="BO17" s="4"/>
      <c r="BP17" s="3">
        <v>5</v>
      </c>
      <c r="BQ17" s="3">
        <v>2</v>
      </c>
      <c r="BR17" s="4" t="s">
        <v>122</v>
      </c>
      <c r="BS17" s="4" t="s">
        <v>125</v>
      </c>
      <c r="BT17" s="4" t="s">
        <v>125</v>
      </c>
      <c r="BU17" s="4"/>
      <c r="BV17" s="4" t="s">
        <v>122</v>
      </c>
      <c r="BW17" s="4" t="s">
        <v>122</v>
      </c>
      <c r="BX17" s="4" t="s">
        <v>122</v>
      </c>
      <c r="BY17" s="4" t="s">
        <v>125</v>
      </c>
      <c r="BZ17" s="4" t="s">
        <v>122</v>
      </c>
      <c r="CA17" s="3">
        <v>3</v>
      </c>
      <c r="CD17" s="3">
        <v>6</v>
      </c>
      <c r="CE17" s="3">
        <v>2</v>
      </c>
      <c r="CF17" s="3">
        <v>1</v>
      </c>
      <c r="CG17" s="4" t="s">
        <v>122</v>
      </c>
      <c r="CH17" s="3">
        <v>4</v>
      </c>
      <c r="CI17" s="4" t="s">
        <v>122</v>
      </c>
      <c r="CJ17" s="4" t="s">
        <v>122</v>
      </c>
      <c r="CK17" s="4" t="s">
        <v>122</v>
      </c>
      <c r="CL17" s="4" t="s">
        <v>122</v>
      </c>
      <c r="CM17" s="4" t="s">
        <v>122</v>
      </c>
      <c r="CN17" s="4" t="s">
        <v>122</v>
      </c>
      <c r="CO17" s="4" t="s">
        <v>125</v>
      </c>
      <c r="CP17" s="4" t="s">
        <v>122</v>
      </c>
      <c r="CQ17" s="4" t="s">
        <v>122</v>
      </c>
      <c r="CR17" s="4" t="s">
        <v>122</v>
      </c>
      <c r="CS17" s="3">
        <v>2</v>
      </c>
      <c r="CT17" s="3">
        <v>3</v>
      </c>
      <c r="CU17" s="3">
        <v>0</v>
      </c>
      <c r="CV17">
        <v>1</v>
      </c>
      <c r="CW17" cm="1">
        <f t="array" ref="CW17">_xlfn.IFS(CU17*1=1,1,CU17*1=2,1,TRUE,0)</f>
        <v>0</v>
      </c>
      <c r="CX17" s="3" t="e">
        <f>NA()</f>
        <v>#N/A</v>
      </c>
      <c r="CY17" s="3">
        <f t="shared" si="0"/>
        <v>6</v>
      </c>
      <c r="CZ17" s="3" cm="1">
        <f t="array" ref="CZ17">_xlfn.IFS(BP17&lt;&gt;"", BP17, CV17=1,  AQ17, CV17=0,  AZ17)</f>
        <v>5</v>
      </c>
      <c r="DA17" s="3" t="e">
        <f>NA()</f>
        <v>#N/A</v>
      </c>
      <c r="DB17" s="36">
        <f t="shared" si="1"/>
        <v>1</v>
      </c>
      <c r="DC17" s="3" t="e">
        <f t="shared" si="2"/>
        <v>#N/A</v>
      </c>
      <c r="DD17" s="3">
        <f t="shared" si="3"/>
        <v>1</v>
      </c>
      <c r="DE17" s="3">
        <f t="shared" si="4"/>
        <v>0</v>
      </c>
      <c r="DF17" s="3" t="e">
        <f t="shared" si="5"/>
        <v>#N/A</v>
      </c>
      <c r="DG17" s="3" t="e">
        <f t="shared" si="6"/>
        <v>#N/A</v>
      </c>
      <c r="DI17" s="61" t="s">
        <v>953</v>
      </c>
      <c r="DJ17" s="64" t="s">
        <v>956</v>
      </c>
      <c r="DK17" s="64" t="s">
        <v>957</v>
      </c>
      <c r="DL17" s="64" t="s">
        <v>955</v>
      </c>
      <c r="DN17" s="61" t="s">
        <v>953</v>
      </c>
      <c r="DO17" s="64" t="s">
        <v>956</v>
      </c>
      <c r="DP17" s="64" t="s">
        <v>957</v>
      </c>
      <c r="DQ17" s="64" t="s">
        <v>955</v>
      </c>
      <c r="DS17" s="61" t="s">
        <v>953</v>
      </c>
      <c r="DT17" s="64" t="s">
        <v>956</v>
      </c>
      <c r="DU17" s="64" t="s">
        <v>957</v>
      </c>
      <c r="DV17" s="64" t="s">
        <v>955</v>
      </c>
    </row>
    <row r="18" spans="1:126" x14ac:dyDescent="0.4">
      <c r="A18" s="3">
        <v>202410</v>
      </c>
      <c r="B18" s="3">
        <v>111</v>
      </c>
      <c r="C18" s="5">
        <v>45584.456284722219</v>
      </c>
      <c r="D18" s="5">
        <v>45584.460023148145</v>
      </c>
      <c r="E18" s="3">
        <v>0</v>
      </c>
      <c r="F18" s="4" t="s">
        <v>658</v>
      </c>
      <c r="G18" s="3">
        <v>100</v>
      </c>
      <c r="H18" s="3">
        <v>322</v>
      </c>
      <c r="I18" s="3">
        <v>1</v>
      </c>
      <c r="J18" s="5">
        <v>45584.460042974541</v>
      </c>
      <c r="K18" s="4" t="s">
        <v>659</v>
      </c>
      <c r="L18" s="4" t="s">
        <v>122</v>
      </c>
      <c r="M18" s="4" t="s">
        <v>122</v>
      </c>
      <c r="N18" s="4" t="s">
        <v>122</v>
      </c>
      <c r="O18" s="4" t="s">
        <v>122</v>
      </c>
      <c r="P18" s="3">
        <v>34.054400000000001</v>
      </c>
      <c r="Q18" s="3">
        <v>-118.244</v>
      </c>
      <c r="R18" s="4" t="s">
        <v>129</v>
      </c>
      <c r="S18" s="4" t="s">
        <v>124</v>
      </c>
      <c r="T18" s="4" t="s">
        <v>660</v>
      </c>
      <c r="U18" s="3">
        <v>1</v>
      </c>
      <c r="V18" s="3">
        <v>2</v>
      </c>
      <c r="W18" s="3">
        <v>2</v>
      </c>
      <c r="X18" s="3">
        <v>1</v>
      </c>
      <c r="Y18" s="3">
        <v>1</v>
      </c>
      <c r="Z18" s="3">
        <v>1</v>
      </c>
      <c r="AA18" s="3">
        <v>1</v>
      </c>
      <c r="AG18" s="3">
        <v>2</v>
      </c>
      <c r="AH18" s="3">
        <v>0</v>
      </c>
      <c r="AI18" s="4" t="s">
        <v>122</v>
      </c>
      <c r="AJ18" s="3">
        <v>8</v>
      </c>
      <c r="AK18" s="3">
        <v>8</v>
      </c>
      <c r="AL18" s="3">
        <v>7</v>
      </c>
      <c r="AM18" s="3">
        <v>8</v>
      </c>
      <c r="AN18" s="3">
        <v>8</v>
      </c>
      <c r="AO18" s="3">
        <v>2</v>
      </c>
      <c r="AP18" s="3">
        <v>3</v>
      </c>
      <c r="AQ18" s="4" t="s">
        <v>122</v>
      </c>
      <c r="AR18" s="4" t="s">
        <v>122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 t="s">
        <v>122</v>
      </c>
      <c r="BD18" s="4" t="s">
        <v>122</v>
      </c>
      <c r="BE18" s="4" t="s">
        <v>122</v>
      </c>
      <c r="BF18" s="4" t="s">
        <v>122</v>
      </c>
      <c r="BG18" s="4" t="s">
        <v>122</v>
      </c>
      <c r="BH18" s="4"/>
      <c r="BI18" s="4" t="s">
        <v>122</v>
      </c>
      <c r="BJ18" s="4" t="s">
        <v>122</v>
      </c>
      <c r="BK18" s="4" t="s">
        <v>122</v>
      </c>
      <c r="BL18" s="4" t="s">
        <v>122</v>
      </c>
      <c r="BM18" s="4" t="s">
        <v>122</v>
      </c>
      <c r="BN18" s="4" t="s">
        <v>122</v>
      </c>
      <c r="BO18" s="4"/>
      <c r="BP18" s="3">
        <v>0</v>
      </c>
      <c r="BQ18" s="4" t="s">
        <v>122</v>
      </c>
      <c r="BR18" s="4" t="s">
        <v>125</v>
      </c>
      <c r="BS18" s="4" t="s">
        <v>122</v>
      </c>
      <c r="BT18" s="4" t="s">
        <v>122</v>
      </c>
      <c r="BU18" s="4"/>
      <c r="BV18" s="4" t="s">
        <v>122</v>
      </c>
      <c r="BW18" s="4" t="s">
        <v>122</v>
      </c>
      <c r="BX18" s="4" t="s">
        <v>122</v>
      </c>
      <c r="BY18" s="4" t="s">
        <v>122</v>
      </c>
      <c r="BZ18" s="4" t="s">
        <v>122</v>
      </c>
      <c r="CA18" s="3">
        <v>1</v>
      </c>
      <c r="CD18" s="3">
        <v>4</v>
      </c>
      <c r="CE18" s="3">
        <v>1</v>
      </c>
      <c r="CF18" s="3">
        <v>1</v>
      </c>
      <c r="CG18" s="4" t="s">
        <v>122</v>
      </c>
      <c r="CH18" s="3">
        <v>4</v>
      </c>
      <c r="CI18" s="4" t="s">
        <v>122</v>
      </c>
      <c r="CJ18" s="4" t="s">
        <v>122</v>
      </c>
      <c r="CK18" s="4" t="s">
        <v>122</v>
      </c>
      <c r="CL18" s="4" t="s">
        <v>122</v>
      </c>
      <c r="CM18" s="4" t="s">
        <v>122</v>
      </c>
      <c r="CN18" s="4" t="s">
        <v>122</v>
      </c>
      <c r="CO18" s="4" t="s">
        <v>125</v>
      </c>
      <c r="CP18" s="4" t="s">
        <v>122</v>
      </c>
      <c r="CQ18" s="4" t="s">
        <v>122</v>
      </c>
      <c r="CR18" s="4" t="s">
        <v>122</v>
      </c>
      <c r="CS18" s="3">
        <v>3</v>
      </c>
      <c r="CT18" s="3">
        <v>5</v>
      </c>
      <c r="CU18" s="3">
        <v>0</v>
      </c>
      <c r="CV18">
        <v>1</v>
      </c>
      <c r="CW18" cm="1">
        <f t="array" ref="CW18">_xlfn.IFS(CU18*1=1,1,CU18*1=2,1,TRUE,0)</f>
        <v>0</v>
      </c>
      <c r="CX18" s="3" t="e">
        <f>NA()</f>
        <v>#N/A</v>
      </c>
      <c r="CY18" s="3">
        <f t="shared" si="0"/>
        <v>4</v>
      </c>
      <c r="CZ18" s="3" cm="1">
        <f t="array" ref="CZ18">_xlfn.IFS(BP18&lt;&gt;"", BP18, CV18=1,  AQ18, CV18=0,  AZ18)</f>
        <v>0</v>
      </c>
      <c r="DA18" s="3" t="e">
        <f>NA()</f>
        <v>#N/A</v>
      </c>
      <c r="DB18" s="36">
        <f t="shared" si="1"/>
        <v>4</v>
      </c>
      <c r="DC18" s="3" t="e">
        <f t="shared" si="2"/>
        <v>#N/A</v>
      </c>
      <c r="DD18" s="3">
        <f t="shared" si="3"/>
        <v>4</v>
      </c>
      <c r="DE18" s="3">
        <f t="shared" si="4"/>
        <v>0</v>
      </c>
      <c r="DF18" s="3" t="e">
        <f t="shared" si="5"/>
        <v>#N/A</v>
      </c>
      <c r="DG18" s="3" t="e">
        <f t="shared" si="6"/>
        <v>#N/A</v>
      </c>
      <c r="DI18" s="59">
        <v>202410</v>
      </c>
      <c r="DJ18" s="66">
        <f>_xlfn.STDEV.S($DB$2:$DB$98)</f>
        <v>1.8956905368977945</v>
      </c>
      <c r="DN18" s="59">
        <v>202410</v>
      </c>
      <c r="DO18" s="66">
        <f>_xlfn.STDEV.S($DD$2:$DD$98)</f>
        <v>1.9789077873735892</v>
      </c>
      <c r="DP18" s="63"/>
      <c r="DQ18" s="63"/>
      <c r="DS18" s="59">
        <v>202410</v>
      </c>
      <c r="DT18" s="66">
        <f>_xlfn.STDEV.S($DE$2:$DE$98)</f>
        <v>1.7020618686789843</v>
      </c>
      <c r="DU18" s="66"/>
      <c r="DV18" s="63"/>
    </row>
    <row r="19" spans="1:126" x14ac:dyDescent="0.4">
      <c r="A19" s="3">
        <v>202410</v>
      </c>
      <c r="B19" s="3">
        <v>111</v>
      </c>
      <c r="C19" s="5">
        <v>45584.456863425927</v>
      </c>
      <c r="D19" s="5">
        <v>45584.462152777778</v>
      </c>
      <c r="E19" s="3">
        <v>0</v>
      </c>
      <c r="F19" s="4" t="s">
        <v>664</v>
      </c>
      <c r="G19" s="3">
        <v>100</v>
      </c>
      <c r="H19" s="3">
        <v>456</v>
      </c>
      <c r="I19" s="3">
        <v>1</v>
      </c>
      <c r="J19" s="5">
        <v>45584.462166412035</v>
      </c>
      <c r="K19" s="4" t="s">
        <v>665</v>
      </c>
      <c r="L19" s="4" t="s">
        <v>122</v>
      </c>
      <c r="M19" s="4" t="s">
        <v>122</v>
      </c>
      <c r="N19" s="4" t="s">
        <v>122</v>
      </c>
      <c r="O19" s="4" t="s">
        <v>122</v>
      </c>
      <c r="P19" s="3">
        <v>36.122</v>
      </c>
      <c r="Q19" s="3">
        <v>-115.086</v>
      </c>
      <c r="R19" s="4" t="s">
        <v>129</v>
      </c>
      <c r="S19" s="4" t="s">
        <v>124</v>
      </c>
      <c r="T19" s="4" t="s">
        <v>666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G19" s="3">
        <v>4</v>
      </c>
      <c r="AH19" s="3">
        <v>0</v>
      </c>
      <c r="AI19" s="4" t="s">
        <v>122</v>
      </c>
      <c r="AJ19" s="3">
        <v>3</v>
      </c>
      <c r="AK19" s="3">
        <v>7</v>
      </c>
      <c r="AL19" s="3">
        <v>9</v>
      </c>
      <c r="AM19" s="3">
        <v>3</v>
      </c>
      <c r="AN19" s="3">
        <v>6</v>
      </c>
      <c r="AO19" s="3">
        <v>4</v>
      </c>
      <c r="AP19" s="3">
        <v>4</v>
      </c>
      <c r="AQ19" s="3">
        <v>0</v>
      </c>
      <c r="AR19" s="4" t="s">
        <v>122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">
        <v>0</v>
      </c>
      <c r="BD19" s="4" t="s">
        <v>122</v>
      </c>
      <c r="BE19" s="4" t="s">
        <v>125</v>
      </c>
      <c r="BF19" s="4" t="s">
        <v>122</v>
      </c>
      <c r="BG19" s="4" t="s">
        <v>125</v>
      </c>
      <c r="BH19" s="4"/>
      <c r="BI19" s="4" t="s">
        <v>125</v>
      </c>
      <c r="BJ19" s="4" t="s">
        <v>125</v>
      </c>
      <c r="BK19" s="4" t="s">
        <v>122</v>
      </c>
      <c r="BL19" s="4" t="s">
        <v>125</v>
      </c>
      <c r="BM19" s="4" t="s">
        <v>122</v>
      </c>
      <c r="BN19" s="3">
        <v>1</v>
      </c>
      <c r="BO19" s="4"/>
      <c r="BP19" s="4" t="s">
        <v>122</v>
      </c>
      <c r="BQ19" s="4" t="s">
        <v>122</v>
      </c>
      <c r="BR19" s="4" t="s">
        <v>122</v>
      </c>
      <c r="BS19" s="4" t="s">
        <v>122</v>
      </c>
      <c r="BT19" s="4" t="s">
        <v>122</v>
      </c>
      <c r="BU19" s="4"/>
      <c r="BV19" s="4" t="s">
        <v>122</v>
      </c>
      <c r="BW19" s="4" t="s">
        <v>122</v>
      </c>
      <c r="BX19" s="4" t="s">
        <v>122</v>
      </c>
      <c r="BY19" s="4" t="s">
        <v>122</v>
      </c>
      <c r="BZ19" s="4" t="s">
        <v>122</v>
      </c>
      <c r="CA19" s="4" t="s">
        <v>122</v>
      </c>
      <c r="CD19" s="4" t="s">
        <v>122</v>
      </c>
      <c r="CE19" s="4" t="s">
        <v>122</v>
      </c>
      <c r="CF19" s="3">
        <v>1</v>
      </c>
      <c r="CG19" s="4" t="s">
        <v>122</v>
      </c>
      <c r="CH19" s="3">
        <v>3</v>
      </c>
      <c r="CI19" s="4" t="s">
        <v>122</v>
      </c>
      <c r="CJ19" s="4" t="s">
        <v>122</v>
      </c>
      <c r="CK19" s="4" t="s">
        <v>125</v>
      </c>
      <c r="CL19" s="4" t="s">
        <v>122</v>
      </c>
      <c r="CM19" s="4" t="s">
        <v>122</v>
      </c>
      <c r="CN19" s="4" t="s">
        <v>122</v>
      </c>
      <c r="CO19" s="4" t="s">
        <v>125</v>
      </c>
      <c r="CP19" s="4" t="s">
        <v>122</v>
      </c>
      <c r="CQ19" s="4" t="s">
        <v>122</v>
      </c>
      <c r="CR19" s="4" t="s">
        <v>122</v>
      </c>
      <c r="CS19" s="3">
        <v>3</v>
      </c>
      <c r="CT19" s="3">
        <v>5</v>
      </c>
      <c r="CU19" s="3">
        <v>1</v>
      </c>
      <c r="CV19">
        <v>1</v>
      </c>
      <c r="CW19" cm="1">
        <f t="array" ref="CW19">_xlfn.IFS(CU19*1=1,1,CU19*1=2,1,TRUE,0)</f>
        <v>1</v>
      </c>
      <c r="CX19" s="3" t="e">
        <f>NA()</f>
        <v>#N/A</v>
      </c>
      <c r="CY19" s="3">
        <f t="shared" si="0"/>
        <v>0</v>
      </c>
      <c r="CZ19" s="3" cm="1">
        <f t="array" ref="CZ19">_xlfn.IFS(BP19&lt;&gt;"", BP19, CV19=1,  AQ19, CV19=0,  AZ19)</f>
        <v>0</v>
      </c>
      <c r="DA19" s="3" t="e">
        <f>NA()</f>
        <v>#N/A</v>
      </c>
      <c r="DB19" s="36">
        <f t="shared" si="1"/>
        <v>0</v>
      </c>
      <c r="DC19" s="3" t="e">
        <f t="shared" si="2"/>
        <v>#N/A</v>
      </c>
      <c r="DD19" s="3">
        <f t="shared" si="3"/>
        <v>0</v>
      </c>
      <c r="DE19" s="3">
        <f t="shared" si="4"/>
        <v>0</v>
      </c>
      <c r="DF19" s="3" t="e">
        <f t="shared" si="5"/>
        <v>#N/A</v>
      </c>
      <c r="DG19" s="3" t="e">
        <f t="shared" si="6"/>
        <v>#N/A</v>
      </c>
      <c r="DI19" s="59">
        <v>202503</v>
      </c>
      <c r="DJ19" s="66">
        <f>_xlfn.STDEV.S($DB$99:$DB$206)</f>
        <v>2.0083979104848066</v>
      </c>
      <c r="DK19" s="66">
        <f>_xlfn.STDEV.S($DC$99:$DC$206)</f>
        <v>1.9525125597419741</v>
      </c>
      <c r="DL19" s="66">
        <f>_xlfn.STDEV.S($DB$99:$DC$206)</f>
        <v>1.9782190373824098</v>
      </c>
      <c r="DN19" s="59">
        <v>202503</v>
      </c>
      <c r="DO19" s="66">
        <f>_xlfn.STDEV.S($DD$99:$DD$206)</f>
        <v>1.8259018170435304</v>
      </c>
      <c r="DP19" s="66">
        <f>_xlfn.STDEV.S($DF$99:$DF$206)</f>
        <v>1.9488971417773968</v>
      </c>
      <c r="DQ19" s="66"/>
      <c r="DS19" s="59">
        <v>202503</v>
      </c>
      <c r="DT19" s="66">
        <f>_xlfn.STDEV.S($DE$99:$DE$206)</f>
        <v>1.6472566336823078</v>
      </c>
      <c r="DU19" s="66">
        <f>_xlfn.STDEV.S($DG$99:$DG$206)</f>
        <v>1.7044712949452945</v>
      </c>
      <c r="DV19" s="66"/>
    </row>
    <row r="20" spans="1:126" x14ac:dyDescent="0.4">
      <c r="A20" s="3">
        <v>202410</v>
      </c>
      <c r="B20" s="3">
        <v>111</v>
      </c>
      <c r="C20" s="5">
        <v>45584.459768518522</v>
      </c>
      <c r="D20" s="5">
        <v>45584.461770833332</v>
      </c>
      <c r="E20" s="3">
        <v>0</v>
      </c>
      <c r="F20" s="4" t="s">
        <v>661</v>
      </c>
      <c r="G20" s="3">
        <v>100</v>
      </c>
      <c r="H20" s="3">
        <v>172</v>
      </c>
      <c r="I20" s="3">
        <v>1</v>
      </c>
      <c r="J20" s="5">
        <v>45584.461784293984</v>
      </c>
      <c r="K20" s="4" t="s">
        <v>662</v>
      </c>
      <c r="L20" s="4" t="s">
        <v>122</v>
      </c>
      <c r="M20" s="4" t="s">
        <v>122</v>
      </c>
      <c r="N20" s="4" t="s">
        <v>122</v>
      </c>
      <c r="O20" s="4" t="s">
        <v>122</v>
      </c>
      <c r="P20" s="3">
        <v>32.250300000000003</v>
      </c>
      <c r="Q20" s="3">
        <v>-110.94499999999999</v>
      </c>
      <c r="R20" s="4" t="s">
        <v>129</v>
      </c>
      <c r="S20" s="4" t="s">
        <v>124</v>
      </c>
      <c r="T20" s="4" t="s">
        <v>663</v>
      </c>
      <c r="U20" s="3">
        <v>1</v>
      </c>
      <c r="V20" s="3">
        <v>3</v>
      </c>
      <c r="W20" s="3">
        <v>3</v>
      </c>
      <c r="X20" s="3">
        <v>1</v>
      </c>
      <c r="Y20" s="3">
        <v>2</v>
      </c>
      <c r="Z20" s="3">
        <v>2</v>
      </c>
      <c r="AA20" s="3">
        <v>1</v>
      </c>
      <c r="AG20" s="3">
        <v>3</v>
      </c>
      <c r="AH20" s="3">
        <v>4</v>
      </c>
      <c r="AI20" s="3">
        <v>3</v>
      </c>
      <c r="AJ20" s="3">
        <v>5</v>
      </c>
      <c r="AK20" s="3">
        <v>8</v>
      </c>
      <c r="AL20" s="3">
        <v>8</v>
      </c>
      <c r="AM20" s="3">
        <v>5</v>
      </c>
      <c r="AN20" s="3">
        <v>4</v>
      </c>
      <c r="AO20" s="3">
        <v>2</v>
      </c>
      <c r="AP20" s="3">
        <v>4</v>
      </c>
      <c r="AQ20" s="3">
        <v>4</v>
      </c>
      <c r="AR20" s="3">
        <v>3</v>
      </c>
      <c r="BC20" s="3">
        <v>5</v>
      </c>
      <c r="BD20" s="3">
        <v>2</v>
      </c>
      <c r="BE20" s="4" t="s">
        <v>122</v>
      </c>
      <c r="BF20" s="4" t="s">
        <v>125</v>
      </c>
      <c r="BG20" s="4" t="s">
        <v>122</v>
      </c>
      <c r="BH20" s="4"/>
      <c r="BI20" s="4" t="s">
        <v>122</v>
      </c>
      <c r="BJ20" s="4" t="s">
        <v>122</v>
      </c>
      <c r="BK20" s="4" t="s">
        <v>122</v>
      </c>
      <c r="BL20" s="4" t="s">
        <v>125</v>
      </c>
      <c r="BM20" s="4" t="s">
        <v>122</v>
      </c>
      <c r="BN20" s="3">
        <v>2</v>
      </c>
      <c r="BP20" s="4" t="s">
        <v>122</v>
      </c>
      <c r="BQ20" s="4" t="s">
        <v>122</v>
      </c>
      <c r="BR20" s="4" t="s">
        <v>122</v>
      </c>
      <c r="BS20" s="4" t="s">
        <v>122</v>
      </c>
      <c r="BT20" s="4" t="s">
        <v>122</v>
      </c>
      <c r="BU20" s="4"/>
      <c r="BV20" s="4" t="s">
        <v>122</v>
      </c>
      <c r="BW20" s="4" t="s">
        <v>122</v>
      </c>
      <c r="BX20" s="4" t="s">
        <v>122</v>
      </c>
      <c r="BY20" s="4" t="s">
        <v>122</v>
      </c>
      <c r="BZ20" s="4" t="s">
        <v>122</v>
      </c>
      <c r="CA20" s="4" t="s">
        <v>122</v>
      </c>
      <c r="CD20" s="4" t="s">
        <v>122</v>
      </c>
      <c r="CE20" s="4" t="s">
        <v>122</v>
      </c>
      <c r="CF20" s="3">
        <v>1</v>
      </c>
      <c r="CG20" s="4" t="s">
        <v>122</v>
      </c>
      <c r="CH20" s="3">
        <v>2</v>
      </c>
      <c r="CI20" s="4" t="s">
        <v>122</v>
      </c>
      <c r="CJ20" s="4" t="s">
        <v>122</v>
      </c>
      <c r="CK20" s="4" t="s">
        <v>122</v>
      </c>
      <c r="CL20" s="4" t="s">
        <v>122</v>
      </c>
      <c r="CM20" s="4" t="s">
        <v>122</v>
      </c>
      <c r="CN20" s="4" t="s">
        <v>122</v>
      </c>
      <c r="CO20" s="4" t="s">
        <v>125</v>
      </c>
      <c r="CP20" s="4" t="s">
        <v>122</v>
      </c>
      <c r="CQ20" s="4" t="s">
        <v>122</v>
      </c>
      <c r="CR20" s="4" t="s">
        <v>122</v>
      </c>
      <c r="CS20" s="3">
        <v>3</v>
      </c>
      <c r="CT20" s="3">
        <v>1</v>
      </c>
      <c r="CU20" s="3">
        <v>1</v>
      </c>
      <c r="CV20">
        <v>1</v>
      </c>
      <c r="CW20" cm="1">
        <f t="array" ref="CW20">_xlfn.IFS(CU20*1=1,1,CU20*1=2,1,TRUE,0)</f>
        <v>1</v>
      </c>
      <c r="CX20" s="3" t="e">
        <f>NA()</f>
        <v>#N/A</v>
      </c>
      <c r="CY20" s="3">
        <f t="shared" si="0"/>
        <v>5</v>
      </c>
      <c r="CZ20" s="3" cm="1">
        <f t="array" ref="CZ20">_xlfn.IFS(BP20&lt;&gt;"", BP20, CV20=1,  AQ20, CV20=0,  AZ20)</f>
        <v>4</v>
      </c>
      <c r="DA20" s="3" t="e">
        <f>NA()</f>
        <v>#N/A</v>
      </c>
      <c r="DB20" s="36">
        <f t="shared" si="1"/>
        <v>1</v>
      </c>
      <c r="DC20" s="3" t="e">
        <f t="shared" si="2"/>
        <v>#N/A</v>
      </c>
      <c r="DD20" s="3">
        <f t="shared" si="3"/>
        <v>0</v>
      </c>
      <c r="DE20" s="3">
        <f t="shared" si="4"/>
        <v>1</v>
      </c>
      <c r="DF20" s="3" t="e">
        <f t="shared" si="5"/>
        <v>#N/A</v>
      </c>
      <c r="DG20" s="3" t="e">
        <f t="shared" si="6"/>
        <v>#N/A</v>
      </c>
      <c r="DI20" s="59">
        <v>202511</v>
      </c>
      <c r="DJ20" s="66">
        <f>_xlfn.STDEV.S($DB$207:$DB$340)</f>
        <v>2.3304601814013663</v>
      </c>
      <c r="DK20" s="66">
        <f>_xlfn.STDEV.S($DC$207:$DC$340)</f>
        <v>2.364754891129127</v>
      </c>
      <c r="DL20" s="66">
        <f>_xlfn.STDEV.S($DB$207:$DC$340)</f>
        <v>2.3437459815098007</v>
      </c>
      <c r="DN20" s="59">
        <v>202511</v>
      </c>
      <c r="DO20" s="66">
        <f>_xlfn.STDEV.S($DD$207:$DD$340)</f>
        <v>2.1098212075906106</v>
      </c>
      <c r="DP20" s="66">
        <f>_xlfn.STDEV.S($DF$207:$DF$340)</f>
        <v>2.1516833714418317</v>
      </c>
      <c r="DQ20" s="66"/>
      <c r="DS20" s="59">
        <v>202511</v>
      </c>
      <c r="DT20" s="66">
        <f>_xlfn.STDEV.S($DE$207:$DE$340)</f>
        <v>2.3292228144927933</v>
      </c>
      <c r="DU20" s="66">
        <f>_xlfn.STDEV.S($DG$207:$DG$340)</f>
        <v>2.3323723180318487</v>
      </c>
      <c r="DV20" s="66"/>
    </row>
    <row r="21" spans="1:126" x14ac:dyDescent="0.4">
      <c r="A21" s="3">
        <v>202410</v>
      </c>
      <c r="B21" s="3">
        <v>111</v>
      </c>
      <c r="C21" s="5">
        <v>45584.461631944447</v>
      </c>
      <c r="D21" s="5">
        <v>45584.464849537035</v>
      </c>
      <c r="E21" s="3">
        <v>0</v>
      </c>
      <c r="F21" s="4" t="s">
        <v>667</v>
      </c>
      <c r="G21" s="3">
        <v>100</v>
      </c>
      <c r="H21" s="3">
        <v>277</v>
      </c>
      <c r="I21" s="3">
        <v>1</v>
      </c>
      <c r="J21" s="5">
        <v>45584.464860347223</v>
      </c>
      <c r="K21" s="4" t="s">
        <v>668</v>
      </c>
      <c r="L21" s="4" t="s">
        <v>122</v>
      </c>
      <c r="M21" s="4" t="s">
        <v>122</v>
      </c>
      <c r="N21" s="4" t="s">
        <v>122</v>
      </c>
      <c r="O21" s="4" t="s">
        <v>122</v>
      </c>
      <c r="P21" s="3">
        <v>36.178800000000003</v>
      </c>
      <c r="Q21" s="3">
        <v>-115.17149999999999</v>
      </c>
      <c r="R21" s="4" t="s">
        <v>129</v>
      </c>
      <c r="S21" s="4" t="s">
        <v>124</v>
      </c>
      <c r="T21" s="4" t="s">
        <v>669</v>
      </c>
      <c r="U21" s="3">
        <v>1</v>
      </c>
      <c r="V21" s="3">
        <v>2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G21" s="3">
        <v>4</v>
      </c>
      <c r="AH21" s="3">
        <v>0</v>
      </c>
      <c r="AI21" s="4" t="s">
        <v>122</v>
      </c>
      <c r="AJ21" s="3">
        <v>9</v>
      </c>
      <c r="AK21" s="3">
        <v>8</v>
      </c>
      <c r="AL21" s="3">
        <v>9</v>
      </c>
      <c r="AM21" s="3">
        <v>8</v>
      </c>
      <c r="AN21" s="3">
        <v>8</v>
      </c>
      <c r="AO21" s="3">
        <v>2</v>
      </c>
      <c r="AP21" s="3">
        <v>3</v>
      </c>
      <c r="AQ21" s="4" t="s">
        <v>122</v>
      </c>
      <c r="AR21" s="4" t="s">
        <v>122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 t="s">
        <v>122</v>
      </c>
      <c r="BD21" s="4" t="s">
        <v>122</v>
      </c>
      <c r="BE21" s="4" t="s">
        <v>122</v>
      </c>
      <c r="BF21" s="4" t="s">
        <v>122</v>
      </c>
      <c r="BG21" s="4" t="s">
        <v>122</v>
      </c>
      <c r="BH21" s="4"/>
      <c r="BI21" s="4" t="s">
        <v>122</v>
      </c>
      <c r="BJ21" s="4" t="s">
        <v>122</v>
      </c>
      <c r="BK21" s="4" t="s">
        <v>122</v>
      </c>
      <c r="BL21" s="4" t="s">
        <v>122</v>
      </c>
      <c r="BM21" s="4" t="s">
        <v>122</v>
      </c>
      <c r="BN21" s="4" t="s">
        <v>122</v>
      </c>
      <c r="BO21" s="4"/>
      <c r="BP21" s="3">
        <v>0</v>
      </c>
      <c r="BQ21" s="4" t="s">
        <v>122</v>
      </c>
      <c r="BR21" s="4" t="s">
        <v>125</v>
      </c>
      <c r="BS21" s="4" t="s">
        <v>122</v>
      </c>
      <c r="BT21" s="4" t="s">
        <v>125</v>
      </c>
      <c r="BU21" s="4"/>
      <c r="BV21" s="4" t="s">
        <v>122</v>
      </c>
      <c r="BW21" s="4" t="s">
        <v>122</v>
      </c>
      <c r="BX21" s="4" t="s">
        <v>122</v>
      </c>
      <c r="BY21" s="4" t="s">
        <v>122</v>
      </c>
      <c r="BZ21" s="4" t="s">
        <v>122</v>
      </c>
      <c r="CA21" s="3">
        <v>3</v>
      </c>
      <c r="CD21" s="3">
        <v>5</v>
      </c>
      <c r="CE21" s="3">
        <v>2</v>
      </c>
      <c r="CF21" s="3">
        <v>1</v>
      </c>
      <c r="CG21" s="4" t="s">
        <v>122</v>
      </c>
      <c r="CH21" s="3">
        <v>5</v>
      </c>
      <c r="CI21" s="4" t="s">
        <v>122</v>
      </c>
      <c r="CJ21" s="4" t="s">
        <v>122</v>
      </c>
      <c r="CK21" s="4" t="s">
        <v>122</v>
      </c>
      <c r="CL21" s="4" t="s">
        <v>122</v>
      </c>
      <c r="CM21" s="4" t="s">
        <v>122</v>
      </c>
      <c r="CN21" s="4" t="s">
        <v>122</v>
      </c>
      <c r="CO21" s="4" t="s">
        <v>125</v>
      </c>
      <c r="CP21" s="4" t="s">
        <v>122</v>
      </c>
      <c r="CQ21" s="4" t="s">
        <v>122</v>
      </c>
      <c r="CR21" s="4" t="s">
        <v>122</v>
      </c>
      <c r="CS21" s="3">
        <v>5</v>
      </c>
      <c r="CT21" s="3">
        <v>6</v>
      </c>
      <c r="CU21" s="3">
        <v>0</v>
      </c>
      <c r="CV21">
        <v>1</v>
      </c>
      <c r="CW21" cm="1">
        <f t="array" ref="CW21">_xlfn.IFS(CU21*1=1,1,CU21*1=2,1,TRUE,0)</f>
        <v>0</v>
      </c>
      <c r="CX21" s="3" t="e">
        <f>NA()</f>
        <v>#N/A</v>
      </c>
      <c r="CY21" s="3">
        <f t="shared" si="0"/>
        <v>5</v>
      </c>
      <c r="CZ21" s="3" cm="1">
        <f t="array" ref="CZ21">_xlfn.IFS(BP21&lt;&gt;"", BP21, CV21=1,  AQ21, CV21=0,  AZ21)</f>
        <v>0</v>
      </c>
      <c r="DA21" s="3" t="e">
        <f>NA()</f>
        <v>#N/A</v>
      </c>
      <c r="DB21" s="36">
        <f t="shared" si="1"/>
        <v>5</v>
      </c>
      <c r="DC21" s="3" t="e">
        <f t="shared" si="2"/>
        <v>#N/A</v>
      </c>
      <c r="DD21" s="3">
        <f t="shared" si="3"/>
        <v>5</v>
      </c>
      <c r="DE21" s="3">
        <f t="shared" si="4"/>
        <v>0</v>
      </c>
      <c r="DF21" s="3" t="e">
        <f t="shared" si="5"/>
        <v>#N/A</v>
      </c>
      <c r="DG21" s="3" t="e">
        <f t="shared" si="6"/>
        <v>#N/A</v>
      </c>
      <c r="DI21" s="62" t="s">
        <v>954</v>
      </c>
      <c r="DJ21" s="67">
        <f>_xlfn.STDEV.S($DB$2:$DB$340)</f>
        <v>2.1353753806025386</v>
      </c>
      <c r="DK21" s="67">
        <f>_xlfn.STDEV.S($DC$99:$DC$340)</f>
        <v>2.1849579272045756</v>
      </c>
      <c r="DL21" s="67">
        <f>_xlfn.STDEV.S($DB$2:$DB$98, $DB$99:$DC$340)</f>
        <v>2.1618446289223949</v>
      </c>
      <c r="DN21" s="62" t="s">
        <v>954</v>
      </c>
      <c r="DO21" s="67">
        <f>_xlfn.STDEV.S($DD$2:$DD$340)</f>
        <v>1.9957019061823971</v>
      </c>
      <c r="DP21" s="67">
        <f>_xlfn.STDEV.S($DF$99:$DF$340)</f>
        <v>2.0607365335059318</v>
      </c>
      <c r="DQ21" s="67"/>
      <c r="DS21" s="62" t="s">
        <v>954</v>
      </c>
      <c r="DT21" s="67">
        <f>_xlfn.STDEV.S($DE$2:$DE$340)</f>
        <v>1.9730091778390142</v>
      </c>
      <c r="DU21" s="67">
        <f>_xlfn.STDEV.S($DG$99:$DG$340)</f>
        <v>2.0646805316562213</v>
      </c>
      <c r="DV21" s="67"/>
    </row>
    <row r="22" spans="1:126" x14ac:dyDescent="0.4">
      <c r="A22" s="3">
        <v>202410</v>
      </c>
      <c r="B22" s="3">
        <v>111</v>
      </c>
      <c r="C22" s="5">
        <v>45584.464004629626</v>
      </c>
      <c r="D22" s="5">
        <v>45584.465729166666</v>
      </c>
      <c r="E22" s="3">
        <v>0</v>
      </c>
      <c r="F22" s="4" t="s">
        <v>670</v>
      </c>
      <c r="G22" s="3">
        <v>100</v>
      </c>
      <c r="H22" s="3">
        <v>148</v>
      </c>
      <c r="I22" s="3">
        <v>1</v>
      </c>
      <c r="J22" s="5">
        <v>45584.465742187502</v>
      </c>
      <c r="K22" s="4" t="s">
        <v>671</v>
      </c>
      <c r="L22" s="4" t="s">
        <v>122</v>
      </c>
      <c r="M22" s="4" t="s">
        <v>122</v>
      </c>
      <c r="N22" s="4" t="s">
        <v>122</v>
      </c>
      <c r="O22" s="4" t="s">
        <v>122</v>
      </c>
      <c r="P22" s="3">
        <v>33.465600000000002</v>
      </c>
      <c r="Q22" s="3">
        <v>-111.9956</v>
      </c>
      <c r="R22" s="4" t="s">
        <v>129</v>
      </c>
      <c r="S22" s="4" t="s">
        <v>124</v>
      </c>
      <c r="T22" s="4" t="s">
        <v>672</v>
      </c>
      <c r="U22" s="3">
        <v>1</v>
      </c>
      <c r="V22" s="3">
        <v>1</v>
      </c>
      <c r="W22" s="3">
        <v>5</v>
      </c>
      <c r="X22" s="3">
        <v>1</v>
      </c>
      <c r="Y22" s="3">
        <v>1</v>
      </c>
      <c r="Z22" s="3">
        <v>1</v>
      </c>
      <c r="AA22" s="3">
        <v>1</v>
      </c>
      <c r="AG22" s="3">
        <v>2</v>
      </c>
      <c r="AH22" s="3">
        <v>0</v>
      </c>
      <c r="AI22" s="4" t="s">
        <v>122</v>
      </c>
      <c r="AJ22" s="3">
        <v>7</v>
      </c>
      <c r="AK22" s="3">
        <v>8</v>
      </c>
      <c r="AL22" s="3">
        <v>8</v>
      </c>
      <c r="AM22" s="3">
        <v>7</v>
      </c>
      <c r="AN22" s="3">
        <v>6</v>
      </c>
      <c r="AO22" s="3">
        <v>2</v>
      </c>
      <c r="AP22" s="3">
        <v>3</v>
      </c>
      <c r="AQ22" s="4" t="s">
        <v>122</v>
      </c>
      <c r="AR22" s="4" t="s">
        <v>122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 t="s">
        <v>122</v>
      </c>
      <c r="BD22" s="4" t="s">
        <v>122</v>
      </c>
      <c r="BE22" s="4" t="s">
        <v>122</v>
      </c>
      <c r="BF22" s="4" t="s">
        <v>122</v>
      </c>
      <c r="BG22" s="4" t="s">
        <v>122</v>
      </c>
      <c r="BH22" s="4"/>
      <c r="BI22" s="4" t="s">
        <v>122</v>
      </c>
      <c r="BJ22" s="4" t="s">
        <v>122</v>
      </c>
      <c r="BK22" s="4" t="s">
        <v>122</v>
      </c>
      <c r="BL22" s="4" t="s">
        <v>122</v>
      </c>
      <c r="BM22" s="4" t="s">
        <v>122</v>
      </c>
      <c r="BN22" s="4" t="s">
        <v>122</v>
      </c>
      <c r="BO22" s="4"/>
      <c r="BP22" s="3">
        <v>0</v>
      </c>
      <c r="BQ22" s="4" t="s">
        <v>122</v>
      </c>
      <c r="BR22" s="4" t="s">
        <v>122</v>
      </c>
      <c r="BS22" s="4" t="s">
        <v>122</v>
      </c>
      <c r="BT22" s="4" t="s">
        <v>122</v>
      </c>
      <c r="BU22" s="4"/>
      <c r="BV22" s="4" t="s">
        <v>122</v>
      </c>
      <c r="BW22" s="4" t="s">
        <v>122</v>
      </c>
      <c r="BX22" s="4" t="s">
        <v>122</v>
      </c>
      <c r="BY22" s="4" t="s">
        <v>125</v>
      </c>
      <c r="BZ22" s="4" t="s">
        <v>122</v>
      </c>
      <c r="CA22" s="3">
        <v>7</v>
      </c>
      <c r="CD22" s="3">
        <v>0</v>
      </c>
      <c r="CE22" s="4" t="s">
        <v>122</v>
      </c>
      <c r="CF22" s="3">
        <v>1</v>
      </c>
      <c r="CG22" s="4" t="s">
        <v>122</v>
      </c>
      <c r="CH22" s="3">
        <v>2</v>
      </c>
      <c r="CI22" s="4" t="s">
        <v>122</v>
      </c>
      <c r="CJ22" s="4" t="s">
        <v>122</v>
      </c>
      <c r="CK22" s="4" t="s">
        <v>122</v>
      </c>
      <c r="CL22" s="4" t="s">
        <v>122</v>
      </c>
      <c r="CM22" s="4" t="s">
        <v>122</v>
      </c>
      <c r="CN22" s="4" t="s">
        <v>122</v>
      </c>
      <c r="CO22" s="4" t="s">
        <v>125</v>
      </c>
      <c r="CP22" s="4" t="s">
        <v>122</v>
      </c>
      <c r="CQ22" s="4" t="s">
        <v>122</v>
      </c>
      <c r="CR22" s="4" t="s">
        <v>122</v>
      </c>
      <c r="CS22" s="3">
        <v>3</v>
      </c>
      <c r="CT22" s="3">
        <v>1</v>
      </c>
      <c r="CU22" s="3">
        <v>0</v>
      </c>
      <c r="CV22">
        <v>1</v>
      </c>
      <c r="CW22" cm="1">
        <f t="array" ref="CW22">_xlfn.IFS(CU22*1=1,1,CU22*1=2,1,TRUE,0)</f>
        <v>0</v>
      </c>
      <c r="CX22" s="3" t="e">
        <f>NA()</f>
        <v>#N/A</v>
      </c>
      <c r="CY22" s="3">
        <f t="shared" si="0"/>
        <v>0</v>
      </c>
      <c r="CZ22" s="3" cm="1">
        <f t="array" ref="CZ22">_xlfn.IFS(BP22&lt;&gt;"", BP22, CV22=1,  AQ22, CV22=0,  AZ22)</f>
        <v>0</v>
      </c>
      <c r="DA22" s="3" t="e">
        <f>NA()</f>
        <v>#N/A</v>
      </c>
      <c r="DB22" s="36">
        <f t="shared" si="1"/>
        <v>0</v>
      </c>
      <c r="DC22" s="3" t="e">
        <f t="shared" si="2"/>
        <v>#N/A</v>
      </c>
      <c r="DD22" s="3">
        <f t="shared" si="3"/>
        <v>0</v>
      </c>
      <c r="DE22" s="3">
        <f t="shared" si="4"/>
        <v>0</v>
      </c>
      <c r="DF22" s="3" t="e">
        <f t="shared" si="5"/>
        <v>#N/A</v>
      </c>
      <c r="DG22" s="3" t="e">
        <f t="shared" si="6"/>
        <v>#N/A</v>
      </c>
    </row>
    <row r="23" spans="1:126" x14ac:dyDescent="0.4">
      <c r="A23" s="3">
        <v>202410</v>
      </c>
      <c r="B23" s="3">
        <v>111</v>
      </c>
      <c r="C23" s="5">
        <v>45584.465254629627</v>
      </c>
      <c r="D23" s="5">
        <v>45584.468530092592</v>
      </c>
      <c r="E23" s="3">
        <v>0</v>
      </c>
      <c r="F23" s="4" t="s">
        <v>676</v>
      </c>
      <c r="G23" s="3">
        <v>100</v>
      </c>
      <c r="H23" s="3">
        <v>282</v>
      </c>
      <c r="I23" s="3">
        <v>1</v>
      </c>
      <c r="J23" s="5">
        <v>45584.468542303242</v>
      </c>
      <c r="K23" s="4" t="s">
        <v>677</v>
      </c>
      <c r="L23" s="4" t="s">
        <v>122</v>
      </c>
      <c r="M23" s="4" t="s">
        <v>122</v>
      </c>
      <c r="N23" s="4" t="s">
        <v>122</v>
      </c>
      <c r="O23" s="4" t="s">
        <v>122</v>
      </c>
      <c r="P23" s="3">
        <v>35.078099999999999</v>
      </c>
      <c r="Q23" s="3">
        <v>-106.6583</v>
      </c>
      <c r="R23" s="4" t="s">
        <v>129</v>
      </c>
      <c r="S23" s="4" t="s">
        <v>124</v>
      </c>
      <c r="T23" s="4" t="s">
        <v>678</v>
      </c>
      <c r="U23" s="3">
        <v>1</v>
      </c>
      <c r="V23" s="3">
        <v>3</v>
      </c>
      <c r="W23" s="3">
        <v>5</v>
      </c>
      <c r="X23" s="3">
        <v>3</v>
      </c>
      <c r="Y23" s="3">
        <v>2</v>
      </c>
      <c r="Z23" s="3">
        <v>1</v>
      </c>
      <c r="AA23" s="3">
        <v>3</v>
      </c>
      <c r="AG23" s="3">
        <v>3</v>
      </c>
      <c r="AH23" s="3">
        <v>6</v>
      </c>
      <c r="AI23" s="3">
        <v>1</v>
      </c>
      <c r="AJ23" s="3">
        <v>6</v>
      </c>
      <c r="AK23" s="3">
        <v>6</v>
      </c>
      <c r="AL23" s="3">
        <v>6</v>
      </c>
      <c r="AM23" s="3">
        <v>5</v>
      </c>
      <c r="AN23" s="3">
        <v>7</v>
      </c>
      <c r="AO23" s="3">
        <v>3</v>
      </c>
      <c r="AP23" s="3">
        <v>3</v>
      </c>
      <c r="AQ23" s="3">
        <v>6</v>
      </c>
      <c r="AR23" s="3">
        <v>1</v>
      </c>
      <c r="BC23" s="3">
        <v>6</v>
      </c>
      <c r="BD23" s="3">
        <v>2</v>
      </c>
      <c r="BE23" s="4" t="s">
        <v>125</v>
      </c>
      <c r="BF23" s="4" t="s">
        <v>122</v>
      </c>
      <c r="BG23" s="4" t="s">
        <v>122</v>
      </c>
      <c r="BH23" s="4"/>
      <c r="BI23" s="4" t="s">
        <v>122</v>
      </c>
      <c r="BJ23" s="4" t="s">
        <v>122</v>
      </c>
      <c r="BK23" s="4" t="s">
        <v>122</v>
      </c>
      <c r="BL23" s="4" t="s">
        <v>122</v>
      </c>
      <c r="BM23" s="4" t="s">
        <v>122</v>
      </c>
      <c r="BN23" s="3">
        <v>1</v>
      </c>
      <c r="BP23" s="4" t="s">
        <v>122</v>
      </c>
      <c r="BQ23" s="4" t="s">
        <v>122</v>
      </c>
      <c r="BR23" s="4" t="s">
        <v>122</v>
      </c>
      <c r="BS23" s="4" t="s">
        <v>122</v>
      </c>
      <c r="BT23" s="4" t="s">
        <v>122</v>
      </c>
      <c r="BU23" s="4"/>
      <c r="BV23" s="4" t="s">
        <v>122</v>
      </c>
      <c r="BW23" s="4" t="s">
        <v>122</v>
      </c>
      <c r="BX23" s="4" t="s">
        <v>122</v>
      </c>
      <c r="BY23" s="4" t="s">
        <v>122</v>
      </c>
      <c r="BZ23" s="4" t="s">
        <v>122</v>
      </c>
      <c r="CA23" s="4" t="s">
        <v>122</v>
      </c>
      <c r="CD23" s="4" t="s">
        <v>122</v>
      </c>
      <c r="CE23" s="4" t="s">
        <v>122</v>
      </c>
      <c r="CF23" s="3">
        <v>1</v>
      </c>
      <c r="CG23" s="4" t="s">
        <v>122</v>
      </c>
      <c r="CH23" s="3">
        <v>4</v>
      </c>
      <c r="CI23" s="4" t="s">
        <v>122</v>
      </c>
      <c r="CJ23" s="4" t="s">
        <v>122</v>
      </c>
      <c r="CK23" s="4" t="s">
        <v>122</v>
      </c>
      <c r="CL23" s="4" t="s">
        <v>122</v>
      </c>
      <c r="CM23" s="4" t="s">
        <v>122</v>
      </c>
      <c r="CN23" s="4" t="s">
        <v>122</v>
      </c>
      <c r="CO23" s="4" t="s">
        <v>125</v>
      </c>
      <c r="CP23" s="4" t="s">
        <v>122</v>
      </c>
      <c r="CQ23" s="4" t="s">
        <v>122</v>
      </c>
      <c r="CR23" s="4" t="s">
        <v>122</v>
      </c>
      <c r="CS23" s="3">
        <v>5</v>
      </c>
      <c r="CT23" s="3">
        <v>6</v>
      </c>
      <c r="CU23" s="3">
        <v>1</v>
      </c>
      <c r="CV23">
        <v>1</v>
      </c>
      <c r="CW23" cm="1">
        <f t="array" ref="CW23">_xlfn.IFS(CU23*1=1,1,CU23*1=2,1,TRUE,0)</f>
        <v>1</v>
      </c>
      <c r="CX23" s="3" t="e">
        <f>NA()</f>
        <v>#N/A</v>
      </c>
      <c r="CY23" s="3">
        <f t="shared" si="0"/>
        <v>6</v>
      </c>
      <c r="CZ23" s="3" cm="1">
        <f t="array" ref="CZ23">_xlfn.IFS(BP23&lt;&gt;"", BP23, CV23=1,  AQ23, CV23=0,  AZ23)</f>
        <v>6</v>
      </c>
      <c r="DA23" s="3" t="e">
        <f>NA()</f>
        <v>#N/A</v>
      </c>
      <c r="DB23" s="36">
        <f t="shared" si="1"/>
        <v>0</v>
      </c>
      <c r="DC23" s="3" t="e">
        <f t="shared" si="2"/>
        <v>#N/A</v>
      </c>
      <c r="DD23" s="3">
        <f t="shared" si="3"/>
        <v>0</v>
      </c>
      <c r="DE23" s="3">
        <f t="shared" si="4"/>
        <v>0</v>
      </c>
      <c r="DF23" s="3" t="e">
        <f t="shared" si="5"/>
        <v>#N/A</v>
      </c>
      <c r="DG23" s="3" t="e">
        <f t="shared" si="6"/>
        <v>#N/A</v>
      </c>
      <c r="DI23" s="36" t="s">
        <v>966</v>
      </c>
      <c r="DN23" s="36" t="s">
        <v>966</v>
      </c>
      <c r="DO23" s="63"/>
      <c r="DP23" s="63"/>
      <c r="DQ23" s="63"/>
      <c r="DS23" s="36" t="s">
        <v>966</v>
      </c>
      <c r="DT23" s="63"/>
      <c r="DU23" s="63"/>
      <c r="DV23" s="63"/>
    </row>
    <row r="24" spans="1:126" x14ac:dyDescent="0.4">
      <c r="A24" s="3">
        <v>202410</v>
      </c>
      <c r="B24" s="3">
        <v>111</v>
      </c>
      <c r="C24" s="5">
        <v>45584.465300925927</v>
      </c>
      <c r="D24" s="5">
        <v>45584.468680555554</v>
      </c>
      <c r="E24" s="3">
        <v>0</v>
      </c>
      <c r="F24" s="4" t="s">
        <v>679</v>
      </c>
      <c r="G24" s="3">
        <v>100</v>
      </c>
      <c r="H24" s="3">
        <v>292</v>
      </c>
      <c r="I24" s="3">
        <v>1</v>
      </c>
      <c r="J24" s="5">
        <v>45584.468698136574</v>
      </c>
      <c r="K24" s="4" t="s">
        <v>680</v>
      </c>
      <c r="L24" s="4" t="s">
        <v>122</v>
      </c>
      <c r="M24" s="4" t="s">
        <v>122</v>
      </c>
      <c r="N24" s="4" t="s">
        <v>122</v>
      </c>
      <c r="O24" s="4" t="s">
        <v>122</v>
      </c>
      <c r="P24" s="3">
        <v>36.115000000000002</v>
      </c>
      <c r="Q24" s="3">
        <v>-115.2165</v>
      </c>
      <c r="R24" s="4" t="s">
        <v>129</v>
      </c>
      <c r="S24" s="4" t="s">
        <v>124</v>
      </c>
      <c r="T24" s="4" t="s">
        <v>681</v>
      </c>
      <c r="U24" s="3">
        <v>1</v>
      </c>
      <c r="V24" s="3">
        <v>4</v>
      </c>
      <c r="W24" s="3">
        <v>2</v>
      </c>
      <c r="X24" s="3">
        <v>1</v>
      </c>
      <c r="Y24" s="3">
        <v>1</v>
      </c>
      <c r="Z24" s="3">
        <v>1</v>
      </c>
      <c r="AA24" s="3">
        <v>1</v>
      </c>
      <c r="AG24" s="3">
        <v>2</v>
      </c>
      <c r="AH24" s="3">
        <v>0</v>
      </c>
      <c r="AI24" s="4" t="s">
        <v>122</v>
      </c>
      <c r="AJ24" s="3">
        <v>4</v>
      </c>
      <c r="AK24" s="3">
        <v>8</v>
      </c>
      <c r="AL24" s="3">
        <v>7</v>
      </c>
      <c r="AM24" s="3">
        <v>4</v>
      </c>
      <c r="AN24" s="3">
        <v>2</v>
      </c>
      <c r="AO24" s="3">
        <v>2</v>
      </c>
      <c r="AP24" s="3">
        <v>2</v>
      </c>
      <c r="AQ24" s="3">
        <v>0</v>
      </c>
      <c r="AR24" s="4" t="s">
        <v>122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">
        <v>0</v>
      </c>
      <c r="BD24" s="4" t="s">
        <v>122</v>
      </c>
      <c r="BE24" s="4" t="s">
        <v>122</v>
      </c>
      <c r="BF24" s="4" t="s">
        <v>122</v>
      </c>
      <c r="BG24" s="4" t="s">
        <v>122</v>
      </c>
      <c r="BH24" s="4"/>
      <c r="BI24" s="4" t="s">
        <v>122</v>
      </c>
      <c r="BJ24" s="4" t="s">
        <v>122</v>
      </c>
      <c r="BK24" s="4" t="s">
        <v>122</v>
      </c>
      <c r="BL24" s="4" t="s">
        <v>122</v>
      </c>
      <c r="BM24" s="4" t="s">
        <v>125</v>
      </c>
      <c r="BN24" s="4" t="s">
        <v>122</v>
      </c>
      <c r="BO24" s="4"/>
      <c r="BP24" s="4" t="s">
        <v>122</v>
      </c>
      <c r="BQ24" s="4" t="s">
        <v>122</v>
      </c>
      <c r="BR24" s="4" t="s">
        <v>122</v>
      </c>
      <c r="BS24" s="4" t="s">
        <v>122</v>
      </c>
      <c r="BT24" s="4" t="s">
        <v>122</v>
      </c>
      <c r="BU24" s="4"/>
      <c r="BV24" s="4" t="s">
        <v>122</v>
      </c>
      <c r="BW24" s="4" t="s">
        <v>122</v>
      </c>
      <c r="BX24" s="4" t="s">
        <v>122</v>
      </c>
      <c r="BY24" s="4" t="s">
        <v>122</v>
      </c>
      <c r="BZ24" s="4" t="s">
        <v>122</v>
      </c>
      <c r="CA24" s="4" t="s">
        <v>122</v>
      </c>
      <c r="CD24" s="4" t="s">
        <v>122</v>
      </c>
      <c r="CE24" s="4" t="s">
        <v>122</v>
      </c>
      <c r="CF24" s="3">
        <v>1</v>
      </c>
      <c r="CG24" s="4" t="s">
        <v>122</v>
      </c>
      <c r="CH24" s="3">
        <v>4</v>
      </c>
      <c r="CI24" s="4" t="s">
        <v>122</v>
      </c>
      <c r="CJ24" s="4" t="s">
        <v>122</v>
      </c>
      <c r="CK24" s="4" t="s">
        <v>122</v>
      </c>
      <c r="CL24" s="4" t="s">
        <v>122</v>
      </c>
      <c r="CM24" s="4" t="s">
        <v>122</v>
      </c>
      <c r="CN24" s="4" t="s">
        <v>122</v>
      </c>
      <c r="CO24" s="4" t="s">
        <v>125</v>
      </c>
      <c r="CP24" s="4" t="s">
        <v>122</v>
      </c>
      <c r="CQ24" s="4" t="s">
        <v>122</v>
      </c>
      <c r="CR24" s="4" t="s">
        <v>122</v>
      </c>
      <c r="CS24" s="3">
        <v>4</v>
      </c>
      <c r="CT24" s="3">
        <v>6</v>
      </c>
      <c r="CU24" s="3">
        <v>1</v>
      </c>
      <c r="CV24">
        <v>1</v>
      </c>
      <c r="CW24" cm="1">
        <f t="array" ref="CW24">_xlfn.IFS(CU24*1=1,1,CU24*1=2,1,TRUE,0)</f>
        <v>1</v>
      </c>
      <c r="CX24" s="3" t="e">
        <f>NA()</f>
        <v>#N/A</v>
      </c>
      <c r="CY24" s="3">
        <f t="shared" si="0"/>
        <v>0</v>
      </c>
      <c r="CZ24" s="3" cm="1">
        <f t="array" ref="CZ24">_xlfn.IFS(BP24&lt;&gt;"", BP24, CV24=1,  AQ24, CV24=0,  AZ24)</f>
        <v>0</v>
      </c>
      <c r="DA24" s="3" t="e">
        <f>NA()</f>
        <v>#N/A</v>
      </c>
      <c r="DB24" s="36">
        <f t="shared" si="1"/>
        <v>0</v>
      </c>
      <c r="DC24" s="3" t="e">
        <f t="shared" si="2"/>
        <v>#N/A</v>
      </c>
      <c r="DD24" s="3">
        <f t="shared" si="3"/>
        <v>0</v>
      </c>
      <c r="DE24" s="3">
        <f t="shared" si="4"/>
        <v>0</v>
      </c>
      <c r="DF24" s="3" t="e">
        <f t="shared" si="5"/>
        <v>#N/A</v>
      </c>
      <c r="DG24" s="3" t="e">
        <f t="shared" si="6"/>
        <v>#N/A</v>
      </c>
      <c r="DI24" s="61" t="s">
        <v>953</v>
      </c>
      <c r="DJ24" s="64" t="s">
        <v>956</v>
      </c>
      <c r="DK24" s="64" t="s">
        <v>957</v>
      </c>
      <c r="DL24" s="64" t="s">
        <v>955</v>
      </c>
      <c r="DN24" s="61" t="s">
        <v>953</v>
      </c>
      <c r="DO24" s="64" t="s">
        <v>956</v>
      </c>
      <c r="DP24" s="64" t="s">
        <v>957</v>
      </c>
      <c r="DQ24" s="64" t="s">
        <v>955</v>
      </c>
      <c r="DS24" s="61" t="s">
        <v>953</v>
      </c>
      <c r="DT24" s="64" t="s">
        <v>956</v>
      </c>
      <c r="DU24" s="64" t="s">
        <v>957</v>
      </c>
      <c r="DV24" s="64" t="s">
        <v>955</v>
      </c>
    </row>
    <row r="25" spans="1:126" x14ac:dyDescent="0.4">
      <c r="A25" s="3">
        <v>202410</v>
      </c>
      <c r="B25" s="3">
        <v>111</v>
      </c>
      <c r="C25" s="5">
        <v>45584.465740740743</v>
      </c>
      <c r="D25" s="5">
        <v>45584.468298611115</v>
      </c>
      <c r="E25" s="3">
        <v>0</v>
      </c>
      <c r="F25" s="4" t="s">
        <v>673</v>
      </c>
      <c r="G25" s="3">
        <v>100</v>
      </c>
      <c r="H25" s="3">
        <v>221</v>
      </c>
      <c r="I25" s="3">
        <v>1</v>
      </c>
      <c r="J25" s="5">
        <v>45584.468314270831</v>
      </c>
      <c r="K25" s="4" t="s">
        <v>674</v>
      </c>
      <c r="L25" s="4" t="s">
        <v>122</v>
      </c>
      <c r="M25" s="4" t="s">
        <v>122</v>
      </c>
      <c r="N25" s="4" t="s">
        <v>122</v>
      </c>
      <c r="O25" s="4" t="s">
        <v>122</v>
      </c>
      <c r="P25" s="3">
        <v>36.178800000000003</v>
      </c>
      <c r="Q25" s="3">
        <v>-115.17149999999999</v>
      </c>
      <c r="R25" s="4" t="s">
        <v>129</v>
      </c>
      <c r="S25" s="4" t="s">
        <v>124</v>
      </c>
      <c r="T25" s="4" t="s">
        <v>675</v>
      </c>
      <c r="U25" s="3">
        <v>1</v>
      </c>
      <c r="V25" s="3">
        <v>5</v>
      </c>
      <c r="W25" s="3">
        <v>5</v>
      </c>
      <c r="X25" s="3">
        <v>1</v>
      </c>
      <c r="Y25" s="3">
        <v>2</v>
      </c>
      <c r="Z25" s="3">
        <v>2</v>
      </c>
      <c r="AA25" s="3">
        <v>1</v>
      </c>
      <c r="AG25" s="3">
        <v>2</v>
      </c>
      <c r="AH25" s="3">
        <v>5</v>
      </c>
      <c r="AI25" s="3">
        <v>2</v>
      </c>
      <c r="AJ25" s="3">
        <v>7</v>
      </c>
      <c r="AK25" s="3">
        <v>8</v>
      </c>
      <c r="AL25" s="3">
        <v>2</v>
      </c>
      <c r="AM25" s="3">
        <v>7</v>
      </c>
      <c r="AN25" s="3">
        <v>3</v>
      </c>
      <c r="AO25" s="3">
        <v>3</v>
      </c>
      <c r="AP25" s="3">
        <v>3</v>
      </c>
      <c r="AQ25" s="4" t="s">
        <v>122</v>
      </c>
      <c r="AR25" s="4" t="s">
        <v>122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 t="s">
        <v>122</v>
      </c>
      <c r="BD25" s="4" t="s">
        <v>122</v>
      </c>
      <c r="BE25" s="4" t="s">
        <v>122</v>
      </c>
      <c r="BF25" s="4" t="s">
        <v>122</v>
      </c>
      <c r="BG25" s="4" t="s">
        <v>122</v>
      </c>
      <c r="BH25" s="4"/>
      <c r="BI25" s="4" t="s">
        <v>122</v>
      </c>
      <c r="BJ25" s="4" t="s">
        <v>122</v>
      </c>
      <c r="BK25" s="4" t="s">
        <v>122</v>
      </c>
      <c r="BL25" s="4" t="s">
        <v>122</v>
      </c>
      <c r="BM25" s="4" t="s">
        <v>122</v>
      </c>
      <c r="BN25" s="4" t="s">
        <v>122</v>
      </c>
      <c r="BO25" s="4"/>
      <c r="BP25" s="3">
        <v>5.5</v>
      </c>
      <c r="BQ25" s="3">
        <v>2</v>
      </c>
      <c r="BR25" s="4" t="s">
        <v>125</v>
      </c>
      <c r="BS25" s="4" t="s">
        <v>122</v>
      </c>
      <c r="BT25" s="4" t="s">
        <v>122</v>
      </c>
      <c r="BU25" s="4"/>
      <c r="BV25" s="4" t="s">
        <v>122</v>
      </c>
      <c r="BW25" s="4" t="s">
        <v>122</v>
      </c>
      <c r="BX25" s="4" t="s">
        <v>122</v>
      </c>
      <c r="BY25" s="4" t="s">
        <v>122</v>
      </c>
      <c r="BZ25" s="4" t="s">
        <v>122</v>
      </c>
      <c r="CA25" s="3">
        <v>1</v>
      </c>
      <c r="CD25" s="3">
        <v>5</v>
      </c>
      <c r="CE25" s="3">
        <v>2</v>
      </c>
      <c r="CF25" s="3">
        <v>1</v>
      </c>
      <c r="CG25" s="4" t="s">
        <v>122</v>
      </c>
      <c r="CH25" s="3">
        <v>4</v>
      </c>
      <c r="CI25" s="4" t="s">
        <v>122</v>
      </c>
      <c r="CJ25" s="4" t="s">
        <v>122</v>
      </c>
      <c r="CK25" s="4" t="s">
        <v>122</v>
      </c>
      <c r="CL25" s="4" t="s">
        <v>122</v>
      </c>
      <c r="CM25" s="4" t="s">
        <v>122</v>
      </c>
      <c r="CN25" s="4" t="s">
        <v>122</v>
      </c>
      <c r="CO25" s="4" t="s">
        <v>125</v>
      </c>
      <c r="CP25" s="4" t="s">
        <v>122</v>
      </c>
      <c r="CQ25" s="4" t="s">
        <v>122</v>
      </c>
      <c r="CR25" s="4" t="s">
        <v>122</v>
      </c>
      <c r="CS25" s="3">
        <v>4</v>
      </c>
      <c r="CT25" s="3">
        <v>5</v>
      </c>
      <c r="CU25" s="3">
        <v>0</v>
      </c>
      <c r="CV25">
        <v>1</v>
      </c>
      <c r="CW25" cm="1">
        <f t="array" ref="CW25">_xlfn.IFS(CU25*1=1,1,CU25*1=2,1,TRUE,0)</f>
        <v>0</v>
      </c>
      <c r="CX25" s="3" t="e">
        <f>NA()</f>
        <v>#N/A</v>
      </c>
      <c r="CY25" s="3">
        <f t="shared" si="0"/>
        <v>5</v>
      </c>
      <c r="CZ25" s="3" cm="1">
        <f t="array" ref="CZ25">_xlfn.IFS(BP25&lt;&gt;"", BP25, CV25=1,  AQ25, CV25=0,  AZ25)</f>
        <v>5.5</v>
      </c>
      <c r="DA25" s="3" t="e">
        <f>NA()</f>
        <v>#N/A</v>
      </c>
      <c r="DB25" s="36">
        <f t="shared" si="1"/>
        <v>0</v>
      </c>
      <c r="DC25" s="3" t="e">
        <f t="shared" si="2"/>
        <v>#N/A</v>
      </c>
      <c r="DD25" s="3">
        <f t="shared" si="3"/>
        <v>0</v>
      </c>
      <c r="DE25" s="3">
        <f t="shared" si="4"/>
        <v>0.5</v>
      </c>
      <c r="DF25" s="3" t="e">
        <f t="shared" si="5"/>
        <v>#N/A</v>
      </c>
      <c r="DG25" s="3" t="e">
        <f t="shared" si="6"/>
        <v>#N/A</v>
      </c>
      <c r="DI25" s="59">
        <v>202410</v>
      </c>
      <c r="DJ25" s="66">
        <f>DJ11*SQRT(DJ4)/DJ18</f>
        <v>2.6512573753921664</v>
      </c>
      <c r="DK25" s="66"/>
      <c r="DL25" s="66"/>
      <c r="DN25" s="59">
        <v>202410</v>
      </c>
      <c r="DO25" s="66">
        <f>DO11*SQRT(DO4)/DO18</f>
        <v>1.6418691912571648</v>
      </c>
      <c r="DP25" s="66"/>
      <c r="DQ25" s="66"/>
      <c r="DS25" s="59">
        <v>202410</v>
      </c>
      <c r="DT25" s="66">
        <f>DT11*SQRT(DT4)/DT18</f>
        <v>2.2668479322095934</v>
      </c>
      <c r="DU25" s="66"/>
      <c r="DV25" s="66"/>
    </row>
    <row r="26" spans="1:126" x14ac:dyDescent="0.4">
      <c r="A26" s="3">
        <v>202410</v>
      </c>
      <c r="B26" s="3">
        <v>111</v>
      </c>
      <c r="C26" s="5">
        <v>45584.467118055552</v>
      </c>
      <c r="D26" s="5">
        <v>45584.470127314817</v>
      </c>
      <c r="E26" s="3">
        <v>0</v>
      </c>
      <c r="F26" s="4" t="s">
        <v>682</v>
      </c>
      <c r="G26" s="3">
        <v>100</v>
      </c>
      <c r="H26" s="3">
        <v>260</v>
      </c>
      <c r="I26" s="3">
        <v>1</v>
      </c>
      <c r="J26" s="5">
        <v>45584.470147465276</v>
      </c>
      <c r="K26" s="4" t="s">
        <v>683</v>
      </c>
      <c r="L26" s="4" t="s">
        <v>122</v>
      </c>
      <c r="M26" s="4" t="s">
        <v>122</v>
      </c>
      <c r="N26" s="4" t="s">
        <v>122</v>
      </c>
      <c r="O26" s="4" t="s">
        <v>122</v>
      </c>
      <c r="P26" s="3">
        <v>35.078099999999999</v>
      </c>
      <c r="Q26" s="3">
        <v>-106.6583</v>
      </c>
      <c r="R26" s="4" t="s">
        <v>129</v>
      </c>
      <c r="S26" s="4" t="s">
        <v>124</v>
      </c>
      <c r="T26" s="4" t="s">
        <v>684</v>
      </c>
      <c r="U26" s="3">
        <v>1</v>
      </c>
      <c r="V26" s="3">
        <v>1</v>
      </c>
      <c r="W26" s="3">
        <v>1</v>
      </c>
      <c r="X26" s="3">
        <v>2</v>
      </c>
      <c r="Y26" s="3">
        <v>4</v>
      </c>
      <c r="Z26" s="3">
        <v>1</v>
      </c>
      <c r="AA26" s="3">
        <v>2</v>
      </c>
      <c r="AG26" s="3">
        <v>2</v>
      </c>
      <c r="AH26" s="3">
        <v>0</v>
      </c>
      <c r="AI26" s="4" t="s">
        <v>122</v>
      </c>
      <c r="AJ26" s="3">
        <v>2</v>
      </c>
      <c r="AK26" s="3">
        <v>5</v>
      </c>
      <c r="AL26" s="3">
        <v>2</v>
      </c>
      <c r="AM26" s="3">
        <v>2</v>
      </c>
      <c r="AN26" s="3">
        <v>2</v>
      </c>
      <c r="AO26" s="3">
        <v>5</v>
      </c>
      <c r="AP26" s="3">
        <v>1</v>
      </c>
      <c r="AQ26" s="3">
        <v>4</v>
      </c>
      <c r="AR26" s="3">
        <v>1</v>
      </c>
      <c r="BC26" s="3">
        <v>0</v>
      </c>
      <c r="BD26" s="4" t="s">
        <v>122</v>
      </c>
      <c r="BE26" s="4" t="s">
        <v>125</v>
      </c>
      <c r="BF26" s="4" t="s">
        <v>125</v>
      </c>
      <c r="BG26" s="4" t="s">
        <v>122</v>
      </c>
      <c r="BH26" s="4"/>
      <c r="BI26" s="4" t="s">
        <v>122</v>
      </c>
      <c r="BJ26" s="4" t="s">
        <v>122</v>
      </c>
      <c r="BK26" s="4" t="s">
        <v>122</v>
      </c>
      <c r="BL26" s="4" t="s">
        <v>125</v>
      </c>
      <c r="BM26" s="4" t="s">
        <v>122</v>
      </c>
      <c r="BN26" s="3">
        <v>1</v>
      </c>
      <c r="BP26" s="4" t="s">
        <v>122</v>
      </c>
      <c r="BQ26" s="4" t="s">
        <v>122</v>
      </c>
      <c r="BR26" s="4" t="s">
        <v>122</v>
      </c>
      <c r="BS26" s="4" t="s">
        <v>122</v>
      </c>
      <c r="BT26" s="4" t="s">
        <v>122</v>
      </c>
      <c r="BU26" s="4"/>
      <c r="BV26" s="4" t="s">
        <v>122</v>
      </c>
      <c r="BW26" s="4" t="s">
        <v>122</v>
      </c>
      <c r="BX26" s="4" t="s">
        <v>122</v>
      </c>
      <c r="BY26" s="4" t="s">
        <v>122</v>
      </c>
      <c r="BZ26" s="4" t="s">
        <v>122</v>
      </c>
      <c r="CA26" s="4" t="s">
        <v>122</v>
      </c>
      <c r="CD26" s="4" t="s">
        <v>122</v>
      </c>
      <c r="CE26" s="4" t="s">
        <v>122</v>
      </c>
      <c r="CF26" s="3">
        <v>2</v>
      </c>
      <c r="CG26" s="4" t="s">
        <v>122</v>
      </c>
      <c r="CH26" s="3">
        <v>6</v>
      </c>
      <c r="CI26" s="4" t="s">
        <v>122</v>
      </c>
      <c r="CJ26" s="4" t="s">
        <v>122</v>
      </c>
      <c r="CK26" s="4" t="s">
        <v>122</v>
      </c>
      <c r="CL26" s="4" t="s">
        <v>122</v>
      </c>
      <c r="CM26" s="4" t="s">
        <v>122</v>
      </c>
      <c r="CN26" s="4" t="s">
        <v>122</v>
      </c>
      <c r="CO26" s="4" t="s">
        <v>125</v>
      </c>
      <c r="CP26" s="4" t="s">
        <v>122</v>
      </c>
      <c r="CQ26" s="4" t="s">
        <v>122</v>
      </c>
      <c r="CR26" s="4" t="s">
        <v>122</v>
      </c>
      <c r="CS26" s="3">
        <v>3</v>
      </c>
      <c r="CT26" s="3">
        <v>5</v>
      </c>
      <c r="CU26" s="3">
        <v>1</v>
      </c>
      <c r="CV26">
        <v>1</v>
      </c>
      <c r="CW26" cm="1">
        <f t="array" ref="CW26">_xlfn.IFS(CU26*1=1,1,CU26*1=2,1,TRUE,0)</f>
        <v>1</v>
      </c>
      <c r="CX26" s="3" t="e">
        <f>NA()</f>
        <v>#N/A</v>
      </c>
      <c r="CY26" s="3">
        <f t="shared" si="0"/>
        <v>0</v>
      </c>
      <c r="CZ26" s="3" cm="1">
        <f t="array" ref="CZ26">_xlfn.IFS(BP26&lt;&gt;"", BP26, CV26=1,  AQ26, CV26=0,  AZ26)</f>
        <v>4</v>
      </c>
      <c r="DA26" s="3" t="e">
        <f>NA()</f>
        <v>#N/A</v>
      </c>
      <c r="DB26" s="36">
        <f t="shared" si="1"/>
        <v>0</v>
      </c>
      <c r="DC26" s="3" t="e">
        <f t="shared" si="2"/>
        <v>#N/A</v>
      </c>
      <c r="DD26" s="3">
        <f t="shared" si="3"/>
        <v>4</v>
      </c>
      <c r="DE26" s="3">
        <f t="shared" si="4"/>
        <v>0</v>
      </c>
      <c r="DF26" s="3" t="e">
        <f t="shared" si="5"/>
        <v>#N/A</v>
      </c>
      <c r="DG26" s="3" t="e">
        <f t="shared" si="6"/>
        <v>#N/A</v>
      </c>
      <c r="DI26" s="59">
        <v>202503</v>
      </c>
      <c r="DJ26" s="66">
        <f>DJ12*SQRT(DJ5)/DJ19</f>
        <v>-1.4852516900363668</v>
      </c>
      <c r="DK26" s="66">
        <f t="shared" ref="DK26:DL28" si="7">DK12*SQRT(DK5)/DK19</f>
        <v>-2.5134165020481842</v>
      </c>
      <c r="DL26" s="66">
        <f t="shared" si="7"/>
        <v>-2.8204122989276312</v>
      </c>
      <c r="DN26" s="59">
        <v>202503</v>
      </c>
      <c r="DO26" s="66">
        <f>DO12*SQRT(DO5)/DO19</f>
        <v>-1.0276502040534141</v>
      </c>
      <c r="DP26" s="66">
        <f>DP12*SQRT(DP5)/DP19</f>
        <v>-2.2712086589394307</v>
      </c>
      <c r="DQ26" s="66"/>
      <c r="DS26" s="59">
        <v>202503</v>
      </c>
      <c r="DT26" s="66">
        <f>DT12*SQRT(DT5)/DT19</f>
        <v>-1.1150656744242369</v>
      </c>
      <c r="DU26" s="66">
        <f>DU12*SQRT(DU5)/DU19</f>
        <v>-1.8824491290232981</v>
      </c>
      <c r="DV26" s="66"/>
    </row>
    <row r="27" spans="1:126" x14ac:dyDescent="0.4">
      <c r="A27" s="3">
        <v>202410</v>
      </c>
      <c r="B27" s="3">
        <v>111</v>
      </c>
      <c r="C27" s="5">
        <v>45584.469872685186</v>
      </c>
      <c r="D27" s="5">
        <v>45584.472407407404</v>
      </c>
      <c r="E27" s="3">
        <v>0</v>
      </c>
      <c r="F27" s="4" t="s">
        <v>685</v>
      </c>
      <c r="G27" s="3">
        <v>100</v>
      </c>
      <c r="H27" s="3">
        <v>218</v>
      </c>
      <c r="I27" s="3">
        <v>1</v>
      </c>
      <c r="J27" s="5">
        <v>45584.47241978009</v>
      </c>
      <c r="K27" s="4" t="s">
        <v>686</v>
      </c>
      <c r="L27" s="4" t="s">
        <v>122</v>
      </c>
      <c r="M27" s="4" t="s">
        <v>122</v>
      </c>
      <c r="N27" s="4" t="s">
        <v>122</v>
      </c>
      <c r="O27" s="4" t="s">
        <v>122</v>
      </c>
      <c r="P27" s="3">
        <v>32.250300000000003</v>
      </c>
      <c r="Q27" s="3">
        <v>-110.94499999999999</v>
      </c>
      <c r="R27" s="4" t="s">
        <v>129</v>
      </c>
      <c r="S27" s="4" t="s">
        <v>124</v>
      </c>
      <c r="T27" s="4" t="s">
        <v>687</v>
      </c>
      <c r="U27" s="3">
        <v>1</v>
      </c>
      <c r="V27" s="3">
        <v>3</v>
      </c>
      <c r="W27" s="3">
        <v>3</v>
      </c>
      <c r="X27" s="3">
        <v>2</v>
      </c>
      <c r="Y27" s="3">
        <v>2</v>
      </c>
      <c r="Z27" s="3">
        <v>1</v>
      </c>
      <c r="AA27" s="3">
        <v>1</v>
      </c>
      <c r="AG27" s="3">
        <v>4</v>
      </c>
      <c r="AH27" s="3">
        <v>5</v>
      </c>
      <c r="AI27" s="3">
        <v>2</v>
      </c>
      <c r="AJ27" s="3">
        <v>6</v>
      </c>
      <c r="AK27" s="3">
        <v>8</v>
      </c>
      <c r="AL27" s="3">
        <v>7</v>
      </c>
      <c r="AM27" s="3">
        <v>6</v>
      </c>
      <c r="AN27" s="3">
        <v>7</v>
      </c>
      <c r="AO27" s="3">
        <v>4</v>
      </c>
      <c r="AP27" s="3">
        <v>3</v>
      </c>
      <c r="AQ27" s="3">
        <v>5</v>
      </c>
      <c r="AR27" s="3">
        <v>2</v>
      </c>
      <c r="BC27" s="3">
        <v>5.5</v>
      </c>
      <c r="BD27" s="3">
        <v>2</v>
      </c>
      <c r="BE27" s="4" t="s">
        <v>125</v>
      </c>
      <c r="BF27" s="4" t="s">
        <v>122</v>
      </c>
      <c r="BG27" s="4" t="s">
        <v>122</v>
      </c>
      <c r="BH27" s="4"/>
      <c r="BI27" s="4" t="s">
        <v>122</v>
      </c>
      <c r="BJ27" s="4" t="s">
        <v>122</v>
      </c>
      <c r="BK27" s="4" t="s">
        <v>122</v>
      </c>
      <c r="BL27" s="4" t="s">
        <v>122</v>
      </c>
      <c r="BM27" s="4" t="s">
        <v>122</v>
      </c>
      <c r="BN27" s="3">
        <v>1</v>
      </c>
      <c r="BP27" s="4" t="s">
        <v>122</v>
      </c>
      <c r="BQ27" s="4" t="s">
        <v>122</v>
      </c>
      <c r="BR27" s="4" t="s">
        <v>122</v>
      </c>
      <c r="BS27" s="4" t="s">
        <v>122</v>
      </c>
      <c r="BT27" s="4" t="s">
        <v>122</v>
      </c>
      <c r="BU27" s="4"/>
      <c r="BV27" s="4" t="s">
        <v>122</v>
      </c>
      <c r="BW27" s="4" t="s">
        <v>122</v>
      </c>
      <c r="BX27" s="4" t="s">
        <v>122</v>
      </c>
      <c r="BY27" s="4" t="s">
        <v>122</v>
      </c>
      <c r="BZ27" s="4" t="s">
        <v>122</v>
      </c>
      <c r="CA27" s="4" t="s">
        <v>122</v>
      </c>
      <c r="CD27" s="4" t="s">
        <v>122</v>
      </c>
      <c r="CE27" s="4" t="s">
        <v>122</v>
      </c>
      <c r="CF27" s="3">
        <v>2</v>
      </c>
      <c r="CG27" s="4" t="s">
        <v>122</v>
      </c>
      <c r="CH27" s="3">
        <v>3</v>
      </c>
      <c r="CI27" s="4" t="s">
        <v>122</v>
      </c>
      <c r="CJ27" s="4" t="s">
        <v>122</v>
      </c>
      <c r="CK27" s="4" t="s">
        <v>122</v>
      </c>
      <c r="CL27" s="4" t="s">
        <v>122</v>
      </c>
      <c r="CM27" s="4" t="s">
        <v>122</v>
      </c>
      <c r="CN27" s="4" t="s">
        <v>122</v>
      </c>
      <c r="CO27" s="4" t="s">
        <v>125</v>
      </c>
      <c r="CP27" s="4" t="s">
        <v>122</v>
      </c>
      <c r="CQ27" s="4" t="s">
        <v>122</v>
      </c>
      <c r="CR27" s="4" t="s">
        <v>122</v>
      </c>
      <c r="CS27" s="3">
        <v>5</v>
      </c>
      <c r="CT27" s="3">
        <v>3</v>
      </c>
      <c r="CU27" s="3">
        <v>1</v>
      </c>
      <c r="CV27">
        <v>1</v>
      </c>
      <c r="CW27" cm="1">
        <f t="array" ref="CW27">_xlfn.IFS(CU27*1=1,1,CU27*1=2,1,TRUE,0)</f>
        <v>1</v>
      </c>
      <c r="CX27" s="3" t="e">
        <f>NA()</f>
        <v>#N/A</v>
      </c>
      <c r="CY27" s="3">
        <f t="shared" si="0"/>
        <v>5.5</v>
      </c>
      <c r="CZ27" s="3" cm="1">
        <f t="array" ref="CZ27">_xlfn.IFS(BP27&lt;&gt;"", BP27, CV27=1,  AQ27, CV27=0,  AZ27)</f>
        <v>5</v>
      </c>
      <c r="DA27" s="3" t="e">
        <f>NA()</f>
        <v>#N/A</v>
      </c>
      <c r="DB27" s="36">
        <f t="shared" si="1"/>
        <v>0.5</v>
      </c>
      <c r="DC27" s="3" t="e">
        <f t="shared" si="2"/>
        <v>#N/A</v>
      </c>
      <c r="DD27" s="3">
        <f t="shared" si="3"/>
        <v>0</v>
      </c>
      <c r="DE27" s="3">
        <f t="shared" si="4"/>
        <v>0.5</v>
      </c>
      <c r="DF27" s="3" t="e">
        <f t="shared" si="5"/>
        <v>#N/A</v>
      </c>
      <c r="DG27" s="3" t="e">
        <f t="shared" si="6"/>
        <v>#N/A</v>
      </c>
      <c r="DI27" s="59">
        <v>202511</v>
      </c>
      <c r="DJ27" s="66">
        <f>DJ13*SQRT(DJ6)/DJ20</f>
        <v>-1.3543592438339123</v>
      </c>
      <c r="DK27" s="66">
        <f t="shared" si="7"/>
        <v>-1.8403350872506175</v>
      </c>
      <c r="DL27" s="66">
        <f t="shared" si="7"/>
        <v>-2.2645414013793133</v>
      </c>
      <c r="DN27" s="59">
        <v>202511</v>
      </c>
      <c r="DO27" s="66">
        <f>DO13*SQRT(DO6)/DO20</f>
        <v>-1.4085114763793332</v>
      </c>
      <c r="DP27" s="66">
        <f>DP13*SQRT(DP6)/DP20</f>
        <v>-1.5055684488370256</v>
      </c>
      <c r="DQ27" s="66"/>
      <c r="DS27" s="59">
        <v>202511</v>
      </c>
      <c r="DT27" s="66">
        <f>DT13*SQRT(DT6)/DT20</f>
        <v>-1.5004216019604701</v>
      </c>
      <c r="DU27" s="66">
        <f>DU13*SQRT(DU6)/DU20</f>
        <v>-1.3801627462620896</v>
      </c>
      <c r="DV27" s="66"/>
    </row>
    <row r="28" spans="1:126" x14ac:dyDescent="0.4">
      <c r="A28" s="3">
        <v>202410</v>
      </c>
      <c r="B28" s="3">
        <v>111</v>
      </c>
      <c r="C28" s="5">
        <v>45584.470486111109</v>
      </c>
      <c r="D28" s="5">
        <v>45584.473935185182</v>
      </c>
      <c r="E28" s="3">
        <v>0</v>
      </c>
      <c r="F28" s="4" t="s">
        <v>688</v>
      </c>
      <c r="G28" s="3">
        <v>100</v>
      </c>
      <c r="H28" s="3">
        <v>297</v>
      </c>
      <c r="I28" s="3">
        <v>1</v>
      </c>
      <c r="J28" s="5">
        <v>45584.473954016205</v>
      </c>
      <c r="K28" s="4" t="s">
        <v>689</v>
      </c>
      <c r="L28" s="4" t="s">
        <v>122</v>
      </c>
      <c r="M28" s="4" t="s">
        <v>122</v>
      </c>
      <c r="N28" s="4" t="s">
        <v>122</v>
      </c>
      <c r="O28" s="4" t="s">
        <v>122</v>
      </c>
      <c r="P28" s="3">
        <v>33.447499999999998</v>
      </c>
      <c r="Q28" s="3">
        <v>-112.0866</v>
      </c>
      <c r="R28" s="4" t="s">
        <v>129</v>
      </c>
      <c r="S28" s="4" t="s">
        <v>124</v>
      </c>
      <c r="T28" s="4" t="s">
        <v>690</v>
      </c>
      <c r="U28" s="3">
        <v>0</v>
      </c>
      <c r="V28" s="3">
        <v>1</v>
      </c>
      <c r="W28" s="3">
        <v>1</v>
      </c>
      <c r="X28" s="3">
        <v>3</v>
      </c>
      <c r="Y28" s="3">
        <v>5</v>
      </c>
      <c r="Z28" s="3">
        <v>5</v>
      </c>
      <c r="AA28" s="3">
        <v>4</v>
      </c>
      <c r="AG28" s="3">
        <v>2</v>
      </c>
      <c r="AH28" s="3">
        <v>5</v>
      </c>
      <c r="AI28" s="3">
        <v>3</v>
      </c>
      <c r="AJ28" s="3">
        <v>4</v>
      </c>
      <c r="AK28" s="3">
        <v>8</v>
      </c>
      <c r="AL28" s="3">
        <v>7</v>
      </c>
      <c r="AM28" s="3">
        <v>4</v>
      </c>
      <c r="AN28" s="3">
        <v>7</v>
      </c>
      <c r="AO28" s="3">
        <v>1</v>
      </c>
      <c r="AP28" s="3">
        <v>3</v>
      </c>
      <c r="AQ28" s="4" t="s">
        <v>122</v>
      </c>
      <c r="AR28" s="4" t="s">
        <v>122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 t="s">
        <v>122</v>
      </c>
      <c r="BD28" s="4" t="s">
        <v>122</v>
      </c>
      <c r="BE28" s="4" t="s">
        <v>122</v>
      </c>
      <c r="BF28" s="4" t="s">
        <v>122</v>
      </c>
      <c r="BG28" s="4" t="s">
        <v>122</v>
      </c>
      <c r="BH28" s="4"/>
      <c r="BI28" s="4" t="s">
        <v>122</v>
      </c>
      <c r="BJ28" s="4" t="s">
        <v>122</v>
      </c>
      <c r="BK28" s="4" t="s">
        <v>122</v>
      </c>
      <c r="BL28" s="4" t="s">
        <v>122</v>
      </c>
      <c r="BM28" s="4" t="s">
        <v>122</v>
      </c>
      <c r="BN28" s="4" t="s">
        <v>122</v>
      </c>
      <c r="BO28" s="4"/>
      <c r="BP28" s="3">
        <v>6</v>
      </c>
      <c r="BQ28" s="3">
        <v>3</v>
      </c>
      <c r="BR28" s="4" t="s">
        <v>122</v>
      </c>
      <c r="BS28" s="4" t="s">
        <v>125</v>
      </c>
      <c r="BT28" s="4" t="s">
        <v>122</v>
      </c>
      <c r="BU28" s="4"/>
      <c r="BV28" s="4" t="s">
        <v>122</v>
      </c>
      <c r="BW28" s="4" t="s">
        <v>125</v>
      </c>
      <c r="BX28" s="4" t="s">
        <v>122</v>
      </c>
      <c r="BY28" s="4" t="s">
        <v>122</v>
      </c>
      <c r="BZ28" s="4" t="s">
        <v>122</v>
      </c>
      <c r="CA28" s="3">
        <v>2</v>
      </c>
      <c r="CD28" s="3">
        <v>6</v>
      </c>
      <c r="CE28" s="3">
        <v>3</v>
      </c>
      <c r="CF28" s="3">
        <v>2</v>
      </c>
      <c r="CG28" s="4" t="s">
        <v>122</v>
      </c>
      <c r="CH28" s="3">
        <v>4</v>
      </c>
      <c r="CI28" s="4" t="s">
        <v>122</v>
      </c>
      <c r="CJ28" s="4" t="s">
        <v>122</v>
      </c>
      <c r="CK28" s="4" t="s">
        <v>122</v>
      </c>
      <c r="CL28" s="4" t="s">
        <v>125</v>
      </c>
      <c r="CM28" s="4" t="s">
        <v>122</v>
      </c>
      <c r="CN28" s="4" t="s">
        <v>122</v>
      </c>
      <c r="CO28" s="4" t="s">
        <v>122</v>
      </c>
      <c r="CP28" s="4" t="s">
        <v>122</v>
      </c>
      <c r="CQ28" s="4" t="s">
        <v>122</v>
      </c>
      <c r="CR28" s="4" t="s">
        <v>122</v>
      </c>
      <c r="CS28" s="3">
        <v>3</v>
      </c>
      <c r="CT28" s="3">
        <v>3</v>
      </c>
      <c r="CU28" s="3">
        <v>0</v>
      </c>
      <c r="CV28">
        <v>1</v>
      </c>
      <c r="CW28" cm="1">
        <f t="array" ref="CW28">_xlfn.IFS(CU28*1=1,1,CU28*1=2,1,TRUE,0)</f>
        <v>0</v>
      </c>
      <c r="CX28" s="3" t="e">
        <f>NA()</f>
        <v>#N/A</v>
      </c>
      <c r="CY28" s="3">
        <f t="shared" si="0"/>
        <v>6</v>
      </c>
      <c r="CZ28" s="3" cm="1">
        <f t="array" ref="CZ28">_xlfn.IFS(BP28&lt;&gt;"", BP28, CV28=1,  AQ28, CV28=0,  AZ28)</f>
        <v>6</v>
      </c>
      <c r="DA28" s="3" t="e">
        <f>NA()</f>
        <v>#N/A</v>
      </c>
      <c r="DB28" s="36">
        <f t="shared" si="1"/>
        <v>1</v>
      </c>
      <c r="DC28" s="3" t="e">
        <f t="shared" si="2"/>
        <v>#N/A</v>
      </c>
      <c r="DD28" s="3">
        <f t="shared" si="3"/>
        <v>1</v>
      </c>
      <c r="DE28" s="3">
        <f t="shared" si="4"/>
        <v>1</v>
      </c>
      <c r="DF28" s="3" t="e">
        <f t="shared" si="5"/>
        <v>#N/A</v>
      </c>
      <c r="DG28" s="3" t="e">
        <f t="shared" si="6"/>
        <v>#N/A</v>
      </c>
      <c r="DI28" s="62" t="s">
        <v>954</v>
      </c>
      <c r="DJ28" s="67">
        <f>DJ14*SQRT(DJ7)/DJ21</f>
        <v>-0.45595339054149076</v>
      </c>
      <c r="DK28" s="67">
        <f t="shared" si="7"/>
        <v>-2.9838203678625805</v>
      </c>
      <c r="DL28" s="67">
        <f t="shared" si="7"/>
        <v>-2.2876704229743834</v>
      </c>
      <c r="DN28" s="62" t="s">
        <v>954</v>
      </c>
      <c r="DO28" s="67">
        <f>DO14*SQRT(DO7)/DO21</f>
        <v>-0.59600320286070085</v>
      </c>
      <c r="DP28" s="67">
        <f>DP14*SQRT(DP7)/DP21</f>
        <v>-2.6046916751752627</v>
      </c>
      <c r="DQ28" s="67"/>
      <c r="DS28" s="62" t="s">
        <v>954</v>
      </c>
      <c r="DT28" s="67">
        <f>DT14*SQRT(DT7)/DT21</f>
        <v>-0.58152419095373231</v>
      </c>
      <c r="DU28" s="67">
        <f>DU14*SQRT(DU7)/DU21</f>
        <v>-2.6106120747319679</v>
      </c>
      <c r="DV28" s="67"/>
    </row>
    <row r="29" spans="1:126" x14ac:dyDescent="0.4">
      <c r="A29" s="3">
        <v>202410</v>
      </c>
      <c r="B29" s="3">
        <v>111</v>
      </c>
      <c r="C29" s="5">
        <v>45584.470590277779</v>
      </c>
      <c r="D29" s="5">
        <v>45584.475543981483</v>
      </c>
      <c r="E29" s="3">
        <v>0</v>
      </c>
      <c r="F29" s="4" t="s">
        <v>696</v>
      </c>
      <c r="G29" s="3">
        <v>100</v>
      </c>
      <c r="H29" s="3">
        <v>427</v>
      </c>
      <c r="I29" s="3">
        <v>1</v>
      </c>
      <c r="J29" s="5">
        <v>45584.475557488426</v>
      </c>
      <c r="K29" s="4" t="s">
        <v>697</v>
      </c>
      <c r="L29" s="4" t="s">
        <v>122</v>
      </c>
      <c r="M29" s="4" t="s">
        <v>122</v>
      </c>
      <c r="N29" s="4" t="s">
        <v>122</v>
      </c>
      <c r="O29" s="4" t="s">
        <v>122</v>
      </c>
      <c r="P29" s="3">
        <v>32.250300000000003</v>
      </c>
      <c r="Q29" s="3">
        <v>-110.94499999999999</v>
      </c>
      <c r="R29" s="4" t="s">
        <v>129</v>
      </c>
      <c r="S29" s="4" t="s">
        <v>124</v>
      </c>
      <c r="T29" s="4" t="s">
        <v>698</v>
      </c>
      <c r="U29" s="3">
        <v>1</v>
      </c>
      <c r="V29" s="3">
        <v>2</v>
      </c>
      <c r="W29" s="3">
        <v>2</v>
      </c>
      <c r="X29" s="3">
        <v>2</v>
      </c>
      <c r="Y29" s="3">
        <v>5</v>
      </c>
      <c r="Z29" s="3">
        <v>4</v>
      </c>
      <c r="AA29" s="3">
        <v>3</v>
      </c>
      <c r="AG29" s="3">
        <v>2</v>
      </c>
      <c r="AH29" s="3">
        <v>8.5</v>
      </c>
      <c r="AI29" s="3">
        <v>2</v>
      </c>
      <c r="AJ29" s="3">
        <v>6</v>
      </c>
      <c r="AK29" s="3">
        <v>8</v>
      </c>
      <c r="AL29" s="3">
        <v>9</v>
      </c>
      <c r="AM29" s="3">
        <v>6</v>
      </c>
      <c r="AN29" s="3">
        <v>4</v>
      </c>
      <c r="AO29" s="3">
        <v>4</v>
      </c>
      <c r="AP29" s="3">
        <v>4</v>
      </c>
      <c r="AQ29" s="4" t="s">
        <v>122</v>
      </c>
      <c r="AR29" s="4" t="s">
        <v>122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 t="s">
        <v>122</v>
      </c>
      <c r="BD29" s="4" t="s">
        <v>122</v>
      </c>
      <c r="BE29" s="4" t="s">
        <v>122</v>
      </c>
      <c r="BF29" s="4" t="s">
        <v>122</v>
      </c>
      <c r="BG29" s="4" t="s">
        <v>122</v>
      </c>
      <c r="BH29" s="4"/>
      <c r="BI29" s="4" t="s">
        <v>122</v>
      </c>
      <c r="BJ29" s="4" t="s">
        <v>122</v>
      </c>
      <c r="BK29" s="4" t="s">
        <v>122</v>
      </c>
      <c r="BL29" s="4" t="s">
        <v>122</v>
      </c>
      <c r="BM29" s="4" t="s">
        <v>122</v>
      </c>
      <c r="BN29" s="4" t="s">
        <v>122</v>
      </c>
      <c r="BO29" s="4"/>
      <c r="BP29" s="3">
        <v>4.5</v>
      </c>
      <c r="BQ29" s="3">
        <v>1</v>
      </c>
      <c r="BR29" s="4" t="s">
        <v>122</v>
      </c>
      <c r="BS29" s="4" t="s">
        <v>122</v>
      </c>
      <c r="BT29" s="4" t="s">
        <v>125</v>
      </c>
      <c r="BU29" s="4"/>
      <c r="BV29" s="4" t="s">
        <v>125</v>
      </c>
      <c r="BW29" s="4" t="s">
        <v>122</v>
      </c>
      <c r="BX29" s="4" t="s">
        <v>122</v>
      </c>
      <c r="BY29" s="4" t="s">
        <v>125</v>
      </c>
      <c r="BZ29" s="4" t="s">
        <v>122</v>
      </c>
      <c r="CA29" s="3">
        <v>7</v>
      </c>
      <c r="CD29" s="3">
        <v>4.5</v>
      </c>
      <c r="CE29" s="3">
        <v>2</v>
      </c>
      <c r="CF29" s="3">
        <v>1</v>
      </c>
      <c r="CG29" s="4" t="s">
        <v>122</v>
      </c>
      <c r="CH29" s="3">
        <v>3</v>
      </c>
      <c r="CI29" s="4" t="s">
        <v>122</v>
      </c>
      <c r="CJ29" s="4" t="s">
        <v>122</v>
      </c>
      <c r="CK29" s="4" t="s">
        <v>122</v>
      </c>
      <c r="CL29" s="4" t="s">
        <v>122</v>
      </c>
      <c r="CM29" s="4" t="s">
        <v>122</v>
      </c>
      <c r="CN29" s="4" t="s">
        <v>122</v>
      </c>
      <c r="CO29" s="4" t="s">
        <v>125</v>
      </c>
      <c r="CP29" s="4" t="s">
        <v>122</v>
      </c>
      <c r="CQ29" s="4" t="s">
        <v>122</v>
      </c>
      <c r="CR29" s="4" t="s">
        <v>122</v>
      </c>
      <c r="CS29" s="3">
        <v>4</v>
      </c>
      <c r="CT29" s="3">
        <v>4</v>
      </c>
      <c r="CU29" s="3">
        <v>0</v>
      </c>
      <c r="CV29">
        <v>1</v>
      </c>
      <c r="CW29" cm="1">
        <f t="array" ref="CW29">_xlfn.IFS(CU29*1=1,1,CU29*1=2,1,TRUE,0)</f>
        <v>0</v>
      </c>
      <c r="CX29" s="3" t="e">
        <f>NA()</f>
        <v>#N/A</v>
      </c>
      <c r="CY29" s="3">
        <f t="shared" si="0"/>
        <v>4.5</v>
      </c>
      <c r="CZ29" s="3" cm="1">
        <f t="array" ref="CZ29">_xlfn.IFS(BP29&lt;&gt;"", BP29, CV29=1,  AQ29, CV29=0,  AZ29)</f>
        <v>4.5</v>
      </c>
      <c r="DA29" s="3" t="e">
        <f>NA()</f>
        <v>#N/A</v>
      </c>
      <c r="DB29" s="36">
        <f t="shared" si="1"/>
        <v>-4</v>
      </c>
      <c r="DC29" s="3" t="e">
        <f t="shared" si="2"/>
        <v>#N/A</v>
      </c>
      <c r="DD29" s="3">
        <f t="shared" si="3"/>
        <v>-4</v>
      </c>
      <c r="DE29" s="3">
        <f t="shared" si="4"/>
        <v>-4</v>
      </c>
      <c r="DF29" s="3" t="e">
        <f t="shared" si="5"/>
        <v>#N/A</v>
      </c>
      <c r="DG29" s="3" t="e">
        <f t="shared" si="6"/>
        <v>#N/A</v>
      </c>
    </row>
    <row r="30" spans="1:126" x14ac:dyDescent="0.4">
      <c r="A30" s="3">
        <v>202410</v>
      </c>
      <c r="B30" s="3">
        <v>111</v>
      </c>
      <c r="C30" s="5">
        <v>45584.471851851849</v>
      </c>
      <c r="D30" s="5">
        <v>45584.475393518522</v>
      </c>
      <c r="E30" s="3">
        <v>0</v>
      </c>
      <c r="F30" s="4" t="s">
        <v>414</v>
      </c>
      <c r="G30" s="3">
        <v>100</v>
      </c>
      <c r="H30" s="3">
        <v>306</v>
      </c>
      <c r="I30" s="3">
        <v>1</v>
      </c>
      <c r="J30" s="5">
        <v>45584.475412025466</v>
      </c>
      <c r="K30" s="4" t="s">
        <v>691</v>
      </c>
      <c r="L30" s="4" t="s">
        <v>122</v>
      </c>
      <c r="M30" s="4" t="s">
        <v>122</v>
      </c>
      <c r="N30" s="4" t="s">
        <v>122</v>
      </c>
      <c r="O30" s="4" t="s">
        <v>122</v>
      </c>
      <c r="P30" s="3">
        <v>32.250300000000003</v>
      </c>
      <c r="Q30" s="3">
        <v>-110.94499999999999</v>
      </c>
      <c r="R30" s="4" t="s">
        <v>129</v>
      </c>
      <c r="S30" s="4" t="s">
        <v>124</v>
      </c>
      <c r="T30" s="4" t="s">
        <v>692</v>
      </c>
      <c r="U30" s="3">
        <v>1</v>
      </c>
      <c r="V30" s="3">
        <v>3</v>
      </c>
      <c r="W30" s="3">
        <v>4</v>
      </c>
      <c r="X30" s="3">
        <v>2</v>
      </c>
      <c r="Y30" s="3">
        <v>1</v>
      </c>
      <c r="Z30" s="3">
        <v>1</v>
      </c>
      <c r="AA30" s="3">
        <v>2</v>
      </c>
      <c r="AG30" s="3">
        <v>4</v>
      </c>
      <c r="AH30" s="3">
        <v>7</v>
      </c>
      <c r="AI30" s="3">
        <v>2</v>
      </c>
      <c r="AJ30" s="3">
        <v>8</v>
      </c>
      <c r="AK30" s="3">
        <v>7</v>
      </c>
      <c r="AL30" s="3">
        <v>5</v>
      </c>
      <c r="AM30" s="3">
        <v>9</v>
      </c>
      <c r="AN30" s="3">
        <v>6</v>
      </c>
      <c r="AO30" s="3">
        <v>3</v>
      </c>
      <c r="AP30" s="3">
        <v>3</v>
      </c>
      <c r="AQ30" s="3">
        <v>7.5</v>
      </c>
      <c r="AR30" s="3">
        <v>3</v>
      </c>
      <c r="BC30" s="3">
        <v>7.5</v>
      </c>
      <c r="BD30" s="3">
        <v>3</v>
      </c>
      <c r="BE30" s="4" t="s">
        <v>125</v>
      </c>
      <c r="BF30" s="4" t="s">
        <v>122</v>
      </c>
      <c r="BG30" s="4" t="s">
        <v>125</v>
      </c>
      <c r="BH30" s="4"/>
      <c r="BI30" s="4" t="s">
        <v>122</v>
      </c>
      <c r="BJ30" s="4" t="s">
        <v>122</v>
      </c>
      <c r="BK30" s="4" t="s">
        <v>122</v>
      </c>
      <c r="BL30" s="4" t="s">
        <v>122</v>
      </c>
      <c r="BM30" s="4" t="s">
        <v>122</v>
      </c>
      <c r="BN30" s="3">
        <v>1</v>
      </c>
      <c r="BP30" s="4" t="s">
        <v>122</v>
      </c>
      <c r="BQ30" s="4" t="s">
        <v>122</v>
      </c>
      <c r="BR30" s="4" t="s">
        <v>122</v>
      </c>
      <c r="BS30" s="4" t="s">
        <v>122</v>
      </c>
      <c r="BT30" s="4" t="s">
        <v>122</v>
      </c>
      <c r="BU30" s="4"/>
      <c r="BV30" s="4" t="s">
        <v>122</v>
      </c>
      <c r="BW30" s="4" t="s">
        <v>122</v>
      </c>
      <c r="BX30" s="4" t="s">
        <v>122</v>
      </c>
      <c r="BY30" s="4" t="s">
        <v>122</v>
      </c>
      <c r="BZ30" s="4" t="s">
        <v>122</v>
      </c>
      <c r="CA30" s="4" t="s">
        <v>122</v>
      </c>
      <c r="CD30" s="4" t="s">
        <v>122</v>
      </c>
      <c r="CE30" s="4" t="s">
        <v>122</v>
      </c>
      <c r="CF30" s="3">
        <v>1</v>
      </c>
      <c r="CG30" s="4" t="s">
        <v>122</v>
      </c>
      <c r="CH30" s="3">
        <v>3</v>
      </c>
      <c r="CI30" s="4" t="s">
        <v>122</v>
      </c>
      <c r="CJ30" s="4" t="s">
        <v>122</v>
      </c>
      <c r="CK30" s="4" t="s">
        <v>122</v>
      </c>
      <c r="CL30" s="4" t="s">
        <v>122</v>
      </c>
      <c r="CM30" s="4" t="s">
        <v>122</v>
      </c>
      <c r="CN30" s="4" t="s">
        <v>122</v>
      </c>
      <c r="CO30" s="4" t="s">
        <v>125</v>
      </c>
      <c r="CP30" s="4" t="s">
        <v>122</v>
      </c>
      <c r="CQ30" s="4" t="s">
        <v>122</v>
      </c>
      <c r="CR30" s="4" t="s">
        <v>122</v>
      </c>
      <c r="CS30" s="3">
        <v>5</v>
      </c>
      <c r="CT30" s="3">
        <v>6</v>
      </c>
      <c r="CU30" s="3">
        <v>1</v>
      </c>
      <c r="CV30">
        <v>1</v>
      </c>
      <c r="CW30" cm="1">
        <f t="array" ref="CW30">_xlfn.IFS(CU30*1=1,1,CU30*1=2,1,TRUE,0)</f>
        <v>1</v>
      </c>
      <c r="CX30" s="3" t="e">
        <f>NA()</f>
        <v>#N/A</v>
      </c>
      <c r="CY30" s="3">
        <f t="shared" si="0"/>
        <v>7.5</v>
      </c>
      <c r="CZ30" s="3" cm="1">
        <f t="array" ref="CZ30">_xlfn.IFS(BP30&lt;&gt;"", BP30, CV30=1,  AQ30, CV30=0,  AZ30)</f>
        <v>7.5</v>
      </c>
      <c r="DA30" s="3" t="e">
        <f>NA()</f>
        <v>#N/A</v>
      </c>
      <c r="DB30" s="36">
        <f t="shared" si="1"/>
        <v>0.5</v>
      </c>
      <c r="DC30" s="3" t="e">
        <f t="shared" si="2"/>
        <v>#N/A</v>
      </c>
      <c r="DD30" s="3">
        <f t="shared" si="3"/>
        <v>0.5</v>
      </c>
      <c r="DE30" s="3">
        <f t="shared" si="4"/>
        <v>0.5</v>
      </c>
      <c r="DF30" s="3" t="e">
        <f t="shared" si="5"/>
        <v>#N/A</v>
      </c>
      <c r="DG30" s="3" t="e">
        <f t="shared" si="6"/>
        <v>#N/A</v>
      </c>
      <c r="DI30" s="3" t="s">
        <v>959</v>
      </c>
      <c r="DN30" s="3" t="s">
        <v>959</v>
      </c>
      <c r="DO30" s="63"/>
      <c r="DP30" s="63"/>
      <c r="DQ30" s="63"/>
      <c r="DS30" s="3" t="s">
        <v>959</v>
      </c>
      <c r="DT30" s="63"/>
      <c r="DU30" s="63"/>
      <c r="DV30" s="63"/>
    </row>
    <row r="31" spans="1:126" x14ac:dyDescent="0.4">
      <c r="A31" s="3">
        <v>202410</v>
      </c>
      <c r="B31" s="3">
        <v>111</v>
      </c>
      <c r="C31" s="5">
        <v>45584.472974537035</v>
      </c>
      <c r="D31" s="5">
        <v>45584.475532407407</v>
      </c>
      <c r="E31" s="3">
        <v>0</v>
      </c>
      <c r="F31" s="4" t="s">
        <v>693</v>
      </c>
      <c r="G31" s="3">
        <v>100</v>
      </c>
      <c r="H31" s="3">
        <v>221</v>
      </c>
      <c r="I31" s="3">
        <v>1</v>
      </c>
      <c r="J31" s="5">
        <v>45584.47555412037</v>
      </c>
      <c r="K31" s="4" t="s">
        <v>694</v>
      </c>
      <c r="L31" s="4" t="s">
        <v>122</v>
      </c>
      <c r="M31" s="4" t="s">
        <v>122</v>
      </c>
      <c r="N31" s="4" t="s">
        <v>122</v>
      </c>
      <c r="O31" s="4" t="s">
        <v>122</v>
      </c>
      <c r="P31" s="3">
        <v>35.151800000000001</v>
      </c>
      <c r="Q31" s="3">
        <v>-106.5789</v>
      </c>
      <c r="R31" s="4" t="s">
        <v>129</v>
      </c>
      <c r="S31" s="4" t="s">
        <v>124</v>
      </c>
      <c r="T31" s="4" t="s">
        <v>695</v>
      </c>
      <c r="U31" s="3">
        <v>0</v>
      </c>
      <c r="V31" s="3">
        <v>2</v>
      </c>
      <c r="W31" s="3">
        <v>2</v>
      </c>
      <c r="X31" s="3">
        <v>2</v>
      </c>
      <c r="Y31" s="3">
        <v>1</v>
      </c>
      <c r="Z31" s="3">
        <v>2</v>
      </c>
      <c r="AA31" s="3">
        <v>1</v>
      </c>
      <c r="AG31" s="3">
        <v>1</v>
      </c>
      <c r="AH31" s="3">
        <v>0</v>
      </c>
      <c r="AI31" s="4" t="s">
        <v>122</v>
      </c>
      <c r="AJ31" s="3">
        <v>5</v>
      </c>
      <c r="AK31" s="3">
        <v>7</v>
      </c>
      <c r="AL31" s="3">
        <v>4</v>
      </c>
      <c r="AM31" s="3">
        <v>5</v>
      </c>
      <c r="AN31" s="3">
        <v>5</v>
      </c>
      <c r="AO31" s="3">
        <v>4</v>
      </c>
      <c r="AP31" s="3">
        <v>3</v>
      </c>
      <c r="AQ31" s="3">
        <v>0</v>
      </c>
      <c r="AR31" s="4" t="s">
        <v>122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">
        <v>4</v>
      </c>
      <c r="BD31" s="3">
        <v>1</v>
      </c>
      <c r="BE31" s="4" t="s">
        <v>125</v>
      </c>
      <c r="BF31" s="4" t="s">
        <v>125</v>
      </c>
      <c r="BG31" s="4" t="s">
        <v>122</v>
      </c>
      <c r="BH31" s="4"/>
      <c r="BI31" s="4" t="s">
        <v>122</v>
      </c>
      <c r="BJ31" s="4" t="s">
        <v>125</v>
      </c>
      <c r="BK31" s="4" t="s">
        <v>122</v>
      </c>
      <c r="BL31" s="4" t="s">
        <v>125</v>
      </c>
      <c r="BM31" s="4" t="s">
        <v>122</v>
      </c>
      <c r="BN31" s="3">
        <v>2</v>
      </c>
      <c r="BO31" s="4"/>
      <c r="BP31" s="4" t="s">
        <v>122</v>
      </c>
      <c r="BQ31" s="4" t="s">
        <v>122</v>
      </c>
      <c r="BR31" s="4" t="s">
        <v>122</v>
      </c>
      <c r="BS31" s="4" t="s">
        <v>122</v>
      </c>
      <c r="BT31" s="4" t="s">
        <v>122</v>
      </c>
      <c r="BU31" s="4"/>
      <c r="BV31" s="4" t="s">
        <v>122</v>
      </c>
      <c r="BW31" s="4" t="s">
        <v>122</v>
      </c>
      <c r="BX31" s="4" t="s">
        <v>122</v>
      </c>
      <c r="BY31" s="4" t="s">
        <v>122</v>
      </c>
      <c r="BZ31" s="4" t="s">
        <v>122</v>
      </c>
      <c r="CA31" s="4" t="s">
        <v>122</v>
      </c>
      <c r="CD31" s="4" t="s">
        <v>122</v>
      </c>
      <c r="CE31" s="4" t="s">
        <v>122</v>
      </c>
      <c r="CF31" s="3">
        <v>1</v>
      </c>
      <c r="CG31" s="4" t="s">
        <v>122</v>
      </c>
      <c r="CH31" s="3">
        <v>5</v>
      </c>
      <c r="CI31" s="4" t="s">
        <v>122</v>
      </c>
      <c r="CJ31" s="4" t="s">
        <v>122</v>
      </c>
      <c r="CK31" s="4" t="s">
        <v>122</v>
      </c>
      <c r="CL31" s="4" t="s">
        <v>122</v>
      </c>
      <c r="CM31" s="4" t="s">
        <v>122</v>
      </c>
      <c r="CN31" s="4" t="s">
        <v>122</v>
      </c>
      <c r="CO31" s="4" t="s">
        <v>125</v>
      </c>
      <c r="CP31" s="4" t="s">
        <v>122</v>
      </c>
      <c r="CQ31" s="4" t="s">
        <v>122</v>
      </c>
      <c r="CR31" s="4" t="s">
        <v>122</v>
      </c>
      <c r="CS31" s="3">
        <v>5</v>
      </c>
      <c r="CT31" s="3">
        <v>4</v>
      </c>
      <c r="CU31" s="3">
        <v>1</v>
      </c>
      <c r="CV31">
        <v>1</v>
      </c>
      <c r="CW31" cm="1">
        <f t="array" ref="CW31">_xlfn.IFS(CU31*1=1,1,CU31*1=2,1,TRUE,0)</f>
        <v>1</v>
      </c>
      <c r="CX31" s="3" t="e">
        <f>NA()</f>
        <v>#N/A</v>
      </c>
      <c r="CY31" s="3">
        <f t="shared" si="0"/>
        <v>4</v>
      </c>
      <c r="CZ31" s="3" cm="1">
        <f t="array" ref="CZ31">_xlfn.IFS(BP31&lt;&gt;"", BP31, CV31=1,  AQ31, CV31=0,  AZ31)</f>
        <v>0</v>
      </c>
      <c r="DA31" s="3" t="e">
        <f>NA()</f>
        <v>#N/A</v>
      </c>
      <c r="DB31" s="36">
        <f t="shared" si="1"/>
        <v>4</v>
      </c>
      <c r="DC31" s="3" t="e">
        <f t="shared" si="2"/>
        <v>#N/A</v>
      </c>
      <c r="DD31" s="3">
        <f t="shared" si="3"/>
        <v>0</v>
      </c>
      <c r="DE31" s="3">
        <f t="shared" si="4"/>
        <v>4</v>
      </c>
      <c r="DF31" s="3" t="e">
        <f t="shared" si="5"/>
        <v>#N/A</v>
      </c>
      <c r="DG31" s="3" t="e">
        <f t="shared" si="6"/>
        <v>#N/A</v>
      </c>
      <c r="DI31" s="61" t="s">
        <v>953</v>
      </c>
      <c r="DJ31" s="64" t="s">
        <v>956</v>
      </c>
      <c r="DK31" s="64" t="s">
        <v>957</v>
      </c>
      <c r="DL31" s="64" t="s">
        <v>955</v>
      </c>
      <c r="DN31" s="61" t="s">
        <v>953</v>
      </c>
      <c r="DO31" s="64" t="s">
        <v>956</v>
      </c>
      <c r="DP31" s="64" t="s">
        <v>957</v>
      </c>
      <c r="DQ31" s="64" t="s">
        <v>955</v>
      </c>
      <c r="DS31" s="61" t="s">
        <v>953</v>
      </c>
      <c r="DT31" s="64" t="s">
        <v>956</v>
      </c>
      <c r="DU31" s="64" t="s">
        <v>957</v>
      </c>
      <c r="DV31" s="64" t="s">
        <v>955</v>
      </c>
    </row>
    <row r="32" spans="1:126" x14ac:dyDescent="0.4">
      <c r="A32" s="3">
        <v>202410</v>
      </c>
      <c r="B32" s="3">
        <v>111</v>
      </c>
      <c r="C32" s="5">
        <v>45584.475740740738</v>
      </c>
      <c r="D32" s="5">
        <v>45584.480034722219</v>
      </c>
      <c r="E32" s="3">
        <v>0</v>
      </c>
      <c r="F32" s="4" t="s">
        <v>432</v>
      </c>
      <c r="G32" s="3">
        <v>100</v>
      </c>
      <c r="H32" s="3">
        <v>370</v>
      </c>
      <c r="I32" s="3">
        <v>1</v>
      </c>
      <c r="J32" s="5">
        <v>45584.480050266204</v>
      </c>
      <c r="K32" s="4" t="s">
        <v>701</v>
      </c>
      <c r="L32" s="4" t="s">
        <v>122</v>
      </c>
      <c r="M32" s="4" t="s">
        <v>122</v>
      </c>
      <c r="N32" s="4" t="s">
        <v>122</v>
      </c>
      <c r="O32" s="4" t="s">
        <v>122</v>
      </c>
      <c r="P32" s="3">
        <v>32.250300000000003</v>
      </c>
      <c r="Q32" s="3">
        <v>-110.94499999999999</v>
      </c>
      <c r="R32" s="4" t="s">
        <v>129</v>
      </c>
      <c r="S32" s="4" t="s">
        <v>124</v>
      </c>
      <c r="T32" s="4" t="s">
        <v>702</v>
      </c>
      <c r="U32" s="3">
        <v>1</v>
      </c>
      <c r="V32" s="3">
        <v>2</v>
      </c>
      <c r="W32" s="3">
        <v>2</v>
      </c>
      <c r="X32" s="3">
        <v>1</v>
      </c>
      <c r="Y32" s="3">
        <v>2</v>
      </c>
      <c r="Z32" s="3">
        <v>2</v>
      </c>
      <c r="AA32" s="3">
        <v>1</v>
      </c>
      <c r="AG32" s="3">
        <v>4</v>
      </c>
      <c r="AH32" s="3">
        <v>4</v>
      </c>
      <c r="AI32" s="3">
        <v>3</v>
      </c>
      <c r="AJ32" s="3">
        <v>7</v>
      </c>
      <c r="AK32" s="3">
        <v>8</v>
      </c>
      <c r="AL32" s="3">
        <v>5</v>
      </c>
      <c r="AM32" s="3">
        <v>7</v>
      </c>
      <c r="AN32" s="3">
        <v>7</v>
      </c>
      <c r="AO32" s="3">
        <v>4</v>
      </c>
      <c r="AP32" s="3">
        <v>3</v>
      </c>
      <c r="AQ32" s="4" t="s">
        <v>122</v>
      </c>
      <c r="AR32" s="4" t="s">
        <v>122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 t="s">
        <v>122</v>
      </c>
      <c r="BD32" s="4" t="s">
        <v>122</v>
      </c>
      <c r="BE32" s="4" t="s">
        <v>122</v>
      </c>
      <c r="BF32" s="4" t="s">
        <v>122</v>
      </c>
      <c r="BG32" s="4" t="s">
        <v>122</v>
      </c>
      <c r="BH32" s="4"/>
      <c r="BI32" s="4" t="s">
        <v>122</v>
      </c>
      <c r="BJ32" s="4" t="s">
        <v>122</v>
      </c>
      <c r="BK32" s="4" t="s">
        <v>122</v>
      </c>
      <c r="BL32" s="4" t="s">
        <v>122</v>
      </c>
      <c r="BM32" s="4" t="s">
        <v>122</v>
      </c>
      <c r="BN32" s="4" t="s">
        <v>122</v>
      </c>
      <c r="BO32" s="4"/>
      <c r="BP32" s="3">
        <v>4</v>
      </c>
      <c r="BQ32" s="3">
        <v>3</v>
      </c>
      <c r="BR32" s="4" t="s">
        <v>125</v>
      </c>
      <c r="BS32" s="4" t="s">
        <v>122</v>
      </c>
      <c r="BT32" s="4" t="s">
        <v>122</v>
      </c>
      <c r="BU32" s="4"/>
      <c r="BV32" s="4" t="s">
        <v>122</v>
      </c>
      <c r="BW32" s="4" t="s">
        <v>122</v>
      </c>
      <c r="BX32" s="4" t="s">
        <v>122</v>
      </c>
      <c r="BY32" s="4" t="s">
        <v>122</v>
      </c>
      <c r="BZ32" s="4" t="s">
        <v>122</v>
      </c>
      <c r="CA32" s="3">
        <v>1</v>
      </c>
      <c r="CD32" s="3">
        <v>5</v>
      </c>
      <c r="CE32" s="3">
        <v>2</v>
      </c>
      <c r="CF32" s="3">
        <v>2</v>
      </c>
      <c r="CG32" s="4" t="s">
        <v>122</v>
      </c>
      <c r="CH32" s="3">
        <v>6</v>
      </c>
      <c r="CI32" s="4" t="s">
        <v>122</v>
      </c>
      <c r="CJ32" s="4" t="s">
        <v>122</v>
      </c>
      <c r="CK32" s="4" t="s">
        <v>122</v>
      </c>
      <c r="CL32" s="4" t="s">
        <v>122</v>
      </c>
      <c r="CM32" s="4" t="s">
        <v>122</v>
      </c>
      <c r="CN32" s="4" t="s">
        <v>122</v>
      </c>
      <c r="CO32" s="4" t="s">
        <v>125</v>
      </c>
      <c r="CP32" s="4" t="s">
        <v>122</v>
      </c>
      <c r="CQ32" s="4" t="s">
        <v>122</v>
      </c>
      <c r="CR32" s="4" t="s">
        <v>122</v>
      </c>
      <c r="CS32" s="3">
        <v>5</v>
      </c>
      <c r="CT32" s="3">
        <v>4</v>
      </c>
      <c r="CU32" s="3">
        <v>0</v>
      </c>
      <c r="CV32">
        <v>1</v>
      </c>
      <c r="CW32" cm="1">
        <f t="array" ref="CW32">_xlfn.IFS(CU32*1=1,1,CU32*1=2,1,TRUE,0)</f>
        <v>0</v>
      </c>
      <c r="CX32" s="3" t="e">
        <f>NA()</f>
        <v>#N/A</v>
      </c>
      <c r="CY32" s="3">
        <f t="shared" si="0"/>
        <v>5</v>
      </c>
      <c r="CZ32" s="3" cm="1">
        <f t="array" ref="CZ32">_xlfn.IFS(BP32&lt;&gt;"", BP32, CV32=1,  AQ32, CV32=0,  AZ32)</f>
        <v>4</v>
      </c>
      <c r="DA32" s="3" t="e">
        <f>NA()</f>
        <v>#N/A</v>
      </c>
      <c r="DB32" s="36">
        <f t="shared" si="1"/>
        <v>1</v>
      </c>
      <c r="DC32" s="3" t="e">
        <f t="shared" si="2"/>
        <v>#N/A</v>
      </c>
      <c r="DD32" s="3">
        <f t="shared" si="3"/>
        <v>1</v>
      </c>
      <c r="DE32" s="3">
        <f t="shared" si="4"/>
        <v>0</v>
      </c>
      <c r="DF32" s="3" t="e">
        <f t="shared" si="5"/>
        <v>#N/A</v>
      </c>
      <c r="DG32" s="3" t="e">
        <f t="shared" si="6"/>
        <v>#N/A</v>
      </c>
      <c r="DI32" s="59">
        <v>202410</v>
      </c>
      <c r="DJ32" s="66">
        <f>_xlfn.T.DIST.2T(ABS(DJ25),DJ4-1)</f>
        <v>9.381576686327435E-3</v>
      </c>
      <c r="DK32" s="66"/>
      <c r="DL32" s="66"/>
      <c r="DN32" s="59">
        <v>202410</v>
      </c>
      <c r="DO32" s="66">
        <f>_xlfn.T.DIST.2T(ABS(DO25),DO4-1)</f>
        <v>0.10388916900647352</v>
      </c>
      <c r="DP32" s="66"/>
      <c r="DQ32" s="66"/>
      <c r="DS32" s="59">
        <v>202410</v>
      </c>
      <c r="DT32" s="66">
        <f>_xlfn.T.DIST.2T(ABS(DT25),DT4-1)</f>
        <v>2.5643453416743102E-2</v>
      </c>
      <c r="DU32" s="66"/>
      <c r="DV32" s="66"/>
    </row>
    <row r="33" spans="1:126" x14ac:dyDescent="0.4">
      <c r="A33" s="3">
        <v>202410</v>
      </c>
      <c r="B33" s="3">
        <v>111</v>
      </c>
      <c r="C33" s="5">
        <v>45584.479525462964</v>
      </c>
      <c r="D33" s="5">
        <v>45584.482430555552</v>
      </c>
      <c r="E33" s="3">
        <v>0</v>
      </c>
      <c r="F33" s="4" t="s">
        <v>696</v>
      </c>
      <c r="G33" s="3">
        <v>100</v>
      </c>
      <c r="H33" s="3">
        <v>250</v>
      </c>
      <c r="I33" s="3">
        <v>1</v>
      </c>
      <c r="J33" s="5">
        <v>45584.482444456022</v>
      </c>
      <c r="K33" s="4" t="s">
        <v>703</v>
      </c>
      <c r="L33" s="4" t="s">
        <v>122</v>
      </c>
      <c r="M33" s="4" t="s">
        <v>122</v>
      </c>
      <c r="N33" s="4" t="s">
        <v>122</v>
      </c>
      <c r="O33" s="4" t="s">
        <v>122</v>
      </c>
      <c r="P33" s="3">
        <v>32.250300000000003</v>
      </c>
      <c r="Q33" s="3">
        <v>-110.94499999999999</v>
      </c>
      <c r="R33" s="4" t="s">
        <v>129</v>
      </c>
      <c r="S33" s="4" t="s">
        <v>124</v>
      </c>
      <c r="T33" s="4" t="s">
        <v>704</v>
      </c>
      <c r="U33" s="3">
        <v>1</v>
      </c>
      <c r="V33" s="3">
        <v>2</v>
      </c>
      <c r="W33" s="3">
        <v>2</v>
      </c>
      <c r="X33" s="3">
        <v>1</v>
      </c>
      <c r="Y33" s="3">
        <v>2</v>
      </c>
      <c r="Z33" s="3">
        <v>2</v>
      </c>
      <c r="AA33" s="3">
        <v>2</v>
      </c>
      <c r="AG33" s="3">
        <v>5</v>
      </c>
      <c r="AH33" s="3">
        <v>4</v>
      </c>
      <c r="AI33" s="3">
        <v>3</v>
      </c>
      <c r="AJ33" s="3">
        <v>8</v>
      </c>
      <c r="AK33" s="3">
        <v>9</v>
      </c>
      <c r="AL33" s="3">
        <v>9</v>
      </c>
      <c r="AM33" s="3">
        <v>8</v>
      </c>
      <c r="AN33" s="3">
        <v>8</v>
      </c>
      <c r="AO33" s="3">
        <v>3</v>
      </c>
      <c r="AP33" s="3">
        <v>3</v>
      </c>
      <c r="AQ33" s="3">
        <v>4</v>
      </c>
      <c r="AR33" s="3">
        <v>3</v>
      </c>
      <c r="BC33" s="3">
        <v>4.5</v>
      </c>
      <c r="BD33" s="3">
        <v>3</v>
      </c>
      <c r="BE33" s="4" t="s">
        <v>125</v>
      </c>
      <c r="BF33" s="4" t="s">
        <v>125</v>
      </c>
      <c r="BG33" s="4" t="s">
        <v>122</v>
      </c>
      <c r="BH33" s="4"/>
      <c r="BI33" s="4" t="s">
        <v>122</v>
      </c>
      <c r="BJ33" s="4" t="s">
        <v>122</v>
      </c>
      <c r="BK33" s="4" t="s">
        <v>122</v>
      </c>
      <c r="BL33" s="4" t="s">
        <v>122</v>
      </c>
      <c r="BM33" s="4" t="s">
        <v>122</v>
      </c>
      <c r="BN33" s="3">
        <v>2</v>
      </c>
      <c r="BP33" s="4" t="s">
        <v>122</v>
      </c>
      <c r="BQ33" s="4" t="s">
        <v>122</v>
      </c>
      <c r="BR33" s="4" t="s">
        <v>122</v>
      </c>
      <c r="BS33" s="4" t="s">
        <v>122</v>
      </c>
      <c r="BT33" s="4" t="s">
        <v>122</v>
      </c>
      <c r="BU33" s="4"/>
      <c r="BV33" s="4" t="s">
        <v>122</v>
      </c>
      <c r="BW33" s="4" t="s">
        <v>122</v>
      </c>
      <c r="BX33" s="4" t="s">
        <v>122</v>
      </c>
      <c r="BY33" s="4" t="s">
        <v>122</v>
      </c>
      <c r="BZ33" s="4" t="s">
        <v>122</v>
      </c>
      <c r="CA33" s="4" t="s">
        <v>122</v>
      </c>
      <c r="CD33" s="4" t="s">
        <v>122</v>
      </c>
      <c r="CE33" s="4" t="s">
        <v>122</v>
      </c>
      <c r="CF33" s="3">
        <v>1</v>
      </c>
      <c r="CG33" s="4" t="s">
        <v>122</v>
      </c>
      <c r="CH33" s="3">
        <v>7</v>
      </c>
      <c r="CI33" s="4" t="s">
        <v>122</v>
      </c>
      <c r="CJ33" s="4" t="s">
        <v>122</v>
      </c>
      <c r="CK33" s="4" t="s">
        <v>122</v>
      </c>
      <c r="CL33" s="4" t="s">
        <v>122</v>
      </c>
      <c r="CM33" s="4" t="s">
        <v>122</v>
      </c>
      <c r="CN33" s="4" t="s">
        <v>122</v>
      </c>
      <c r="CO33" s="4" t="s">
        <v>125</v>
      </c>
      <c r="CP33" s="4" t="s">
        <v>122</v>
      </c>
      <c r="CQ33" s="4" t="s">
        <v>122</v>
      </c>
      <c r="CR33" s="4" t="s">
        <v>122</v>
      </c>
      <c r="CS33" s="3">
        <v>4</v>
      </c>
      <c r="CT33" s="3">
        <v>-999</v>
      </c>
      <c r="CU33" s="3">
        <v>1</v>
      </c>
      <c r="CV33">
        <v>1</v>
      </c>
      <c r="CW33" cm="1">
        <f t="array" ref="CW33">_xlfn.IFS(CU33*1=1,1,CU33*1=2,1,TRUE,0)</f>
        <v>1</v>
      </c>
      <c r="CX33" s="3" t="e">
        <f>NA()</f>
        <v>#N/A</v>
      </c>
      <c r="CY33" s="3">
        <f t="shared" si="0"/>
        <v>4.5</v>
      </c>
      <c r="CZ33" s="3" cm="1">
        <f t="array" ref="CZ33">_xlfn.IFS(BP33&lt;&gt;"", BP33, CV33=1,  AQ33, CV33=0,  AZ33)</f>
        <v>4</v>
      </c>
      <c r="DA33" s="3" t="e">
        <f>NA()</f>
        <v>#N/A</v>
      </c>
      <c r="DB33" s="36">
        <f t="shared" si="1"/>
        <v>0.5</v>
      </c>
      <c r="DC33" s="3" t="e">
        <f t="shared" si="2"/>
        <v>#N/A</v>
      </c>
      <c r="DD33" s="3">
        <f t="shared" si="3"/>
        <v>0</v>
      </c>
      <c r="DE33" s="3">
        <f t="shared" si="4"/>
        <v>0.5</v>
      </c>
      <c r="DF33" s="3" t="e">
        <f t="shared" si="5"/>
        <v>#N/A</v>
      </c>
      <c r="DG33" s="3" t="e">
        <f t="shared" si="6"/>
        <v>#N/A</v>
      </c>
      <c r="DI33" s="59">
        <v>202503</v>
      </c>
      <c r="DJ33" s="66">
        <f>_xlfn.T.DIST.2T(ABS(DJ26),DJ5-1)</f>
        <v>0.14041745400988642</v>
      </c>
      <c r="DK33" s="66">
        <f t="shared" ref="DK33:DL35" si="8">_xlfn.T.DIST.2T(ABS(DK26),DK5-1)</f>
        <v>1.3447008240985754E-2</v>
      </c>
      <c r="DL33" s="66">
        <f t="shared" si="8"/>
        <v>5.2448717994967933E-3</v>
      </c>
      <c r="DN33" s="59">
        <v>202503</v>
      </c>
      <c r="DO33" s="66">
        <f>_xlfn.T.DIST.2T(ABS(DO26),DO5-1)</f>
        <v>0.3064319093590171</v>
      </c>
      <c r="DP33" s="66">
        <f>_xlfn.T.DIST.2T(ABS(DP26),DP5-1)</f>
        <v>2.5135729106897986E-2</v>
      </c>
      <c r="DQ33" s="66"/>
      <c r="DS33" s="59">
        <v>202503</v>
      </c>
      <c r="DT33" s="66">
        <f>_xlfn.T.DIST.2T(ABS(DT26),DT5-1)</f>
        <v>0.26734397534820531</v>
      </c>
      <c r="DU33" s="66">
        <f>_xlfn.T.DIST.2T(ABS(DU26),DU5-1)</f>
        <v>6.2517283271082774E-2</v>
      </c>
      <c r="DV33" s="66"/>
    </row>
    <row r="34" spans="1:126" x14ac:dyDescent="0.4">
      <c r="A34" s="3">
        <v>202410</v>
      </c>
      <c r="B34" s="3">
        <v>111</v>
      </c>
      <c r="C34" s="5">
        <v>45584.47996527778</v>
      </c>
      <c r="D34" s="5">
        <v>45584.485509259262</v>
      </c>
      <c r="E34" s="3">
        <v>0</v>
      </c>
      <c r="F34" s="4" t="s">
        <v>705</v>
      </c>
      <c r="G34" s="3">
        <v>100</v>
      </c>
      <c r="H34" s="3">
        <v>479</v>
      </c>
      <c r="I34" s="3">
        <v>1</v>
      </c>
      <c r="J34" s="5">
        <v>45584.48552898148</v>
      </c>
      <c r="K34" s="4" t="s">
        <v>706</v>
      </c>
      <c r="L34" s="4" t="s">
        <v>122</v>
      </c>
      <c r="M34" s="4" t="s">
        <v>122</v>
      </c>
      <c r="N34" s="4" t="s">
        <v>122</v>
      </c>
      <c r="O34" s="4" t="s">
        <v>122</v>
      </c>
      <c r="P34" s="3">
        <v>33.412199999999999</v>
      </c>
      <c r="Q34" s="3">
        <v>-112.0287</v>
      </c>
      <c r="R34" s="4" t="s">
        <v>129</v>
      </c>
      <c r="S34" s="4" t="s">
        <v>124</v>
      </c>
      <c r="T34" s="4" t="s">
        <v>707</v>
      </c>
      <c r="U34" s="3">
        <v>1</v>
      </c>
      <c r="V34" s="3">
        <v>3</v>
      </c>
      <c r="W34" s="3">
        <v>2</v>
      </c>
      <c r="X34" s="3">
        <v>1</v>
      </c>
      <c r="Y34" s="3">
        <v>2</v>
      </c>
      <c r="Z34" s="3">
        <v>2</v>
      </c>
      <c r="AA34" s="3">
        <v>2</v>
      </c>
      <c r="AG34" s="3">
        <v>2</v>
      </c>
      <c r="AH34" s="3">
        <v>7</v>
      </c>
      <c r="AI34" s="3">
        <v>3</v>
      </c>
      <c r="AJ34" s="3">
        <v>7</v>
      </c>
      <c r="AK34" s="3">
        <v>8</v>
      </c>
      <c r="AL34" s="3">
        <v>8</v>
      </c>
      <c r="AM34" s="3">
        <v>7</v>
      </c>
      <c r="AN34" s="3">
        <v>7</v>
      </c>
      <c r="AO34" s="3">
        <v>3</v>
      </c>
      <c r="AP34" s="3">
        <v>3</v>
      </c>
      <c r="AQ34" s="4" t="s">
        <v>122</v>
      </c>
      <c r="AR34" s="4" t="s">
        <v>122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 t="s">
        <v>122</v>
      </c>
      <c r="BD34" s="4" t="s">
        <v>122</v>
      </c>
      <c r="BE34" s="4" t="s">
        <v>122</v>
      </c>
      <c r="BF34" s="4" t="s">
        <v>122</v>
      </c>
      <c r="BG34" s="4" t="s">
        <v>122</v>
      </c>
      <c r="BH34" s="4"/>
      <c r="BI34" s="4" t="s">
        <v>122</v>
      </c>
      <c r="BJ34" s="4" t="s">
        <v>122</v>
      </c>
      <c r="BK34" s="4" t="s">
        <v>122</v>
      </c>
      <c r="BL34" s="4" t="s">
        <v>122</v>
      </c>
      <c r="BM34" s="4" t="s">
        <v>122</v>
      </c>
      <c r="BN34" s="4" t="s">
        <v>122</v>
      </c>
      <c r="BO34" s="4"/>
      <c r="BP34" s="3">
        <v>7</v>
      </c>
      <c r="BQ34" s="3">
        <v>3</v>
      </c>
      <c r="BR34" s="4" t="s">
        <v>125</v>
      </c>
      <c r="BS34" s="4" t="s">
        <v>122</v>
      </c>
      <c r="BT34" s="4" t="s">
        <v>125</v>
      </c>
      <c r="BU34" s="4"/>
      <c r="BV34" s="4" t="s">
        <v>122</v>
      </c>
      <c r="BW34" s="4" t="s">
        <v>122</v>
      </c>
      <c r="BX34" s="4" t="s">
        <v>122</v>
      </c>
      <c r="BY34" s="4" t="s">
        <v>122</v>
      </c>
      <c r="BZ34" s="4" t="s">
        <v>122</v>
      </c>
      <c r="CA34" s="3">
        <v>1</v>
      </c>
      <c r="CD34" s="3">
        <v>7</v>
      </c>
      <c r="CE34" s="3">
        <v>3</v>
      </c>
      <c r="CF34" s="3">
        <v>2</v>
      </c>
      <c r="CG34" s="4" t="s">
        <v>122</v>
      </c>
      <c r="CH34" s="3">
        <v>3</v>
      </c>
      <c r="CI34" s="4" t="s">
        <v>122</v>
      </c>
      <c r="CJ34" s="4" t="s">
        <v>122</v>
      </c>
      <c r="CK34" s="4" t="s">
        <v>122</v>
      </c>
      <c r="CL34" s="4" t="s">
        <v>125</v>
      </c>
      <c r="CM34" s="4" t="s">
        <v>122</v>
      </c>
      <c r="CN34" s="4" t="s">
        <v>122</v>
      </c>
      <c r="CO34" s="4" t="s">
        <v>122</v>
      </c>
      <c r="CP34" s="4" t="s">
        <v>122</v>
      </c>
      <c r="CQ34" s="4" t="s">
        <v>122</v>
      </c>
      <c r="CR34" s="4" t="s">
        <v>122</v>
      </c>
      <c r="CS34" s="3">
        <v>5</v>
      </c>
      <c r="CT34" s="3">
        <v>3</v>
      </c>
      <c r="CU34" s="3">
        <v>0</v>
      </c>
      <c r="CV34">
        <v>1</v>
      </c>
      <c r="CW34" cm="1">
        <f t="array" ref="CW34">_xlfn.IFS(CU34*1=1,1,CU34*1=2,1,TRUE,0)</f>
        <v>0</v>
      </c>
      <c r="CX34" s="3" t="e">
        <f>NA()</f>
        <v>#N/A</v>
      </c>
      <c r="CY34" s="3">
        <f t="shared" si="0"/>
        <v>7</v>
      </c>
      <c r="CZ34" s="3" cm="1">
        <f t="array" ref="CZ34">_xlfn.IFS(BP34&lt;&gt;"", BP34, CV34=1,  AQ34, CV34=0,  AZ34)</f>
        <v>7</v>
      </c>
      <c r="DA34" s="3" t="e">
        <f>NA()</f>
        <v>#N/A</v>
      </c>
      <c r="DB34" s="36">
        <f t="shared" si="1"/>
        <v>0</v>
      </c>
      <c r="DC34" s="3" t="e">
        <f t="shared" si="2"/>
        <v>#N/A</v>
      </c>
      <c r="DD34" s="3">
        <f t="shared" si="3"/>
        <v>0</v>
      </c>
      <c r="DE34" s="3">
        <f t="shared" si="4"/>
        <v>0</v>
      </c>
      <c r="DF34" s="3" t="e">
        <f t="shared" si="5"/>
        <v>#N/A</v>
      </c>
      <c r="DG34" s="3" t="e">
        <f t="shared" si="6"/>
        <v>#N/A</v>
      </c>
      <c r="DI34" s="59">
        <v>202511</v>
      </c>
      <c r="DJ34" s="66">
        <f>_xlfn.T.DIST.2T(ABS(DJ27),DJ6-1)</f>
        <v>0.1779356617600181</v>
      </c>
      <c r="DK34" s="66">
        <f t="shared" si="8"/>
        <v>6.7982160277889725E-2</v>
      </c>
      <c r="DL34" s="66">
        <f t="shared" si="8"/>
        <v>2.43520620494996E-2</v>
      </c>
      <c r="DN34" s="59">
        <v>202511</v>
      </c>
      <c r="DO34" s="66">
        <f>_xlfn.T.DIST.2T(ABS(DO27),DO6-1)</f>
        <v>0.16131309732538318</v>
      </c>
      <c r="DP34" s="66">
        <f>_xlfn.T.DIST.2T(ABS(DP27),DP6-1)</f>
        <v>0.13454927244475437</v>
      </c>
      <c r="DQ34" s="66"/>
      <c r="DS34" s="59">
        <v>202511</v>
      </c>
      <c r="DT34" s="66">
        <f>_xlfn.T.DIST.2T(ABS(DT27),DT6-1)</f>
        <v>0.13593003630451186</v>
      </c>
      <c r="DU34" s="66">
        <f>_xlfn.T.DIST.2T(ABS(DU27),DU6-1)</f>
        <v>0.16990535796742615</v>
      </c>
      <c r="DV34" s="66"/>
    </row>
    <row r="35" spans="1:126" x14ac:dyDescent="0.4">
      <c r="A35" s="3">
        <v>202410</v>
      </c>
      <c r="B35" s="3">
        <v>111</v>
      </c>
      <c r="C35" s="5">
        <v>45584.482141203705</v>
      </c>
      <c r="D35" s="5">
        <v>45584.485983796294</v>
      </c>
      <c r="E35" s="3">
        <v>0</v>
      </c>
      <c r="F35" s="4" t="s">
        <v>708</v>
      </c>
      <c r="G35" s="3">
        <v>100</v>
      </c>
      <c r="H35" s="3">
        <v>331</v>
      </c>
      <c r="I35" s="3">
        <v>1</v>
      </c>
      <c r="J35" s="5">
        <v>45584.486004629631</v>
      </c>
      <c r="K35" s="4" t="s">
        <v>709</v>
      </c>
      <c r="L35" s="4" t="s">
        <v>122</v>
      </c>
      <c r="M35" s="4" t="s">
        <v>122</v>
      </c>
      <c r="N35" s="4" t="s">
        <v>122</v>
      </c>
      <c r="O35" s="4" t="s">
        <v>122</v>
      </c>
      <c r="P35" s="3">
        <v>36.115000000000002</v>
      </c>
      <c r="Q35" s="3">
        <v>-115.2165</v>
      </c>
      <c r="R35" s="4" t="s">
        <v>129</v>
      </c>
      <c r="S35" s="4" t="s">
        <v>124</v>
      </c>
      <c r="T35" s="4" t="s">
        <v>710</v>
      </c>
      <c r="U35" s="3">
        <v>0</v>
      </c>
      <c r="V35" s="3">
        <v>5</v>
      </c>
      <c r="W35" s="3">
        <v>5</v>
      </c>
      <c r="X35" s="3">
        <v>5</v>
      </c>
      <c r="Y35" s="3">
        <v>5</v>
      </c>
      <c r="Z35" s="3">
        <v>4</v>
      </c>
      <c r="AA35" s="3">
        <v>4</v>
      </c>
      <c r="AG35" s="3">
        <v>2</v>
      </c>
      <c r="AH35" s="3">
        <v>5</v>
      </c>
      <c r="AI35" s="3">
        <v>3</v>
      </c>
      <c r="AJ35" s="3">
        <v>7</v>
      </c>
      <c r="AK35" s="3">
        <v>8</v>
      </c>
      <c r="AL35" s="3">
        <v>8</v>
      </c>
      <c r="AM35" s="3">
        <v>7</v>
      </c>
      <c r="AN35" s="3">
        <v>7</v>
      </c>
      <c r="AO35" s="3">
        <v>2</v>
      </c>
      <c r="AP35" s="3">
        <v>3</v>
      </c>
      <c r="AQ35" s="3">
        <v>5</v>
      </c>
      <c r="AR35" s="3">
        <v>3</v>
      </c>
      <c r="BC35" s="3">
        <v>5</v>
      </c>
      <c r="BD35" s="3">
        <v>3</v>
      </c>
      <c r="BE35" s="4" t="s">
        <v>122</v>
      </c>
      <c r="BF35" s="4" t="s">
        <v>125</v>
      </c>
      <c r="BG35" s="4" t="s">
        <v>125</v>
      </c>
      <c r="BH35" s="4"/>
      <c r="BI35" s="4" t="s">
        <v>125</v>
      </c>
      <c r="BJ35" s="4" t="s">
        <v>122</v>
      </c>
      <c r="BK35" s="4" t="s">
        <v>122</v>
      </c>
      <c r="BL35" s="4" t="s">
        <v>122</v>
      </c>
      <c r="BM35" s="4" t="s">
        <v>122</v>
      </c>
      <c r="BN35" s="3">
        <v>4</v>
      </c>
      <c r="BP35" s="4" t="s">
        <v>122</v>
      </c>
      <c r="BQ35" s="4" t="s">
        <v>122</v>
      </c>
      <c r="BR35" s="4" t="s">
        <v>122</v>
      </c>
      <c r="BS35" s="4" t="s">
        <v>122</v>
      </c>
      <c r="BT35" s="4" t="s">
        <v>122</v>
      </c>
      <c r="BU35" s="4"/>
      <c r="BV35" s="4" t="s">
        <v>122</v>
      </c>
      <c r="BW35" s="4" t="s">
        <v>122</v>
      </c>
      <c r="BX35" s="4" t="s">
        <v>122</v>
      </c>
      <c r="BY35" s="4" t="s">
        <v>122</v>
      </c>
      <c r="BZ35" s="4" t="s">
        <v>122</v>
      </c>
      <c r="CA35" s="4" t="s">
        <v>122</v>
      </c>
      <c r="CD35" s="4" t="s">
        <v>122</v>
      </c>
      <c r="CE35" s="4" t="s">
        <v>122</v>
      </c>
      <c r="CF35" s="3">
        <v>1</v>
      </c>
      <c r="CG35" s="4" t="s">
        <v>122</v>
      </c>
      <c r="CH35" s="3">
        <v>6</v>
      </c>
      <c r="CI35" s="4" t="s">
        <v>122</v>
      </c>
      <c r="CJ35" s="4" t="s">
        <v>122</v>
      </c>
      <c r="CK35" s="4" t="s">
        <v>125</v>
      </c>
      <c r="CL35" s="4" t="s">
        <v>122</v>
      </c>
      <c r="CM35" s="4" t="s">
        <v>122</v>
      </c>
      <c r="CN35" s="4" t="s">
        <v>122</v>
      </c>
      <c r="CO35" s="4" t="s">
        <v>122</v>
      </c>
      <c r="CP35" s="4" t="s">
        <v>122</v>
      </c>
      <c r="CQ35" s="4" t="s">
        <v>122</v>
      </c>
      <c r="CR35" s="4" t="s">
        <v>122</v>
      </c>
      <c r="CS35" s="3">
        <v>5</v>
      </c>
      <c r="CT35" s="3">
        <v>3</v>
      </c>
      <c r="CU35" s="3">
        <v>1</v>
      </c>
      <c r="CV35">
        <v>1</v>
      </c>
      <c r="CW35" cm="1">
        <f t="array" ref="CW35">_xlfn.IFS(CU35*1=1,1,CU35*1=2,1,TRUE,0)</f>
        <v>1</v>
      </c>
      <c r="CX35" s="3" t="e">
        <f>NA()</f>
        <v>#N/A</v>
      </c>
      <c r="CY35" s="3">
        <f t="shared" si="0"/>
        <v>5</v>
      </c>
      <c r="CZ35" s="3" cm="1">
        <f t="array" ref="CZ35">_xlfn.IFS(BP35&lt;&gt;"", BP35, CV35=1,  AQ35, CV35=0,  AZ35)</f>
        <v>5</v>
      </c>
      <c r="DA35" s="3" t="e">
        <f>NA()</f>
        <v>#N/A</v>
      </c>
      <c r="DB35" s="36">
        <f t="shared" si="1"/>
        <v>0</v>
      </c>
      <c r="DC35" s="3" t="e">
        <f t="shared" si="2"/>
        <v>#N/A</v>
      </c>
      <c r="DD35" s="3">
        <f t="shared" si="3"/>
        <v>0</v>
      </c>
      <c r="DE35" s="3">
        <f t="shared" si="4"/>
        <v>0</v>
      </c>
      <c r="DF35" s="3" t="e">
        <f t="shared" si="5"/>
        <v>#N/A</v>
      </c>
      <c r="DG35" s="3" t="e">
        <f t="shared" si="6"/>
        <v>#N/A</v>
      </c>
      <c r="DI35" s="62" t="s">
        <v>954</v>
      </c>
      <c r="DJ35" s="67">
        <f>_xlfn.T.DIST.2T(ABS(DJ28),DJ7-1)</f>
        <v>0.64871716785920319</v>
      </c>
      <c r="DK35" s="67">
        <f t="shared" si="8"/>
        <v>3.1419502688059828E-3</v>
      </c>
      <c r="DL35" s="67">
        <f t="shared" si="8"/>
        <v>2.2517669816550252E-2</v>
      </c>
      <c r="DN35" s="62" t="s">
        <v>954</v>
      </c>
      <c r="DO35" s="67">
        <f>_xlfn.T.DIST.2T(ABS(DO28),DO7-1)</f>
        <v>0.55157199066582629</v>
      </c>
      <c r="DP35" s="67">
        <f>_xlfn.T.DIST.2T(ABS(DP28),DP7-1)</f>
        <v>9.7673362120553157E-3</v>
      </c>
      <c r="DQ35" s="67"/>
      <c r="DS35" s="62" t="s">
        <v>954</v>
      </c>
      <c r="DT35" s="67">
        <f>_xlfn.T.DIST.2T(ABS(DT28),DT7-1)</f>
        <v>0.56127946819644159</v>
      </c>
      <c r="DU35" s="67">
        <f>_xlfn.T.DIST.2T(ABS(DU28),DU7-1)</f>
        <v>9.4453497183829335E-3</v>
      </c>
      <c r="DV35" s="67"/>
    </row>
    <row r="36" spans="1:126" x14ac:dyDescent="0.4">
      <c r="A36" s="3">
        <v>202410</v>
      </c>
      <c r="B36" s="3">
        <v>111</v>
      </c>
      <c r="C36" s="5">
        <v>45584.483067129629</v>
      </c>
      <c r="D36" s="5">
        <v>45584.486666666664</v>
      </c>
      <c r="E36" s="3">
        <v>0</v>
      </c>
      <c r="F36" s="4" t="s">
        <v>246</v>
      </c>
      <c r="G36" s="3">
        <v>100</v>
      </c>
      <c r="H36" s="3">
        <v>310</v>
      </c>
      <c r="I36" s="3">
        <v>1</v>
      </c>
      <c r="J36" s="5">
        <v>45584.486678067129</v>
      </c>
      <c r="K36" s="4" t="s">
        <v>711</v>
      </c>
      <c r="L36" s="4" t="s">
        <v>122</v>
      </c>
      <c r="M36" s="4" t="s">
        <v>122</v>
      </c>
      <c r="N36" s="4" t="s">
        <v>122</v>
      </c>
      <c r="O36" s="4" t="s">
        <v>122</v>
      </c>
      <c r="P36" s="3">
        <v>32.250300000000003</v>
      </c>
      <c r="Q36" s="3">
        <v>-110.94499999999999</v>
      </c>
      <c r="R36" s="4" t="s">
        <v>123</v>
      </c>
      <c r="S36" s="4" t="s">
        <v>124</v>
      </c>
      <c r="T36" s="4" t="s">
        <v>712</v>
      </c>
      <c r="U36" s="3">
        <v>1</v>
      </c>
      <c r="V36" s="3">
        <v>5</v>
      </c>
      <c r="W36" s="3">
        <v>2</v>
      </c>
      <c r="X36" s="3">
        <v>1</v>
      </c>
      <c r="Y36" s="3">
        <v>1</v>
      </c>
      <c r="Z36" s="3">
        <v>1</v>
      </c>
      <c r="AA36" s="3">
        <v>1</v>
      </c>
      <c r="AG36" s="3">
        <v>2</v>
      </c>
      <c r="AH36" s="3">
        <v>0</v>
      </c>
      <c r="AI36" s="4" t="s">
        <v>122</v>
      </c>
      <c r="AJ36" s="3">
        <v>3</v>
      </c>
      <c r="AK36" s="3">
        <v>6</v>
      </c>
      <c r="AL36" s="3">
        <v>6</v>
      </c>
      <c r="AM36" s="3">
        <v>4</v>
      </c>
      <c r="AN36" s="3">
        <v>6</v>
      </c>
      <c r="AO36" s="3">
        <v>4</v>
      </c>
      <c r="AP36" s="3">
        <v>3</v>
      </c>
      <c r="AQ36" s="3">
        <v>0</v>
      </c>
      <c r="AR36" s="4" t="s">
        <v>122</v>
      </c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">
        <v>4</v>
      </c>
      <c r="BD36" s="3">
        <v>3</v>
      </c>
      <c r="BE36" s="4" t="s">
        <v>122</v>
      </c>
      <c r="BF36" s="4" t="s">
        <v>122</v>
      </c>
      <c r="BG36" s="4" t="s">
        <v>122</v>
      </c>
      <c r="BH36" s="4"/>
      <c r="BI36" s="4" t="s">
        <v>122</v>
      </c>
      <c r="BJ36" s="4" t="s">
        <v>122</v>
      </c>
      <c r="BK36" s="4" t="s">
        <v>122</v>
      </c>
      <c r="BL36" s="4" t="s">
        <v>122</v>
      </c>
      <c r="BM36" s="4" t="s">
        <v>125</v>
      </c>
      <c r="BN36" s="4" t="s">
        <v>122</v>
      </c>
      <c r="BO36" s="4"/>
      <c r="BP36" s="4" t="s">
        <v>122</v>
      </c>
      <c r="BQ36" s="4" t="s">
        <v>122</v>
      </c>
      <c r="BR36" s="4" t="s">
        <v>122</v>
      </c>
      <c r="BS36" s="4" t="s">
        <v>122</v>
      </c>
      <c r="BT36" s="4" t="s">
        <v>122</v>
      </c>
      <c r="BU36" s="4"/>
      <c r="BV36" s="4" t="s">
        <v>122</v>
      </c>
      <c r="BW36" s="4" t="s">
        <v>122</v>
      </c>
      <c r="BX36" s="4" t="s">
        <v>122</v>
      </c>
      <c r="BY36" s="4" t="s">
        <v>122</v>
      </c>
      <c r="BZ36" s="4" t="s">
        <v>122</v>
      </c>
      <c r="CA36" s="4" t="s">
        <v>122</v>
      </c>
      <c r="CD36" s="4" t="s">
        <v>122</v>
      </c>
      <c r="CE36" s="4" t="s">
        <v>122</v>
      </c>
      <c r="CF36" s="3">
        <v>1</v>
      </c>
      <c r="CG36" s="4" t="s">
        <v>122</v>
      </c>
      <c r="CH36" s="3">
        <v>5</v>
      </c>
      <c r="CI36" s="4" t="s">
        <v>122</v>
      </c>
      <c r="CJ36" s="4" t="s">
        <v>122</v>
      </c>
      <c r="CK36" s="4" t="s">
        <v>122</v>
      </c>
      <c r="CL36" s="4" t="s">
        <v>122</v>
      </c>
      <c r="CM36" s="4" t="s">
        <v>122</v>
      </c>
      <c r="CN36" s="4" t="s">
        <v>122</v>
      </c>
      <c r="CO36" s="4" t="s">
        <v>125</v>
      </c>
      <c r="CP36" s="4" t="s">
        <v>122</v>
      </c>
      <c r="CQ36" s="4" t="s">
        <v>122</v>
      </c>
      <c r="CR36" s="4" t="s">
        <v>122</v>
      </c>
      <c r="CS36" s="3">
        <v>4</v>
      </c>
      <c r="CT36" s="3">
        <v>6</v>
      </c>
      <c r="CU36" s="3">
        <v>1</v>
      </c>
      <c r="CV36">
        <v>1</v>
      </c>
      <c r="CW36" cm="1">
        <f t="array" ref="CW36">_xlfn.IFS(CU36*1=1,1,CU36*1=2,1,TRUE,0)</f>
        <v>1</v>
      </c>
      <c r="CX36" s="3" t="e">
        <f>NA()</f>
        <v>#N/A</v>
      </c>
      <c r="CY36" s="3">
        <f t="shared" si="0"/>
        <v>4</v>
      </c>
      <c r="CZ36" s="3" cm="1">
        <f t="array" ref="CZ36">_xlfn.IFS(BP36&lt;&gt;"", BP36, CV36=1,  AQ36, CV36=0,  AZ36)</f>
        <v>0</v>
      </c>
      <c r="DA36" s="3" t="e">
        <f>NA()</f>
        <v>#N/A</v>
      </c>
      <c r="DB36" s="36">
        <f t="shared" si="1"/>
        <v>4</v>
      </c>
      <c r="DC36" s="3" t="e">
        <f t="shared" si="2"/>
        <v>#N/A</v>
      </c>
      <c r="DD36" s="3">
        <f t="shared" si="3"/>
        <v>0</v>
      </c>
      <c r="DE36" s="3">
        <f t="shared" si="4"/>
        <v>4</v>
      </c>
      <c r="DF36" s="3" t="e">
        <f t="shared" si="5"/>
        <v>#N/A</v>
      </c>
      <c r="DG36" s="3" t="e">
        <f t="shared" si="6"/>
        <v>#N/A</v>
      </c>
    </row>
    <row r="37" spans="1:126" x14ac:dyDescent="0.4">
      <c r="A37" s="3">
        <v>202410</v>
      </c>
      <c r="B37" s="3">
        <v>111</v>
      </c>
      <c r="C37" s="5">
        <v>45584.483148148145</v>
      </c>
      <c r="D37" s="5">
        <v>45584.487824074073</v>
      </c>
      <c r="E37" s="3">
        <v>0</v>
      </c>
      <c r="F37" s="4" t="s">
        <v>713</v>
      </c>
      <c r="G37" s="3">
        <v>100</v>
      </c>
      <c r="H37" s="3">
        <v>404</v>
      </c>
      <c r="I37" s="3">
        <v>1</v>
      </c>
      <c r="J37" s="5">
        <v>45584.487848321762</v>
      </c>
      <c r="K37" s="4" t="s">
        <v>714</v>
      </c>
      <c r="L37" s="4" t="s">
        <v>122</v>
      </c>
      <c r="M37" s="4" t="s">
        <v>122</v>
      </c>
      <c r="N37" s="4" t="s">
        <v>122</v>
      </c>
      <c r="O37" s="4" t="s">
        <v>122</v>
      </c>
      <c r="P37" s="3">
        <v>33.447499999999998</v>
      </c>
      <c r="Q37" s="3">
        <v>-112.0866</v>
      </c>
      <c r="R37" s="4" t="s">
        <v>129</v>
      </c>
      <c r="S37" s="4" t="s">
        <v>124</v>
      </c>
      <c r="T37" s="4" t="s">
        <v>715</v>
      </c>
      <c r="U37" s="3">
        <v>1</v>
      </c>
      <c r="V37" s="3">
        <v>3</v>
      </c>
      <c r="W37" s="3">
        <v>4</v>
      </c>
      <c r="X37" s="3">
        <v>5</v>
      </c>
      <c r="Y37" s="3">
        <v>3</v>
      </c>
      <c r="Z37" s="3">
        <v>3</v>
      </c>
      <c r="AA37" s="3">
        <v>4</v>
      </c>
      <c r="AG37" s="3">
        <v>4</v>
      </c>
      <c r="AH37" s="3">
        <v>5.5</v>
      </c>
      <c r="AI37" s="3">
        <v>3</v>
      </c>
      <c r="AJ37" s="3">
        <v>7</v>
      </c>
      <c r="AK37" s="3">
        <v>8</v>
      </c>
      <c r="AL37" s="3">
        <v>5</v>
      </c>
      <c r="AM37" s="3">
        <v>7</v>
      </c>
      <c r="AN37" s="3">
        <v>8</v>
      </c>
      <c r="AO37" s="3">
        <v>3</v>
      </c>
      <c r="AP37" s="3">
        <v>3</v>
      </c>
      <c r="AQ37" s="4" t="s">
        <v>122</v>
      </c>
      <c r="AR37" s="4" t="s">
        <v>122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 t="s">
        <v>122</v>
      </c>
      <c r="BD37" s="4" t="s">
        <v>122</v>
      </c>
      <c r="BE37" s="4" t="s">
        <v>122</v>
      </c>
      <c r="BF37" s="4" t="s">
        <v>122</v>
      </c>
      <c r="BG37" s="4" t="s">
        <v>122</v>
      </c>
      <c r="BH37" s="4"/>
      <c r="BI37" s="4" t="s">
        <v>122</v>
      </c>
      <c r="BJ37" s="4" t="s">
        <v>122</v>
      </c>
      <c r="BK37" s="4" t="s">
        <v>122</v>
      </c>
      <c r="BL37" s="4" t="s">
        <v>122</v>
      </c>
      <c r="BM37" s="4" t="s">
        <v>122</v>
      </c>
      <c r="BN37" s="4" t="s">
        <v>122</v>
      </c>
      <c r="BO37" s="4"/>
      <c r="BP37" s="3">
        <v>6</v>
      </c>
      <c r="BQ37" s="3">
        <v>3</v>
      </c>
      <c r="BR37" s="4" t="s">
        <v>122</v>
      </c>
      <c r="BS37" s="4" t="s">
        <v>122</v>
      </c>
      <c r="BT37" s="4" t="s">
        <v>122</v>
      </c>
      <c r="BU37" s="4"/>
      <c r="BV37" s="4" t="s">
        <v>122</v>
      </c>
      <c r="BW37" s="4" t="s">
        <v>122</v>
      </c>
      <c r="BX37" s="4" t="s">
        <v>122</v>
      </c>
      <c r="BY37" s="4" t="s">
        <v>122</v>
      </c>
      <c r="BZ37" s="4" t="s">
        <v>125</v>
      </c>
      <c r="CA37" s="4" t="s">
        <v>122</v>
      </c>
      <c r="CD37" s="3">
        <v>5.5</v>
      </c>
      <c r="CE37" s="3">
        <v>3</v>
      </c>
      <c r="CF37" s="3">
        <v>2</v>
      </c>
      <c r="CG37" s="4" t="s">
        <v>122</v>
      </c>
      <c r="CH37" s="3">
        <v>4</v>
      </c>
      <c r="CI37" s="4" t="s">
        <v>122</v>
      </c>
      <c r="CJ37" s="4" t="s">
        <v>122</v>
      </c>
      <c r="CK37" s="4" t="s">
        <v>122</v>
      </c>
      <c r="CL37" s="4" t="s">
        <v>122</v>
      </c>
      <c r="CM37" s="4" t="s">
        <v>122</v>
      </c>
      <c r="CN37" s="4" t="s">
        <v>122</v>
      </c>
      <c r="CO37" s="4" t="s">
        <v>125</v>
      </c>
      <c r="CP37" s="4" t="s">
        <v>122</v>
      </c>
      <c r="CQ37" s="4" t="s">
        <v>122</v>
      </c>
      <c r="CR37" s="4" t="s">
        <v>122</v>
      </c>
      <c r="CS37" s="3">
        <v>4</v>
      </c>
      <c r="CT37" s="3">
        <v>6</v>
      </c>
      <c r="CU37" s="3">
        <v>0</v>
      </c>
      <c r="CV37">
        <v>1</v>
      </c>
      <c r="CW37" cm="1">
        <f t="array" ref="CW37">_xlfn.IFS(CU37*1=1,1,CU37*1=2,1,TRUE,0)</f>
        <v>0</v>
      </c>
      <c r="CX37" s="3" t="e">
        <f>NA()</f>
        <v>#N/A</v>
      </c>
      <c r="CY37" s="3">
        <f t="shared" si="0"/>
        <v>5.5</v>
      </c>
      <c r="CZ37" s="3" cm="1">
        <f t="array" ref="CZ37">_xlfn.IFS(BP37&lt;&gt;"", BP37, CV37=1,  AQ37, CV37=0,  AZ37)</f>
        <v>6</v>
      </c>
      <c r="DA37" s="3" t="e">
        <f>NA()</f>
        <v>#N/A</v>
      </c>
      <c r="DB37" s="36">
        <f t="shared" si="1"/>
        <v>0</v>
      </c>
      <c r="DC37" s="3" t="e">
        <f t="shared" si="2"/>
        <v>#N/A</v>
      </c>
      <c r="DD37" s="3">
        <f t="shared" si="3"/>
        <v>0</v>
      </c>
      <c r="DE37" s="3">
        <f t="shared" si="4"/>
        <v>0.5</v>
      </c>
      <c r="DF37" s="3" t="e">
        <f t="shared" si="5"/>
        <v>#N/A</v>
      </c>
      <c r="DG37" s="3" t="e">
        <f t="shared" si="6"/>
        <v>#N/A</v>
      </c>
      <c r="DI37" s="36" t="s">
        <v>962</v>
      </c>
    </row>
    <row r="38" spans="1:126" x14ac:dyDescent="0.4">
      <c r="A38" s="3">
        <v>202410</v>
      </c>
      <c r="B38" s="3">
        <v>111</v>
      </c>
      <c r="C38" s="5">
        <v>45584.486944444441</v>
      </c>
      <c r="D38" s="5">
        <v>45584.490370370368</v>
      </c>
      <c r="E38" s="3">
        <v>0</v>
      </c>
      <c r="F38" s="4" t="s">
        <v>719</v>
      </c>
      <c r="G38" s="3">
        <v>100</v>
      </c>
      <c r="H38" s="3">
        <v>295</v>
      </c>
      <c r="I38" s="3">
        <v>1</v>
      </c>
      <c r="J38" s="5">
        <v>45584.490391736108</v>
      </c>
      <c r="K38" s="4" t="s">
        <v>720</v>
      </c>
      <c r="L38" s="4" t="s">
        <v>122</v>
      </c>
      <c r="M38" s="4" t="s">
        <v>122</v>
      </c>
      <c r="N38" s="4" t="s">
        <v>122</v>
      </c>
      <c r="O38" s="4" t="s">
        <v>122</v>
      </c>
      <c r="P38" s="3">
        <v>33.561300000000003</v>
      </c>
      <c r="Q38" s="3">
        <v>-112.1442</v>
      </c>
      <c r="R38" s="4" t="s">
        <v>129</v>
      </c>
      <c r="S38" s="4" t="s">
        <v>124</v>
      </c>
      <c r="T38" s="4" t="s">
        <v>721</v>
      </c>
      <c r="U38" s="3">
        <v>1</v>
      </c>
      <c r="V38" s="3">
        <v>4</v>
      </c>
      <c r="W38" s="3">
        <v>4</v>
      </c>
      <c r="X38" s="3">
        <v>1</v>
      </c>
      <c r="Y38" s="3">
        <v>1</v>
      </c>
      <c r="Z38" s="3">
        <v>1</v>
      </c>
      <c r="AA38" s="3">
        <v>1</v>
      </c>
      <c r="AG38" s="3">
        <v>2</v>
      </c>
      <c r="AH38" s="3">
        <v>4</v>
      </c>
      <c r="AI38" s="3">
        <v>1</v>
      </c>
      <c r="AJ38" s="3">
        <v>8</v>
      </c>
      <c r="AK38" s="3">
        <v>8</v>
      </c>
      <c r="AL38" s="3">
        <v>9</v>
      </c>
      <c r="AM38" s="3">
        <v>8</v>
      </c>
      <c r="AN38" s="3">
        <v>8</v>
      </c>
      <c r="AO38" s="3">
        <v>2</v>
      </c>
      <c r="AP38" s="3">
        <v>4</v>
      </c>
      <c r="AQ38" s="3">
        <v>5</v>
      </c>
      <c r="AR38" s="3">
        <v>1</v>
      </c>
      <c r="BC38" s="3">
        <v>5</v>
      </c>
      <c r="BD38" s="3">
        <v>2</v>
      </c>
      <c r="BE38" s="4" t="s">
        <v>125</v>
      </c>
      <c r="BF38" s="4" t="s">
        <v>122</v>
      </c>
      <c r="BG38" s="4" t="s">
        <v>125</v>
      </c>
      <c r="BH38" s="4"/>
      <c r="BI38" s="4" t="s">
        <v>125</v>
      </c>
      <c r="BJ38" s="4" t="s">
        <v>122</v>
      </c>
      <c r="BK38" s="4" t="s">
        <v>122</v>
      </c>
      <c r="BL38" s="4" t="s">
        <v>122</v>
      </c>
      <c r="BM38" s="4" t="s">
        <v>122</v>
      </c>
      <c r="BN38" s="3">
        <v>1</v>
      </c>
      <c r="BP38" s="4" t="s">
        <v>122</v>
      </c>
      <c r="BQ38" s="4" t="s">
        <v>122</v>
      </c>
      <c r="BR38" s="4" t="s">
        <v>122</v>
      </c>
      <c r="BS38" s="4" t="s">
        <v>122</v>
      </c>
      <c r="BT38" s="4" t="s">
        <v>122</v>
      </c>
      <c r="BU38" s="4"/>
      <c r="BV38" s="4" t="s">
        <v>122</v>
      </c>
      <c r="BW38" s="4" t="s">
        <v>122</v>
      </c>
      <c r="BX38" s="4" t="s">
        <v>122</v>
      </c>
      <c r="BY38" s="4" t="s">
        <v>122</v>
      </c>
      <c r="BZ38" s="4" t="s">
        <v>122</v>
      </c>
      <c r="CA38" s="4" t="s">
        <v>122</v>
      </c>
      <c r="CD38" s="4" t="s">
        <v>122</v>
      </c>
      <c r="CE38" s="4" t="s">
        <v>122</v>
      </c>
      <c r="CF38" s="3">
        <v>2</v>
      </c>
      <c r="CG38" s="4" t="s">
        <v>122</v>
      </c>
      <c r="CH38" s="3">
        <v>3</v>
      </c>
      <c r="CI38" s="4" t="s">
        <v>122</v>
      </c>
      <c r="CJ38" s="4" t="s">
        <v>122</v>
      </c>
      <c r="CK38" s="4" t="s">
        <v>122</v>
      </c>
      <c r="CL38" s="4" t="s">
        <v>122</v>
      </c>
      <c r="CM38" s="4" t="s">
        <v>122</v>
      </c>
      <c r="CN38" s="4" t="s">
        <v>122</v>
      </c>
      <c r="CO38" s="4" t="s">
        <v>125</v>
      </c>
      <c r="CP38" s="4" t="s">
        <v>122</v>
      </c>
      <c r="CQ38" s="4" t="s">
        <v>122</v>
      </c>
      <c r="CR38" s="4" t="s">
        <v>122</v>
      </c>
      <c r="CS38" s="3">
        <v>4</v>
      </c>
      <c r="CT38" s="3">
        <v>4</v>
      </c>
      <c r="CU38" s="3">
        <v>1</v>
      </c>
      <c r="CV38">
        <v>1</v>
      </c>
      <c r="CW38" cm="1">
        <f t="array" ref="CW38">_xlfn.IFS(CU38*1=1,1,CU38*1=2,1,TRUE,0)</f>
        <v>1</v>
      </c>
      <c r="CX38" s="3" t="e">
        <f>NA()</f>
        <v>#N/A</v>
      </c>
      <c r="CY38" s="3">
        <f t="shared" si="0"/>
        <v>5</v>
      </c>
      <c r="CZ38" s="3" cm="1">
        <f t="array" ref="CZ38">_xlfn.IFS(BP38&lt;&gt;"", BP38, CV38=1,  AQ38, CV38=0,  AZ38)</f>
        <v>5</v>
      </c>
      <c r="DA38" s="3" t="e">
        <f>NA()</f>
        <v>#N/A</v>
      </c>
      <c r="DB38" s="36">
        <f t="shared" si="1"/>
        <v>1</v>
      </c>
      <c r="DC38" s="3" t="e">
        <f t="shared" si="2"/>
        <v>#N/A</v>
      </c>
      <c r="DD38" s="3">
        <f t="shared" si="3"/>
        <v>1</v>
      </c>
      <c r="DE38" s="3">
        <f t="shared" si="4"/>
        <v>1</v>
      </c>
      <c r="DF38" s="3" t="e">
        <f t="shared" si="5"/>
        <v>#N/A</v>
      </c>
      <c r="DG38" s="3" t="e">
        <f t="shared" si="6"/>
        <v>#N/A</v>
      </c>
      <c r="DI38" s="61" t="s">
        <v>953</v>
      </c>
      <c r="DJ38" s="64" t="s">
        <v>956</v>
      </c>
      <c r="DK38" s="64" t="s">
        <v>957</v>
      </c>
      <c r="DL38" s="64" t="s">
        <v>955</v>
      </c>
    </row>
    <row r="39" spans="1:126" x14ac:dyDescent="0.4">
      <c r="A39" s="3">
        <v>202410</v>
      </c>
      <c r="B39" s="3">
        <v>111</v>
      </c>
      <c r="C39" s="5">
        <v>45584.486979166664</v>
      </c>
      <c r="D39" s="5">
        <v>45584.489120370374</v>
      </c>
      <c r="E39" s="3">
        <v>0</v>
      </c>
      <c r="F39" s="4" t="s">
        <v>716</v>
      </c>
      <c r="G39" s="3">
        <v>100</v>
      </c>
      <c r="H39" s="3">
        <v>185</v>
      </c>
      <c r="I39" s="3">
        <v>1</v>
      </c>
      <c r="J39" s="5">
        <v>45584.489140057871</v>
      </c>
      <c r="K39" s="4" t="s">
        <v>717</v>
      </c>
      <c r="L39" s="4" t="s">
        <v>122</v>
      </c>
      <c r="M39" s="4" t="s">
        <v>122</v>
      </c>
      <c r="N39" s="4" t="s">
        <v>122</v>
      </c>
      <c r="O39" s="4" t="s">
        <v>122</v>
      </c>
      <c r="P39" s="3">
        <v>33.447499999999998</v>
      </c>
      <c r="Q39" s="3">
        <v>-112.0866</v>
      </c>
      <c r="R39" s="4" t="s">
        <v>129</v>
      </c>
      <c r="S39" s="4" t="s">
        <v>124</v>
      </c>
      <c r="T39" s="4" t="s">
        <v>718</v>
      </c>
      <c r="U39" s="3">
        <v>1</v>
      </c>
      <c r="V39" s="3">
        <v>4</v>
      </c>
      <c r="W39" s="3">
        <v>4</v>
      </c>
      <c r="X39" s="3">
        <v>1</v>
      </c>
      <c r="Y39" s="3">
        <v>1</v>
      </c>
      <c r="Z39" s="3">
        <v>1</v>
      </c>
      <c r="AA39" s="3">
        <v>1</v>
      </c>
      <c r="AG39" s="3">
        <v>2</v>
      </c>
      <c r="AH39" s="3">
        <v>4</v>
      </c>
      <c r="AI39" s="3">
        <v>2</v>
      </c>
      <c r="AJ39" s="3">
        <v>7</v>
      </c>
      <c r="AK39" s="3">
        <v>9</v>
      </c>
      <c r="AL39" s="3">
        <v>9</v>
      </c>
      <c r="AM39" s="3">
        <v>7</v>
      </c>
      <c r="AN39" s="3">
        <v>8</v>
      </c>
      <c r="AO39" s="3">
        <v>2</v>
      </c>
      <c r="AP39" s="3">
        <v>3</v>
      </c>
      <c r="AQ39" s="4" t="s">
        <v>122</v>
      </c>
      <c r="AR39" s="4" t="s">
        <v>122</v>
      </c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 t="s">
        <v>122</v>
      </c>
      <c r="BD39" s="4" t="s">
        <v>122</v>
      </c>
      <c r="BE39" s="4" t="s">
        <v>122</v>
      </c>
      <c r="BF39" s="4" t="s">
        <v>122</v>
      </c>
      <c r="BG39" s="4" t="s">
        <v>122</v>
      </c>
      <c r="BH39" s="4"/>
      <c r="BI39" s="4" t="s">
        <v>122</v>
      </c>
      <c r="BJ39" s="4" t="s">
        <v>122</v>
      </c>
      <c r="BK39" s="4" t="s">
        <v>122</v>
      </c>
      <c r="BL39" s="4" t="s">
        <v>122</v>
      </c>
      <c r="BM39" s="4" t="s">
        <v>122</v>
      </c>
      <c r="BN39" s="4" t="s">
        <v>122</v>
      </c>
      <c r="BO39" s="4"/>
      <c r="BP39" s="3">
        <v>4.5</v>
      </c>
      <c r="BQ39" s="3">
        <v>2</v>
      </c>
      <c r="BR39" s="4" t="s">
        <v>125</v>
      </c>
      <c r="BS39" s="4" t="s">
        <v>122</v>
      </c>
      <c r="BT39" s="4" t="s">
        <v>122</v>
      </c>
      <c r="BU39" s="4"/>
      <c r="BV39" s="4" t="s">
        <v>122</v>
      </c>
      <c r="BW39" s="4" t="s">
        <v>122</v>
      </c>
      <c r="BX39" s="4" t="s">
        <v>122</v>
      </c>
      <c r="BY39" s="4" t="s">
        <v>122</v>
      </c>
      <c r="BZ39" s="4" t="s">
        <v>122</v>
      </c>
      <c r="CA39" s="3">
        <v>1</v>
      </c>
      <c r="CD39" s="3">
        <v>5</v>
      </c>
      <c r="CE39" s="3">
        <v>2</v>
      </c>
      <c r="CF39" s="3">
        <v>1</v>
      </c>
      <c r="CG39" s="4" t="s">
        <v>122</v>
      </c>
      <c r="CH39" s="3">
        <v>2</v>
      </c>
      <c r="CI39" s="4" t="s">
        <v>122</v>
      </c>
      <c r="CJ39" s="4" t="s">
        <v>122</v>
      </c>
      <c r="CK39" s="4" t="s">
        <v>122</v>
      </c>
      <c r="CL39" s="4" t="s">
        <v>125</v>
      </c>
      <c r="CM39" s="4" t="s">
        <v>122</v>
      </c>
      <c r="CN39" s="4" t="s">
        <v>122</v>
      </c>
      <c r="CO39" s="4" t="s">
        <v>122</v>
      </c>
      <c r="CP39" s="4" t="s">
        <v>122</v>
      </c>
      <c r="CQ39" s="4" t="s">
        <v>122</v>
      </c>
      <c r="CR39" s="4" t="s">
        <v>122</v>
      </c>
      <c r="CS39" s="3">
        <v>5</v>
      </c>
      <c r="CT39" s="3">
        <v>5</v>
      </c>
      <c r="CU39" s="3">
        <v>0</v>
      </c>
      <c r="CV39">
        <v>1</v>
      </c>
      <c r="CW39" cm="1">
        <f t="array" ref="CW39">_xlfn.IFS(CU39*1=1,1,CU39*1=2,1,TRUE,0)</f>
        <v>0</v>
      </c>
      <c r="CX39" s="3" t="e">
        <f>NA()</f>
        <v>#N/A</v>
      </c>
      <c r="CY39" s="3">
        <f t="shared" si="0"/>
        <v>5</v>
      </c>
      <c r="CZ39" s="3" cm="1">
        <f t="array" ref="CZ39">_xlfn.IFS(BP39&lt;&gt;"", BP39, CV39=1,  AQ39, CV39=0,  AZ39)</f>
        <v>4.5</v>
      </c>
      <c r="DA39" s="3" t="e">
        <f>NA()</f>
        <v>#N/A</v>
      </c>
      <c r="DB39" s="36">
        <f t="shared" si="1"/>
        <v>1</v>
      </c>
      <c r="DC39" s="3" t="e">
        <f t="shared" si="2"/>
        <v>#N/A</v>
      </c>
      <c r="DD39" s="3">
        <f t="shared" si="3"/>
        <v>1</v>
      </c>
      <c r="DE39" s="3">
        <f t="shared" si="4"/>
        <v>0.5</v>
      </c>
      <c r="DF39" s="3" t="e">
        <f t="shared" si="5"/>
        <v>#N/A</v>
      </c>
      <c r="DG39" s="3" t="e">
        <f t="shared" si="6"/>
        <v>#N/A</v>
      </c>
      <c r="DI39" s="59">
        <v>202410</v>
      </c>
      <c r="DJ39" s="66">
        <f>AVERAGE($CY$2:$CY$98)</f>
        <v>4.7113402061855671</v>
      </c>
      <c r="DK39" s="66" t="e">
        <f>NA()</f>
        <v>#N/A</v>
      </c>
    </row>
    <row r="40" spans="1:126" x14ac:dyDescent="0.4">
      <c r="A40" s="3">
        <v>202410</v>
      </c>
      <c r="B40" s="3">
        <v>111</v>
      </c>
      <c r="C40" s="5">
        <v>45584.488865740743</v>
      </c>
      <c r="D40" s="5">
        <v>45584.492280092592</v>
      </c>
      <c r="E40" s="3">
        <v>0</v>
      </c>
      <c r="F40" s="4" t="s">
        <v>246</v>
      </c>
      <c r="G40" s="3">
        <v>100</v>
      </c>
      <c r="H40" s="3">
        <v>294</v>
      </c>
      <c r="I40" s="3">
        <v>1</v>
      </c>
      <c r="J40" s="5">
        <v>45584.492301296297</v>
      </c>
      <c r="K40" s="4" t="s">
        <v>722</v>
      </c>
      <c r="L40" s="4" t="s">
        <v>122</v>
      </c>
      <c r="M40" s="4" t="s">
        <v>122</v>
      </c>
      <c r="N40" s="4" t="s">
        <v>122</v>
      </c>
      <c r="O40" s="4" t="s">
        <v>122</v>
      </c>
      <c r="P40" s="3">
        <v>32.250300000000003</v>
      </c>
      <c r="Q40" s="3">
        <v>-110.94499999999999</v>
      </c>
      <c r="R40" s="4" t="s">
        <v>123</v>
      </c>
      <c r="S40" s="4" t="s">
        <v>124</v>
      </c>
      <c r="T40" s="4" t="s">
        <v>723</v>
      </c>
      <c r="U40" s="3">
        <v>1</v>
      </c>
      <c r="V40" s="3">
        <v>3</v>
      </c>
      <c r="W40" s="3">
        <v>3</v>
      </c>
      <c r="X40" s="3">
        <v>3</v>
      </c>
      <c r="Y40" s="3">
        <v>1</v>
      </c>
      <c r="Z40" s="3">
        <v>1</v>
      </c>
      <c r="AA40" s="3">
        <v>3</v>
      </c>
      <c r="AG40" s="3">
        <v>2</v>
      </c>
      <c r="AH40" s="3">
        <v>5</v>
      </c>
      <c r="AI40" s="3">
        <v>1</v>
      </c>
      <c r="AJ40" s="3">
        <v>8</v>
      </c>
      <c r="AK40" s="3">
        <v>5</v>
      </c>
      <c r="AL40" s="3">
        <v>8</v>
      </c>
      <c r="AM40" s="3">
        <v>7</v>
      </c>
      <c r="AN40" s="3">
        <v>8</v>
      </c>
      <c r="AO40" s="3">
        <v>3</v>
      </c>
      <c r="AP40" s="3">
        <v>3</v>
      </c>
      <c r="AQ40" s="4" t="s">
        <v>122</v>
      </c>
      <c r="AR40" s="4" t="s">
        <v>122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 t="s">
        <v>122</v>
      </c>
      <c r="BD40" s="4" t="s">
        <v>122</v>
      </c>
      <c r="BE40" s="4" t="s">
        <v>122</v>
      </c>
      <c r="BF40" s="4" t="s">
        <v>122</v>
      </c>
      <c r="BG40" s="4" t="s">
        <v>122</v>
      </c>
      <c r="BH40" s="4"/>
      <c r="BI40" s="4" t="s">
        <v>122</v>
      </c>
      <c r="BJ40" s="4" t="s">
        <v>122</v>
      </c>
      <c r="BK40" s="4" t="s">
        <v>122</v>
      </c>
      <c r="BL40" s="4" t="s">
        <v>122</v>
      </c>
      <c r="BM40" s="4" t="s">
        <v>122</v>
      </c>
      <c r="BN40" s="4" t="s">
        <v>122</v>
      </c>
      <c r="BO40" s="4"/>
      <c r="BP40" s="3">
        <v>5</v>
      </c>
      <c r="BQ40" s="3">
        <v>1</v>
      </c>
      <c r="BR40" s="4" t="s">
        <v>122</v>
      </c>
      <c r="BS40" s="4" t="s">
        <v>122</v>
      </c>
      <c r="BT40" s="4" t="s">
        <v>122</v>
      </c>
      <c r="BU40" s="4"/>
      <c r="BV40" s="4" t="s">
        <v>122</v>
      </c>
      <c r="BW40" s="4" t="s">
        <v>125</v>
      </c>
      <c r="BX40" s="4" t="s">
        <v>125</v>
      </c>
      <c r="BY40" s="4" t="s">
        <v>122</v>
      </c>
      <c r="BZ40" s="4" t="s">
        <v>122</v>
      </c>
      <c r="CA40" s="3">
        <v>6</v>
      </c>
      <c r="CD40" s="3">
        <v>5</v>
      </c>
      <c r="CE40" s="3">
        <v>2</v>
      </c>
      <c r="CF40" s="3">
        <v>1</v>
      </c>
      <c r="CG40" s="4" t="s">
        <v>122</v>
      </c>
      <c r="CH40" s="3">
        <v>5</v>
      </c>
      <c r="CI40" s="4" t="s">
        <v>125</v>
      </c>
      <c r="CJ40" s="4" t="s">
        <v>122</v>
      </c>
      <c r="CK40" s="4" t="s">
        <v>122</v>
      </c>
      <c r="CL40" s="4" t="s">
        <v>122</v>
      </c>
      <c r="CM40" s="4" t="s">
        <v>122</v>
      </c>
      <c r="CN40" s="4" t="s">
        <v>122</v>
      </c>
      <c r="CO40" s="4" t="s">
        <v>122</v>
      </c>
      <c r="CP40" s="4" t="s">
        <v>122</v>
      </c>
      <c r="CQ40" s="4" t="s">
        <v>122</v>
      </c>
      <c r="CR40" s="4" t="s">
        <v>122</v>
      </c>
      <c r="CS40" s="3">
        <v>4</v>
      </c>
      <c r="CT40" s="3">
        <v>4</v>
      </c>
      <c r="CU40" s="3">
        <v>0</v>
      </c>
      <c r="CV40">
        <v>1</v>
      </c>
      <c r="CW40" cm="1">
        <f t="array" ref="CW40">_xlfn.IFS(CU40*1=1,1,CU40*1=2,1,TRUE,0)</f>
        <v>0</v>
      </c>
      <c r="CX40" s="3" t="e">
        <f>NA()</f>
        <v>#N/A</v>
      </c>
      <c r="CY40" s="3">
        <f t="shared" si="0"/>
        <v>5</v>
      </c>
      <c r="CZ40" s="3" cm="1">
        <f t="array" ref="CZ40">_xlfn.IFS(BP40&lt;&gt;"", BP40, CV40=1,  AQ40, CV40=0,  AZ40)</f>
        <v>5</v>
      </c>
      <c r="DA40" s="3" t="e">
        <f>NA()</f>
        <v>#N/A</v>
      </c>
      <c r="DB40" s="36">
        <f t="shared" si="1"/>
        <v>0</v>
      </c>
      <c r="DC40" s="3" t="e">
        <f t="shared" si="2"/>
        <v>#N/A</v>
      </c>
      <c r="DD40" s="3">
        <f t="shared" si="3"/>
        <v>0</v>
      </c>
      <c r="DE40" s="3">
        <f t="shared" si="4"/>
        <v>0</v>
      </c>
      <c r="DF40" s="3" t="e">
        <f t="shared" si="5"/>
        <v>#N/A</v>
      </c>
      <c r="DG40" s="3" t="e">
        <f t="shared" si="6"/>
        <v>#N/A</v>
      </c>
      <c r="DI40" s="59">
        <v>202503</v>
      </c>
      <c r="DJ40" s="66">
        <f>AVERAGE($CY$99:$CY$206)</f>
        <v>3.9537037037037037</v>
      </c>
      <c r="DK40" s="66">
        <f>AVERAGE($CX$99:$CX$206)</f>
        <v>3.7685185185185186</v>
      </c>
      <c r="DL40" s="66">
        <f>AVERAGE($CX$99:$CY$206)</f>
        <v>3.8611111111111112</v>
      </c>
    </row>
    <row r="41" spans="1:126" x14ac:dyDescent="0.4">
      <c r="A41" s="3">
        <v>202410</v>
      </c>
      <c r="B41" s="3">
        <v>111</v>
      </c>
      <c r="C41" s="5">
        <v>45584.489803240744</v>
      </c>
      <c r="D41" s="5">
        <v>45584.493194444447</v>
      </c>
      <c r="E41" s="3">
        <v>0</v>
      </c>
      <c r="F41" s="4" t="s">
        <v>724</v>
      </c>
      <c r="G41" s="3">
        <v>100</v>
      </c>
      <c r="H41" s="3">
        <v>292</v>
      </c>
      <c r="I41" s="3">
        <v>1</v>
      </c>
      <c r="J41" s="5">
        <v>45584.493208611108</v>
      </c>
      <c r="K41" s="4" t="s">
        <v>725</v>
      </c>
      <c r="L41" s="4" t="s">
        <v>122</v>
      </c>
      <c r="M41" s="4" t="s">
        <v>122</v>
      </c>
      <c r="N41" s="4" t="s">
        <v>122</v>
      </c>
      <c r="O41" s="4" t="s">
        <v>122</v>
      </c>
      <c r="P41" s="3">
        <v>36.101999999999997</v>
      </c>
      <c r="Q41" s="3">
        <v>-115.1447</v>
      </c>
      <c r="R41" s="4" t="s">
        <v>129</v>
      </c>
      <c r="S41" s="4" t="s">
        <v>124</v>
      </c>
      <c r="T41" s="4" t="s">
        <v>726</v>
      </c>
      <c r="U41" s="3">
        <v>1</v>
      </c>
      <c r="V41" s="3">
        <v>2</v>
      </c>
      <c r="W41" s="3">
        <v>1</v>
      </c>
      <c r="X41" s="3">
        <v>1</v>
      </c>
      <c r="Y41" s="3">
        <v>3</v>
      </c>
      <c r="Z41" s="3">
        <v>3</v>
      </c>
      <c r="AA41" s="3">
        <v>3</v>
      </c>
      <c r="AG41" s="3">
        <v>2</v>
      </c>
      <c r="AH41" s="3">
        <v>6.5</v>
      </c>
      <c r="AI41" s="3">
        <v>3</v>
      </c>
      <c r="AJ41" s="3">
        <v>8</v>
      </c>
      <c r="AK41" s="3">
        <v>8</v>
      </c>
      <c r="AL41" s="3">
        <v>8</v>
      </c>
      <c r="AM41" s="3">
        <v>7</v>
      </c>
      <c r="AN41" s="3">
        <v>8</v>
      </c>
      <c r="AO41" s="3">
        <v>3</v>
      </c>
      <c r="AP41" s="3">
        <v>3</v>
      </c>
      <c r="AQ41" s="3">
        <v>6.5</v>
      </c>
      <c r="AR41" s="3">
        <v>3</v>
      </c>
      <c r="BC41" s="3">
        <v>7</v>
      </c>
      <c r="BD41" s="3">
        <v>3</v>
      </c>
      <c r="BE41" s="4" t="s">
        <v>125</v>
      </c>
      <c r="BF41" s="4" t="s">
        <v>122</v>
      </c>
      <c r="BG41" s="4" t="s">
        <v>125</v>
      </c>
      <c r="BH41" s="4"/>
      <c r="BI41" s="4" t="s">
        <v>125</v>
      </c>
      <c r="BJ41" s="4" t="s">
        <v>122</v>
      </c>
      <c r="BK41" s="4" t="s">
        <v>122</v>
      </c>
      <c r="BL41" s="4" t="s">
        <v>122</v>
      </c>
      <c r="BM41" s="4" t="s">
        <v>122</v>
      </c>
      <c r="BN41" s="3">
        <v>1</v>
      </c>
      <c r="BP41" s="4" t="s">
        <v>122</v>
      </c>
      <c r="BQ41" s="4" t="s">
        <v>122</v>
      </c>
      <c r="BR41" s="4" t="s">
        <v>122</v>
      </c>
      <c r="BS41" s="4" t="s">
        <v>122</v>
      </c>
      <c r="BT41" s="4" t="s">
        <v>122</v>
      </c>
      <c r="BU41" s="4"/>
      <c r="BV41" s="4" t="s">
        <v>122</v>
      </c>
      <c r="BW41" s="4" t="s">
        <v>122</v>
      </c>
      <c r="BX41" s="4" t="s">
        <v>122</v>
      </c>
      <c r="BY41" s="4" t="s">
        <v>122</v>
      </c>
      <c r="BZ41" s="4" t="s">
        <v>122</v>
      </c>
      <c r="CA41" s="4" t="s">
        <v>122</v>
      </c>
      <c r="CD41" s="4" t="s">
        <v>122</v>
      </c>
      <c r="CE41" s="4" t="s">
        <v>122</v>
      </c>
      <c r="CF41" s="3">
        <v>2</v>
      </c>
      <c r="CG41" s="4" t="s">
        <v>122</v>
      </c>
      <c r="CH41" s="3">
        <v>3</v>
      </c>
      <c r="CI41" s="4" t="s">
        <v>122</v>
      </c>
      <c r="CJ41" s="4" t="s">
        <v>122</v>
      </c>
      <c r="CK41" s="4" t="s">
        <v>122</v>
      </c>
      <c r="CL41" s="4" t="s">
        <v>122</v>
      </c>
      <c r="CM41" s="4" t="s">
        <v>122</v>
      </c>
      <c r="CN41" s="4" t="s">
        <v>122</v>
      </c>
      <c r="CO41" s="4" t="s">
        <v>125</v>
      </c>
      <c r="CP41" s="4" t="s">
        <v>122</v>
      </c>
      <c r="CQ41" s="4" t="s">
        <v>122</v>
      </c>
      <c r="CR41" s="4" t="s">
        <v>122</v>
      </c>
      <c r="CS41" s="3">
        <v>4</v>
      </c>
      <c r="CT41" s="3">
        <v>6</v>
      </c>
      <c r="CU41" s="3">
        <v>1</v>
      </c>
      <c r="CV41">
        <v>1</v>
      </c>
      <c r="CW41" cm="1">
        <f t="array" ref="CW41">_xlfn.IFS(CU41*1=1,1,CU41*1=2,1,TRUE,0)</f>
        <v>1</v>
      </c>
      <c r="CX41" s="3" t="e">
        <f>NA()</f>
        <v>#N/A</v>
      </c>
      <c r="CY41" s="3">
        <f t="shared" si="0"/>
        <v>7</v>
      </c>
      <c r="CZ41" s="3" cm="1">
        <f t="array" ref="CZ41">_xlfn.IFS(BP41&lt;&gt;"", BP41, CV41=1,  AQ41, CV41=0,  AZ41)</f>
        <v>6.5</v>
      </c>
      <c r="DA41" s="3" t="e">
        <f>NA()</f>
        <v>#N/A</v>
      </c>
      <c r="DB41" s="36">
        <f t="shared" si="1"/>
        <v>0.5</v>
      </c>
      <c r="DC41" s="3" t="e">
        <f t="shared" si="2"/>
        <v>#N/A</v>
      </c>
      <c r="DD41" s="3">
        <f t="shared" si="3"/>
        <v>0</v>
      </c>
      <c r="DE41" s="3">
        <f t="shared" si="4"/>
        <v>0.5</v>
      </c>
      <c r="DF41" s="3" t="e">
        <f t="shared" si="5"/>
        <v>#N/A</v>
      </c>
      <c r="DG41" s="3" t="e">
        <f t="shared" si="6"/>
        <v>#N/A</v>
      </c>
      <c r="DI41" s="59">
        <v>202511</v>
      </c>
      <c r="DJ41" s="66">
        <f>AVERAGE($CY$207:$CY$340)</f>
        <v>4.4669172932330827</v>
      </c>
      <c r="DK41" s="66">
        <f>AVERAGE($CX$207:$CX$340)</f>
        <v>4.3522727272727275</v>
      </c>
      <c r="DL41" s="66">
        <f>AVERAGE($CX$207:$CY$340)</f>
        <v>4.4098113207547165</v>
      </c>
    </row>
    <row r="42" spans="1:126" x14ac:dyDescent="0.4">
      <c r="A42" s="3">
        <v>202410</v>
      </c>
      <c r="B42" s="3">
        <v>111</v>
      </c>
      <c r="C42" s="5">
        <v>45584.494317129633</v>
      </c>
      <c r="D42" s="5">
        <v>45584.498842592591</v>
      </c>
      <c r="E42" s="3">
        <v>0</v>
      </c>
      <c r="F42" s="4" t="s">
        <v>246</v>
      </c>
      <c r="G42" s="3">
        <v>100</v>
      </c>
      <c r="H42" s="3">
        <v>390</v>
      </c>
      <c r="I42" s="3">
        <v>1</v>
      </c>
      <c r="J42" s="5">
        <v>45584.498863182867</v>
      </c>
      <c r="K42" s="4" t="s">
        <v>734</v>
      </c>
      <c r="L42" s="4" t="s">
        <v>122</v>
      </c>
      <c r="M42" s="4" t="s">
        <v>122</v>
      </c>
      <c r="N42" s="4" t="s">
        <v>122</v>
      </c>
      <c r="O42" s="4" t="s">
        <v>122</v>
      </c>
      <c r="P42" s="3">
        <v>32.250300000000003</v>
      </c>
      <c r="Q42" s="3">
        <v>-110.94499999999999</v>
      </c>
      <c r="R42" s="4" t="s">
        <v>123</v>
      </c>
      <c r="S42" s="4" t="s">
        <v>124</v>
      </c>
      <c r="T42" s="4" t="s">
        <v>735</v>
      </c>
      <c r="U42" s="3">
        <v>1</v>
      </c>
      <c r="V42" s="3">
        <v>4</v>
      </c>
      <c r="W42" s="3">
        <v>2</v>
      </c>
      <c r="X42" s="3">
        <v>1</v>
      </c>
      <c r="Y42" s="3">
        <v>1</v>
      </c>
      <c r="Z42" s="3">
        <v>1</v>
      </c>
      <c r="AA42" s="3">
        <v>1</v>
      </c>
      <c r="AG42" s="3">
        <v>3</v>
      </c>
      <c r="AH42" s="3">
        <v>6</v>
      </c>
      <c r="AI42" s="3">
        <v>3</v>
      </c>
      <c r="AJ42" s="3">
        <v>7</v>
      </c>
      <c r="AK42" s="3">
        <v>9</v>
      </c>
      <c r="AL42" s="3">
        <v>5</v>
      </c>
      <c r="AM42" s="3">
        <v>7</v>
      </c>
      <c r="AN42" s="3">
        <v>8</v>
      </c>
      <c r="AO42" s="3">
        <v>2</v>
      </c>
      <c r="AP42" s="3">
        <v>5</v>
      </c>
      <c r="AQ42" s="3">
        <v>6</v>
      </c>
      <c r="AR42" s="3">
        <v>3</v>
      </c>
      <c r="BC42" s="3">
        <v>6</v>
      </c>
      <c r="BD42" s="3">
        <v>3</v>
      </c>
      <c r="BE42" s="4" t="s">
        <v>125</v>
      </c>
      <c r="BF42" s="4" t="s">
        <v>122</v>
      </c>
      <c r="BG42" s="4" t="s">
        <v>122</v>
      </c>
      <c r="BH42" s="4"/>
      <c r="BI42" s="4" t="s">
        <v>122</v>
      </c>
      <c r="BJ42" s="4" t="s">
        <v>122</v>
      </c>
      <c r="BK42" s="4" t="s">
        <v>122</v>
      </c>
      <c r="BL42" s="4" t="s">
        <v>122</v>
      </c>
      <c r="BM42" s="4" t="s">
        <v>122</v>
      </c>
      <c r="BN42" s="3">
        <v>1</v>
      </c>
      <c r="BP42" s="4" t="s">
        <v>122</v>
      </c>
      <c r="BQ42" s="4" t="s">
        <v>122</v>
      </c>
      <c r="BR42" s="4" t="s">
        <v>122</v>
      </c>
      <c r="BS42" s="4" t="s">
        <v>122</v>
      </c>
      <c r="BT42" s="4" t="s">
        <v>122</v>
      </c>
      <c r="BU42" s="4"/>
      <c r="BV42" s="4" t="s">
        <v>122</v>
      </c>
      <c r="BW42" s="4" t="s">
        <v>122</v>
      </c>
      <c r="BX42" s="4" t="s">
        <v>122</v>
      </c>
      <c r="BY42" s="4" t="s">
        <v>122</v>
      </c>
      <c r="BZ42" s="4" t="s">
        <v>122</v>
      </c>
      <c r="CA42" s="4" t="s">
        <v>122</v>
      </c>
      <c r="CD42" s="4" t="s">
        <v>122</v>
      </c>
      <c r="CE42" s="4" t="s">
        <v>122</v>
      </c>
      <c r="CF42" s="3">
        <v>1</v>
      </c>
      <c r="CG42" s="4" t="s">
        <v>122</v>
      </c>
      <c r="CH42" s="3">
        <v>7</v>
      </c>
      <c r="CI42" s="4" t="s">
        <v>122</v>
      </c>
      <c r="CJ42" s="4" t="s">
        <v>122</v>
      </c>
      <c r="CK42" s="4" t="s">
        <v>122</v>
      </c>
      <c r="CL42" s="4" t="s">
        <v>122</v>
      </c>
      <c r="CM42" s="4" t="s">
        <v>122</v>
      </c>
      <c r="CN42" s="4" t="s">
        <v>122</v>
      </c>
      <c r="CO42" s="4" t="s">
        <v>125</v>
      </c>
      <c r="CP42" s="4" t="s">
        <v>122</v>
      </c>
      <c r="CQ42" s="4" t="s">
        <v>122</v>
      </c>
      <c r="CR42" s="4" t="s">
        <v>122</v>
      </c>
      <c r="CS42" s="3">
        <v>5</v>
      </c>
      <c r="CT42" s="3">
        <v>5</v>
      </c>
      <c r="CU42" s="3">
        <v>1</v>
      </c>
      <c r="CV42">
        <v>1</v>
      </c>
      <c r="CW42" cm="1">
        <f t="array" ref="CW42">_xlfn.IFS(CU42*1=1,1,CU42*1=2,1,TRUE,0)</f>
        <v>1</v>
      </c>
      <c r="CX42" s="3" t="e">
        <f>NA()</f>
        <v>#N/A</v>
      </c>
      <c r="CY42" s="3">
        <f t="shared" si="0"/>
        <v>6</v>
      </c>
      <c r="CZ42" s="3" cm="1">
        <f t="array" ref="CZ42">_xlfn.IFS(BP42&lt;&gt;"", BP42, CV42=1,  AQ42, CV42=0,  AZ42)</f>
        <v>6</v>
      </c>
      <c r="DA42" s="3" t="e">
        <f>NA()</f>
        <v>#N/A</v>
      </c>
      <c r="DB42" s="36">
        <f t="shared" si="1"/>
        <v>0</v>
      </c>
      <c r="DC42" s="3" t="e">
        <f t="shared" si="2"/>
        <v>#N/A</v>
      </c>
      <c r="DD42" s="3">
        <f t="shared" si="3"/>
        <v>0</v>
      </c>
      <c r="DE42" s="3">
        <f t="shared" si="4"/>
        <v>0</v>
      </c>
      <c r="DF42" s="3" t="e">
        <f t="shared" si="5"/>
        <v>#N/A</v>
      </c>
      <c r="DG42" s="3" t="e">
        <f t="shared" si="6"/>
        <v>#N/A</v>
      </c>
      <c r="DI42" s="62" t="s">
        <v>954</v>
      </c>
      <c r="DJ42" s="67">
        <f>AVERAGE($CY$2:$CY$340)</f>
        <v>4.3730769230769226</v>
      </c>
      <c r="DK42" s="67" t="e">
        <f>AVERAGE($CX$2:$CX$340)</f>
        <v>#N/A</v>
      </c>
      <c r="DL42" s="67">
        <f>AVERAGE($CY$2:$CY$98, $CX$99:$CY$340)</f>
        <v>4.2553633217993081</v>
      </c>
    </row>
    <row r="43" spans="1:126" x14ac:dyDescent="0.4">
      <c r="A43" s="3">
        <v>202410</v>
      </c>
      <c r="B43" s="3">
        <v>111</v>
      </c>
      <c r="C43" s="5">
        <v>45584.494988425926</v>
      </c>
      <c r="D43" s="5">
        <v>45584.500497685185</v>
      </c>
      <c r="E43" s="3">
        <v>0</v>
      </c>
      <c r="F43" s="4" t="s">
        <v>736</v>
      </c>
      <c r="G43" s="3">
        <v>100</v>
      </c>
      <c r="H43" s="3">
        <v>476</v>
      </c>
      <c r="I43" s="3">
        <v>1</v>
      </c>
      <c r="J43" s="5">
        <v>45584.500515879627</v>
      </c>
      <c r="K43" s="4" t="s">
        <v>737</v>
      </c>
      <c r="L43" s="4" t="s">
        <v>122</v>
      </c>
      <c r="M43" s="4" t="s">
        <v>122</v>
      </c>
      <c r="N43" s="4" t="s">
        <v>122</v>
      </c>
      <c r="O43" s="4" t="s">
        <v>122</v>
      </c>
      <c r="P43" s="3">
        <v>32.250300000000003</v>
      </c>
      <c r="Q43" s="3">
        <v>-110.94499999999999</v>
      </c>
      <c r="R43" s="4" t="s">
        <v>129</v>
      </c>
      <c r="S43" s="4" t="s">
        <v>124</v>
      </c>
      <c r="T43" s="4" t="s">
        <v>738</v>
      </c>
      <c r="U43" s="3">
        <v>0</v>
      </c>
      <c r="V43" s="3">
        <v>2</v>
      </c>
      <c r="W43" s="3">
        <v>1</v>
      </c>
      <c r="X43" s="3">
        <v>5</v>
      </c>
      <c r="Y43" s="3">
        <v>1</v>
      </c>
      <c r="Z43" s="3">
        <v>5</v>
      </c>
      <c r="AA43" s="3">
        <v>5</v>
      </c>
      <c r="AG43" s="3">
        <v>2</v>
      </c>
      <c r="AH43" s="3">
        <v>7</v>
      </c>
      <c r="AI43" s="3">
        <v>3</v>
      </c>
      <c r="AJ43" s="3">
        <v>5</v>
      </c>
      <c r="AK43" s="3">
        <v>8</v>
      </c>
      <c r="AL43" s="3">
        <v>7</v>
      </c>
      <c r="AM43" s="3">
        <v>5</v>
      </c>
      <c r="AN43" s="3">
        <v>4</v>
      </c>
      <c r="AO43" s="3">
        <v>2</v>
      </c>
      <c r="AP43" s="3">
        <v>2</v>
      </c>
      <c r="AQ43" s="4" t="s">
        <v>122</v>
      </c>
      <c r="AR43" s="4" t="s">
        <v>122</v>
      </c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 t="s">
        <v>122</v>
      </c>
      <c r="BD43" s="4" t="s">
        <v>122</v>
      </c>
      <c r="BE43" s="4" t="s">
        <v>122</v>
      </c>
      <c r="BF43" s="4" t="s">
        <v>122</v>
      </c>
      <c r="BG43" s="4" t="s">
        <v>122</v>
      </c>
      <c r="BH43" s="4"/>
      <c r="BI43" s="4" t="s">
        <v>122</v>
      </c>
      <c r="BJ43" s="4" t="s">
        <v>122</v>
      </c>
      <c r="BK43" s="4" t="s">
        <v>122</v>
      </c>
      <c r="BL43" s="4" t="s">
        <v>122</v>
      </c>
      <c r="BM43" s="4" t="s">
        <v>122</v>
      </c>
      <c r="BN43" s="4" t="s">
        <v>122</v>
      </c>
      <c r="BO43" s="4"/>
      <c r="BP43" s="3">
        <v>6</v>
      </c>
      <c r="BQ43" s="3">
        <v>3</v>
      </c>
      <c r="BR43" s="4" t="s">
        <v>122</v>
      </c>
      <c r="BS43" s="4" t="s">
        <v>122</v>
      </c>
      <c r="BT43" s="4" t="s">
        <v>122</v>
      </c>
      <c r="BU43" s="4"/>
      <c r="BV43" s="4" t="s">
        <v>122</v>
      </c>
      <c r="BW43" s="4" t="s">
        <v>122</v>
      </c>
      <c r="BX43" s="4" t="s">
        <v>122</v>
      </c>
      <c r="BY43" s="4" t="s">
        <v>122</v>
      </c>
      <c r="BZ43" s="4" t="s">
        <v>125</v>
      </c>
      <c r="CA43" s="4" t="s">
        <v>122</v>
      </c>
      <c r="CD43" s="3">
        <v>4</v>
      </c>
      <c r="CE43" s="3">
        <v>2</v>
      </c>
      <c r="CF43" s="3">
        <v>1</v>
      </c>
      <c r="CG43" s="4" t="s">
        <v>122</v>
      </c>
      <c r="CH43" s="3">
        <v>7</v>
      </c>
      <c r="CI43" s="4" t="s">
        <v>122</v>
      </c>
      <c r="CJ43" s="4" t="s">
        <v>122</v>
      </c>
      <c r="CK43" s="4" t="s">
        <v>122</v>
      </c>
      <c r="CL43" s="4" t="s">
        <v>122</v>
      </c>
      <c r="CM43" s="4" t="s">
        <v>122</v>
      </c>
      <c r="CN43" s="4" t="s">
        <v>122</v>
      </c>
      <c r="CO43" s="4" t="s">
        <v>125</v>
      </c>
      <c r="CP43" s="4" t="s">
        <v>122</v>
      </c>
      <c r="CQ43" s="4" t="s">
        <v>122</v>
      </c>
      <c r="CR43" s="4" t="s">
        <v>122</v>
      </c>
      <c r="CS43" s="3">
        <v>5</v>
      </c>
      <c r="CT43" s="3">
        <v>6</v>
      </c>
      <c r="CU43" s="3">
        <v>0</v>
      </c>
      <c r="CV43">
        <v>1</v>
      </c>
      <c r="CW43" cm="1">
        <f t="array" ref="CW43">_xlfn.IFS(CU43*1=1,1,CU43*1=2,1,TRUE,0)</f>
        <v>0</v>
      </c>
      <c r="CX43" s="3" t="e">
        <f>NA()</f>
        <v>#N/A</v>
      </c>
      <c r="CY43" s="3">
        <f t="shared" si="0"/>
        <v>4</v>
      </c>
      <c r="CZ43" s="3" cm="1">
        <f t="array" ref="CZ43">_xlfn.IFS(BP43&lt;&gt;"", BP43, CV43=1,  AQ43, CV43=0,  AZ43)</f>
        <v>6</v>
      </c>
      <c r="DA43" s="3" t="e">
        <f>NA()</f>
        <v>#N/A</v>
      </c>
      <c r="DB43" s="36">
        <f t="shared" si="1"/>
        <v>-3</v>
      </c>
      <c r="DC43" s="3" t="e">
        <f t="shared" si="2"/>
        <v>#N/A</v>
      </c>
      <c r="DD43" s="3">
        <f t="shared" si="3"/>
        <v>-3</v>
      </c>
      <c r="DE43" s="3">
        <f t="shared" si="4"/>
        <v>-1</v>
      </c>
      <c r="DF43" s="3" t="e">
        <f t="shared" si="5"/>
        <v>#N/A</v>
      </c>
      <c r="DG43" s="3" t="e">
        <f t="shared" si="6"/>
        <v>#N/A</v>
      </c>
    </row>
    <row r="44" spans="1:126" x14ac:dyDescent="0.4">
      <c r="A44" s="3">
        <v>202410</v>
      </c>
      <c r="B44" s="3">
        <v>111</v>
      </c>
      <c r="C44" s="5">
        <v>45584.495127314818</v>
      </c>
      <c r="D44" s="5">
        <v>45584.497800925928</v>
      </c>
      <c r="E44" s="3">
        <v>0</v>
      </c>
      <c r="F44" s="4" t="s">
        <v>727</v>
      </c>
      <c r="G44" s="3">
        <v>100</v>
      </c>
      <c r="H44" s="3">
        <v>231</v>
      </c>
      <c r="I44" s="3">
        <v>1</v>
      </c>
      <c r="J44" s="5">
        <v>45584.497819305558</v>
      </c>
      <c r="K44" s="4" t="s">
        <v>728</v>
      </c>
      <c r="L44" s="4" t="s">
        <v>122</v>
      </c>
      <c r="M44" s="4" t="s">
        <v>122</v>
      </c>
      <c r="N44" s="4" t="s">
        <v>122</v>
      </c>
      <c r="O44" s="4" t="s">
        <v>122</v>
      </c>
      <c r="P44" s="3">
        <v>36.147199999999998</v>
      </c>
      <c r="Q44" s="3">
        <v>-115.11750000000001</v>
      </c>
      <c r="R44" s="4" t="s">
        <v>129</v>
      </c>
      <c r="S44" s="4" t="s">
        <v>124</v>
      </c>
      <c r="T44" s="4" t="s">
        <v>729</v>
      </c>
      <c r="U44" s="3">
        <v>1</v>
      </c>
      <c r="V44" s="3">
        <v>3</v>
      </c>
      <c r="W44" s="3">
        <v>1</v>
      </c>
      <c r="X44" s="3">
        <v>2</v>
      </c>
      <c r="Y44" s="3">
        <v>2</v>
      </c>
      <c r="Z44" s="3">
        <v>2</v>
      </c>
      <c r="AA44" s="3">
        <v>1</v>
      </c>
      <c r="AG44" s="3">
        <v>2</v>
      </c>
      <c r="AH44" s="3">
        <v>7</v>
      </c>
      <c r="AI44" s="3">
        <v>3</v>
      </c>
      <c r="AJ44" s="3">
        <v>8</v>
      </c>
      <c r="AK44" s="3">
        <v>8</v>
      </c>
      <c r="AL44" s="3">
        <v>8</v>
      </c>
      <c r="AM44" s="3">
        <v>8</v>
      </c>
      <c r="AN44" s="3">
        <v>8</v>
      </c>
      <c r="AO44" s="3">
        <v>3</v>
      </c>
      <c r="AP44" s="3">
        <v>3</v>
      </c>
      <c r="AQ44" s="4" t="s">
        <v>122</v>
      </c>
      <c r="AR44" s="4" t="s">
        <v>122</v>
      </c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 t="s">
        <v>122</v>
      </c>
      <c r="BD44" s="4" t="s">
        <v>122</v>
      </c>
      <c r="BE44" s="4" t="s">
        <v>122</v>
      </c>
      <c r="BF44" s="4" t="s">
        <v>122</v>
      </c>
      <c r="BG44" s="4" t="s">
        <v>122</v>
      </c>
      <c r="BH44" s="4"/>
      <c r="BI44" s="4" t="s">
        <v>122</v>
      </c>
      <c r="BJ44" s="4" t="s">
        <v>122</v>
      </c>
      <c r="BK44" s="4" t="s">
        <v>122</v>
      </c>
      <c r="BL44" s="4" t="s">
        <v>122</v>
      </c>
      <c r="BM44" s="4" t="s">
        <v>122</v>
      </c>
      <c r="BN44" s="4" t="s">
        <v>122</v>
      </c>
      <c r="BO44" s="4"/>
      <c r="BP44" s="3">
        <v>7</v>
      </c>
      <c r="BQ44" s="3">
        <v>3</v>
      </c>
      <c r="BR44" s="4" t="s">
        <v>122</v>
      </c>
      <c r="BS44" s="4" t="s">
        <v>122</v>
      </c>
      <c r="BT44" s="4" t="s">
        <v>122</v>
      </c>
      <c r="BU44" s="4"/>
      <c r="BV44" s="4" t="s">
        <v>122</v>
      </c>
      <c r="BW44" s="4" t="s">
        <v>122</v>
      </c>
      <c r="BX44" s="4" t="s">
        <v>122</v>
      </c>
      <c r="BY44" s="4" t="s">
        <v>122</v>
      </c>
      <c r="BZ44" s="4" t="s">
        <v>125</v>
      </c>
      <c r="CA44" s="4" t="s">
        <v>122</v>
      </c>
      <c r="CD44" s="3">
        <v>7</v>
      </c>
      <c r="CE44" s="3">
        <v>3</v>
      </c>
      <c r="CF44" s="3">
        <v>5</v>
      </c>
      <c r="CG44" s="30" t="s">
        <v>730</v>
      </c>
      <c r="CH44" s="3">
        <v>3</v>
      </c>
      <c r="CI44" s="4" t="s">
        <v>125</v>
      </c>
      <c r="CJ44" s="4" t="s">
        <v>125</v>
      </c>
      <c r="CK44" s="4" t="s">
        <v>125</v>
      </c>
      <c r="CL44" s="4" t="s">
        <v>125</v>
      </c>
      <c r="CM44" s="4" t="s">
        <v>125</v>
      </c>
      <c r="CN44" s="4" t="s">
        <v>125</v>
      </c>
      <c r="CO44" s="4" t="s">
        <v>125</v>
      </c>
      <c r="CP44" s="4" t="s">
        <v>125</v>
      </c>
      <c r="CQ44" s="4" t="s">
        <v>122</v>
      </c>
      <c r="CR44" s="4" t="s">
        <v>730</v>
      </c>
      <c r="CS44" s="3">
        <v>4</v>
      </c>
      <c r="CT44" s="3">
        <v>5</v>
      </c>
      <c r="CU44" s="3">
        <v>0</v>
      </c>
      <c r="CV44">
        <v>1</v>
      </c>
      <c r="CW44" cm="1">
        <f t="array" ref="CW44">_xlfn.IFS(CU44*1=1,1,CU44*1=2,1,TRUE,0)</f>
        <v>0</v>
      </c>
      <c r="CX44" s="3" t="e">
        <f>NA()</f>
        <v>#N/A</v>
      </c>
      <c r="CY44" s="3">
        <f t="shared" si="0"/>
        <v>7</v>
      </c>
      <c r="CZ44" s="3" cm="1">
        <f t="array" ref="CZ44">_xlfn.IFS(BP44&lt;&gt;"", BP44, CV44=1,  AQ44, CV44=0,  AZ44)</f>
        <v>7</v>
      </c>
      <c r="DA44" s="3" t="e">
        <f>NA()</f>
        <v>#N/A</v>
      </c>
      <c r="DB44" s="36">
        <f t="shared" si="1"/>
        <v>0</v>
      </c>
      <c r="DC44" s="3" t="e">
        <f t="shared" si="2"/>
        <v>#N/A</v>
      </c>
      <c r="DD44" s="3">
        <f t="shared" si="3"/>
        <v>0</v>
      </c>
      <c r="DE44" s="3">
        <f t="shared" si="4"/>
        <v>0</v>
      </c>
      <c r="DF44" s="3" t="e">
        <f t="shared" si="5"/>
        <v>#N/A</v>
      </c>
      <c r="DG44" s="3" t="e">
        <f t="shared" si="6"/>
        <v>#N/A</v>
      </c>
      <c r="DI44" s="36" t="s">
        <v>963</v>
      </c>
    </row>
    <row r="45" spans="1:126" x14ac:dyDescent="0.4">
      <c r="A45" s="3">
        <v>202410</v>
      </c>
      <c r="B45" s="3">
        <v>111</v>
      </c>
      <c r="C45" s="5">
        <v>45584.495671296296</v>
      </c>
      <c r="D45" s="5">
        <v>45584.49858796296</v>
      </c>
      <c r="E45" s="3">
        <v>0</v>
      </c>
      <c r="F45" s="4" t="s">
        <v>731</v>
      </c>
      <c r="G45" s="3">
        <v>100</v>
      </c>
      <c r="H45" s="3">
        <v>251</v>
      </c>
      <c r="I45" s="3">
        <v>1</v>
      </c>
      <c r="J45" s="5">
        <v>45584.498608078706</v>
      </c>
      <c r="K45" s="4" t="s">
        <v>732</v>
      </c>
      <c r="L45" s="4" t="s">
        <v>122</v>
      </c>
      <c r="M45" s="4" t="s">
        <v>122</v>
      </c>
      <c r="N45" s="4" t="s">
        <v>122</v>
      </c>
      <c r="O45" s="4" t="s">
        <v>122</v>
      </c>
      <c r="P45" s="3">
        <v>33.4602</v>
      </c>
      <c r="Q45" s="3">
        <v>-112.13339999999999</v>
      </c>
      <c r="R45" s="4" t="s">
        <v>129</v>
      </c>
      <c r="S45" s="4" t="s">
        <v>124</v>
      </c>
      <c r="T45" s="4" t="s">
        <v>733</v>
      </c>
      <c r="U45" s="3">
        <v>1</v>
      </c>
      <c r="V45" s="3">
        <v>5</v>
      </c>
      <c r="W45" s="3">
        <v>3</v>
      </c>
      <c r="X45" s="3">
        <v>3</v>
      </c>
      <c r="Y45" s="3">
        <v>3</v>
      </c>
      <c r="Z45" s="3">
        <v>1</v>
      </c>
      <c r="AA45" s="3">
        <v>3</v>
      </c>
      <c r="AG45" s="3">
        <v>4</v>
      </c>
      <c r="AH45" s="3">
        <v>6</v>
      </c>
      <c r="AI45" s="3">
        <v>3</v>
      </c>
      <c r="AJ45" s="3">
        <v>7</v>
      </c>
      <c r="AK45" s="3">
        <v>6</v>
      </c>
      <c r="AL45" s="3">
        <v>7</v>
      </c>
      <c r="AM45" s="3">
        <v>7</v>
      </c>
      <c r="AN45" s="3">
        <v>7</v>
      </c>
      <c r="AO45" s="3">
        <v>2</v>
      </c>
      <c r="AP45" s="3">
        <v>3</v>
      </c>
      <c r="AQ45" s="3">
        <v>5.5</v>
      </c>
      <c r="AR45" s="3">
        <v>2</v>
      </c>
      <c r="BC45" s="3">
        <v>6</v>
      </c>
      <c r="BD45" s="3">
        <v>3</v>
      </c>
      <c r="BE45" s="4" t="s">
        <v>125</v>
      </c>
      <c r="BF45" s="4" t="s">
        <v>122</v>
      </c>
      <c r="BG45" s="4" t="s">
        <v>122</v>
      </c>
      <c r="BH45" s="4"/>
      <c r="BI45" s="4" t="s">
        <v>122</v>
      </c>
      <c r="BJ45" s="4" t="s">
        <v>122</v>
      </c>
      <c r="BK45" s="4" t="s">
        <v>122</v>
      </c>
      <c r="BL45" s="4" t="s">
        <v>122</v>
      </c>
      <c r="BM45" s="4" t="s">
        <v>122</v>
      </c>
      <c r="BN45" s="3">
        <v>1</v>
      </c>
      <c r="BP45" s="4" t="s">
        <v>122</v>
      </c>
      <c r="BQ45" s="4" t="s">
        <v>122</v>
      </c>
      <c r="BR45" s="4" t="s">
        <v>122</v>
      </c>
      <c r="BS45" s="4" t="s">
        <v>122</v>
      </c>
      <c r="BT45" s="4" t="s">
        <v>122</v>
      </c>
      <c r="BU45" s="4"/>
      <c r="BV45" s="4" t="s">
        <v>122</v>
      </c>
      <c r="BW45" s="4" t="s">
        <v>122</v>
      </c>
      <c r="BX45" s="4" t="s">
        <v>122</v>
      </c>
      <c r="BY45" s="4" t="s">
        <v>122</v>
      </c>
      <c r="BZ45" s="4" t="s">
        <v>122</v>
      </c>
      <c r="CA45" s="4" t="s">
        <v>122</v>
      </c>
      <c r="CD45" s="4" t="s">
        <v>122</v>
      </c>
      <c r="CE45" s="4" t="s">
        <v>122</v>
      </c>
      <c r="CF45" s="3">
        <v>1</v>
      </c>
      <c r="CG45" s="4" t="s">
        <v>122</v>
      </c>
      <c r="CH45" s="3">
        <v>3</v>
      </c>
      <c r="CI45" s="4" t="s">
        <v>122</v>
      </c>
      <c r="CJ45" s="4" t="s">
        <v>122</v>
      </c>
      <c r="CK45" s="4" t="s">
        <v>122</v>
      </c>
      <c r="CL45" s="4" t="s">
        <v>125</v>
      </c>
      <c r="CM45" s="4" t="s">
        <v>122</v>
      </c>
      <c r="CN45" s="4" t="s">
        <v>122</v>
      </c>
      <c r="CO45" s="4" t="s">
        <v>122</v>
      </c>
      <c r="CP45" s="4" t="s">
        <v>122</v>
      </c>
      <c r="CQ45" s="4" t="s">
        <v>122</v>
      </c>
      <c r="CR45" s="4" t="s">
        <v>122</v>
      </c>
      <c r="CS45" s="3">
        <v>4</v>
      </c>
      <c r="CT45" s="3">
        <v>6</v>
      </c>
      <c r="CU45" s="3">
        <v>1</v>
      </c>
      <c r="CV45">
        <v>1</v>
      </c>
      <c r="CW45" cm="1">
        <f t="array" ref="CW45">_xlfn.IFS(CU45*1=1,1,CU45*1=2,1,TRUE,0)</f>
        <v>1</v>
      </c>
      <c r="CX45" s="3" t="e">
        <f>NA()</f>
        <v>#N/A</v>
      </c>
      <c r="CY45" s="3">
        <f t="shared" si="0"/>
        <v>6</v>
      </c>
      <c r="CZ45" s="3" cm="1">
        <f t="array" ref="CZ45">_xlfn.IFS(BP45&lt;&gt;"", BP45, CV45=1,  AQ45, CV45=0,  AZ45)</f>
        <v>5.5</v>
      </c>
      <c r="DA45" s="3" t="e">
        <f>NA()</f>
        <v>#N/A</v>
      </c>
      <c r="DB45" s="36">
        <f t="shared" si="1"/>
        <v>0</v>
      </c>
      <c r="DC45" s="3" t="e">
        <f t="shared" si="2"/>
        <v>#N/A</v>
      </c>
      <c r="DD45" s="3">
        <f t="shared" si="3"/>
        <v>-0.5</v>
      </c>
      <c r="DE45" s="3">
        <f t="shared" si="4"/>
        <v>0</v>
      </c>
      <c r="DF45" s="3" t="e">
        <f t="shared" si="5"/>
        <v>#N/A</v>
      </c>
      <c r="DG45" s="3" t="e">
        <f t="shared" si="6"/>
        <v>#N/A</v>
      </c>
      <c r="DI45" s="61" t="s">
        <v>953</v>
      </c>
      <c r="DJ45" s="68" t="s">
        <v>964</v>
      </c>
      <c r="DK45" s="68" t="s">
        <v>965</v>
      </c>
      <c r="DL45" s="68" t="s">
        <v>965</v>
      </c>
    </row>
    <row r="46" spans="1:126" x14ac:dyDescent="0.4">
      <c r="A46" s="3">
        <v>202410</v>
      </c>
      <c r="B46" s="3">
        <v>111</v>
      </c>
      <c r="C46" s="5">
        <v>45584.498865740738</v>
      </c>
      <c r="D46" s="5">
        <v>45584.50204861111</v>
      </c>
      <c r="E46" s="3">
        <v>0</v>
      </c>
      <c r="F46" s="4" t="s">
        <v>739</v>
      </c>
      <c r="G46" s="3">
        <v>100</v>
      </c>
      <c r="H46" s="3">
        <v>275</v>
      </c>
      <c r="I46" s="3">
        <v>1</v>
      </c>
      <c r="J46" s="5">
        <v>45584.502069340277</v>
      </c>
      <c r="K46" s="4" t="s">
        <v>740</v>
      </c>
      <c r="L46" s="4" t="s">
        <v>122</v>
      </c>
      <c r="M46" s="4" t="s">
        <v>122</v>
      </c>
      <c r="N46" s="4" t="s">
        <v>122</v>
      </c>
      <c r="O46" s="4" t="s">
        <v>122</v>
      </c>
      <c r="P46" s="3">
        <v>32.194299999999998</v>
      </c>
      <c r="Q46" s="3">
        <v>-110.97669999999999</v>
      </c>
      <c r="R46" s="4" t="s">
        <v>129</v>
      </c>
      <c r="S46" s="4" t="s">
        <v>124</v>
      </c>
      <c r="T46" s="4" t="s">
        <v>741</v>
      </c>
      <c r="U46" s="3">
        <v>0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G46" s="3">
        <v>4</v>
      </c>
      <c r="AH46" s="3">
        <v>6</v>
      </c>
      <c r="AI46" s="3">
        <v>2</v>
      </c>
      <c r="AJ46" s="3">
        <v>7</v>
      </c>
      <c r="AK46" s="3">
        <v>8</v>
      </c>
      <c r="AL46" s="3">
        <v>7</v>
      </c>
      <c r="AM46" s="3">
        <v>7</v>
      </c>
      <c r="AN46" s="3">
        <v>8</v>
      </c>
      <c r="AO46" s="3">
        <v>2</v>
      </c>
      <c r="AP46" s="3">
        <v>3</v>
      </c>
      <c r="AQ46" s="4" t="s">
        <v>122</v>
      </c>
      <c r="AR46" s="4" t="s">
        <v>122</v>
      </c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 t="s">
        <v>122</v>
      </c>
      <c r="BD46" s="4" t="s">
        <v>122</v>
      </c>
      <c r="BE46" s="4" t="s">
        <v>122</v>
      </c>
      <c r="BF46" s="4" t="s">
        <v>122</v>
      </c>
      <c r="BG46" s="4" t="s">
        <v>122</v>
      </c>
      <c r="BH46" s="4"/>
      <c r="BI46" s="4" t="s">
        <v>122</v>
      </c>
      <c r="BJ46" s="4" t="s">
        <v>122</v>
      </c>
      <c r="BK46" s="4" t="s">
        <v>122</v>
      </c>
      <c r="BL46" s="4" t="s">
        <v>122</v>
      </c>
      <c r="BM46" s="4" t="s">
        <v>122</v>
      </c>
      <c r="BN46" s="4" t="s">
        <v>122</v>
      </c>
      <c r="BO46" s="4"/>
      <c r="BP46" s="3">
        <v>6</v>
      </c>
      <c r="BQ46" s="3">
        <v>2</v>
      </c>
      <c r="BR46" s="4" t="s">
        <v>125</v>
      </c>
      <c r="BS46" s="4" t="s">
        <v>122</v>
      </c>
      <c r="BT46" s="4" t="s">
        <v>122</v>
      </c>
      <c r="BU46" s="4"/>
      <c r="BV46" s="4" t="s">
        <v>122</v>
      </c>
      <c r="BW46" s="4" t="s">
        <v>122</v>
      </c>
      <c r="BX46" s="4" t="s">
        <v>122</v>
      </c>
      <c r="BY46" s="4" t="s">
        <v>122</v>
      </c>
      <c r="BZ46" s="4" t="s">
        <v>122</v>
      </c>
      <c r="CA46" s="3">
        <v>1</v>
      </c>
      <c r="CD46" s="3">
        <v>6</v>
      </c>
      <c r="CE46" s="3">
        <v>2</v>
      </c>
      <c r="CF46" s="3">
        <v>2</v>
      </c>
      <c r="CG46" s="4" t="s">
        <v>122</v>
      </c>
      <c r="CH46" s="3">
        <v>6</v>
      </c>
      <c r="CI46" s="4" t="s">
        <v>122</v>
      </c>
      <c r="CJ46" s="4" t="s">
        <v>122</v>
      </c>
      <c r="CK46" s="4" t="s">
        <v>122</v>
      </c>
      <c r="CL46" s="4" t="s">
        <v>122</v>
      </c>
      <c r="CM46" s="4" t="s">
        <v>122</v>
      </c>
      <c r="CN46" s="4" t="s">
        <v>122</v>
      </c>
      <c r="CO46" s="4" t="s">
        <v>125</v>
      </c>
      <c r="CP46" s="4" t="s">
        <v>122</v>
      </c>
      <c r="CQ46" s="4" t="s">
        <v>122</v>
      </c>
      <c r="CR46" s="4" t="s">
        <v>122</v>
      </c>
      <c r="CS46" s="3">
        <v>5</v>
      </c>
      <c r="CT46" s="3">
        <v>6</v>
      </c>
      <c r="CU46" s="3">
        <v>0</v>
      </c>
      <c r="CV46">
        <v>1</v>
      </c>
      <c r="CW46" cm="1">
        <f t="array" ref="CW46">_xlfn.IFS(CU46*1=1,1,CU46*1=2,1,TRUE,0)</f>
        <v>0</v>
      </c>
      <c r="CX46" s="3" t="e">
        <f>NA()</f>
        <v>#N/A</v>
      </c>
      <c r="CY46" s="3">
        <f t="shared" si="0"/>
        <v>6</v>
      </c>
      <c r="CZ46" s="3" cm="1">
        <f t="array" ref="CZ46">_xlfn.IFS(BP46&lt;&gt;"", BP46, CV46=1,  AQ46, CV46=0,  AZ46)</f>
        <v>6</v>
      </c>
      <c r="DA46" s="3" t="e">
        <f>NA()</f>
        <v>#N/A</v>
      </c>
      <c r="DB46" s="36">
        <f t="shared" si="1"/>
        <v>0</v>
      </c>
      <c r="DC46" s="3" t="e">
        <f t="shared" si="2"/>
        <v>#N/A</v>
      </c>
      <c r="DD46" s="3">
        <f t="shared" si="3"/>
        <v>0</v>
      </c>
      <c r="DE46" s="3">
        <f t="shared" si="4"/>
        <v>0</v>
      </c>
      <c r="DF46" s="3" t="e">
        <f t="shared" si="5"/>
        <v>#N/A</v>
      </c>
      <c r="DG46" s="3" t="e">
        <f t="shared" si="6"/>
        <v>#N/A</v>
      </c>
      <c r="DI46" s="59">
        <v>202410</v>
      </c>
      <c r="DJ46" s="66">
        <f>AVERAGE($AH$2:$AH$98)</f>
        <v>4.2010309278350517</v>
      </c>
      <c r="DK46" s="66">
        <f>DJ46</f>
        <v>4.2010309278350517</v>
      </c>
      <c r="DL46" s="66">
        <f>DK46</f>
        <v>4.2010309278350517</v>
      </c>
    </row>
    <row r="47" spans="1:126" x14ac:dyDescent="0.4">
      <c r="A47" s="3">
        <v>202410</v>
      </c>
      <c r="B47" s="3">
        <v>111</v>
      </c>
      <c r="C47" s="5">
        <v>45584.499756944446</v>
      </c>
      <c r="D47" s="5">
        <v>45584.503067129626</v>
      </c>
      <c r="E47" s="3">
        <v>0</v>
      </c>
      <c r="F47" s="4" t="s">
        <v>742</v>
      </c>
      <c r="G47" s="3">
        <v>100</v>
      </c>
      <c r="H47" s="3">
        <v>285</v>
      </c>
      <c r="I47" s="3">
        <v>1</v>
      </c>
      <c r="J47" s="5">
        <v>45584.5030796875</v>
      </c>
      <c r="K47" s="4" t="s">
        <v>743</v>
      </c>
      <c r="L47" s="4" t="s">
        <v>122</v>
      </c>
      <c r="M47" s="4" t="s">
        <v>122</v>
      </c>
      <c r="N47" s="4" t="s">
        <v>122</v>
      </c>
      <c r="O47" s="4" t="s">
        <v>122</v>
      </c>
      <c r="P47" s="3">
        <v>32.145299999999999</v>
      </c>
      <c r="Q47" s="3">
        <v>-110.9456</v>
      </c>
      <c r="R47" s="4" t="s">
        <v>129</v>
      </c>
      <c r="S47" s="4" t="s">
        <v>124</v>
      </c>
      <c r="T47" s="4" t="s">
        <v>744</v>
      </c>
      <c r="U47" s="3">
        <v>1</v>
      </c>
      <c r="V47" s="3">
        <v>4</v>
      </c>
      <c r="W47" s="3">
        <v>4</v>
      </c>
      <c r="X47" s="3">
        <v>2</v>
      </c>
      <c r="Y47" s="3">
        <v>3</v>
      </c>
      <c r="Z47" s="3">
        <v>2</v>
      </c>
      <c r="AA47" s="3">
        <v>1</v>
      </c>
      <c r="AG47" s="3">
        <v>2</v>
      </c>
      <c r="AH47" s="3">
        <v>6.5</v>
      </c>
      <c r="AI47" s="3">
        <v>2</v>
      </c>
      <c r="AJ47" s="3">
        <v>9</v>
      </c>
      <c r="AK47" s="3">
        <v>9</v>
      </c>
      <c r="AL47" s="3">
        <v>9</v>
      </c>
      <c r="AM47" s="3">
        <v>9</v>
      </c>
      <c r="AN47" s="3">
        <v>8</v>
      </c>
      <c r="AO47" s="3">
        <v>3</v>
      </c>
      <c r="AP47" s="3">
        <v>4</v>
      </c>
      <c r="AQ47" s="4" t="s">
        <v>122</v>
      </c>
      <c r="AR47" s="4" t="s">
        <v>122</v>
      </c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 t="s">
        <v>122</v>
      </c>
      <c r="BD47" s="4" t="s">
        <v>122</v>
      </c>
      <c r="BE47" s="4" t="s">
        <v>122</v>
      </c>
      <c r="BF47" s="4" t="s">
        <v>122</v>
      </c>
      <c r="BG47" s="4" t="s">
        <v>122</v>
      </c>
      <c r="BH47" s="4"/>
      <c r="BI47" s="4" t="s">
        <v>122</v>
      </c>
      <c r="BJ47" s="4" t="s">
        <v>122</v>
      </c>
      <c r="BK47" s="4" t="s">
        <v>122</v>
      </c>
      <c r="BL47" s="4" t="s">
        <v>122</v>
      </c>
      <c r="BM47" s="4" t="s">
        <v>122</v>
      </c>
      <c r="BN47" s="4" t="s">
        <v>122</v>
      </c>
      <c r="BO47" s="4"/>
      <c r="BP47" s="3">
        <v>6</v>
      </c>
      <c r="BQ47" s="3">
        <v>2</v>
      </c>
      <c r="BR47" s="4" t="s">
        <v>125</v>
      </c>
      <c r="BS47" s="4" t="s">
        <v>122</v>
      </c>
      <c r="BT47" s="4" t="s">
        <v>122</v>
      </c>
      <c r="BU47" s="4"/>
      <c r="BV47" s="4" t="s">
        <v>122</v>
      </c>
      <c r="BW47" s="4" t="s">
        <v>122</v>
      </c>
      <c r="BX47" s="4" t="s">
        <v>122</v>
      </c>
      <c r="BY47" s="4" t="s">
        <v>125</v>
      </c>
      <c r="BZ47" s="4" t="s">
        <v>122</v>
      </c>
      <c r="CA47" s="3">
        <v>1</v>
      </c>
      <c r="CD47" s="3">
        <v>6</v>
      </c>
      <c r="CE47" s="3">
        <v>3</v>
      </c>
      <c r="CF47" s="3">
        <v>2</v>
      </c>
      <c r="CG47" s="4" t="s">
        <v>122</v>
      </c>
      <c r="CH47" s="3">
        <v>2</v>
      </c>
      <c r="CI47" s="4" t="s">
        <v>122</v>
      </c>
      <c r="CJ47" s="4" t="s">
        <v>122</v>
      </c>
      <c r="CK47" s="4" t="s">
        <v>122</v>
      </c>
      <c r="CL47" s="4" t="s">
        <v>122</v>
      </c>
      <c r="CM47" s="4" t="s">
        <v>122</v>
      </c>
      <c r="CN47" s="4" t="s">
        <v>122</v>
      </c>
      <c r="CO47" s="4" t="s">
        <v>125</v>
      </c>
      <c r="CP47" s="4" t="s">
        <v>122</v>
      </c>
      <c r="CQ47" s="4" t="s">
        <v>122</v>
      </c>
      <c r="CR47" s="4" t="s">
        <v>122</v>
      </c>
      <c r="CS47" s="3">
        <v>4</v>
      </c>
      <c r="CT47" s="3">
        <v>3</v>
      </c>
      <c r="CU47" s="3">
        <v>0</v>
      </c>
      <c r="CV47">
        <v>1</v>
      </c>
      <c r="CW47" cm="1">
        <f t="array" ref="CW47">_xlfn.IFS(CU47*1=1,1,CU47*1=2,1,TRUE,0)</f>
        <v>0</v>
      </c>
      <c r="CX47" s="3" t="e">
        <f>NA()</f>
        <v>#N/A</v>
      </c>
      <c r="CY47" s="3">
        <f t="shared" si="0"/>
        <v>6</v>
      </c>
      <c r="CZ47" s="3" cm="1">
        <f t="array" ref="CZ47">_xlfn.IFS(BP47&lt;&gt;"", BP47, CV47=1,  AQ47, CV47=0,  AZ47)</f>
        <v>6</v>
      </c>
      <c r="DA47" s="3" t="e">
        <f>NA()</f>
        <v>#N/A</v>
      </c>
      <c r="DB47" s="36">
        <f t="shared" si="1"/>
        <v>-0.5</v>
      </c>
      <c r="DC47" s="3" t="e">
        <f t="shared" si="2"/>
        <v>#N/A</v>
      </c>
      <c r="DD47" s="3">
        <f t="shared" si="3"/>
        <v>-0.5</v>
      </c>
      <c r="DE47" s="3">
        <f t="shared" si="4"/>
        <v>-0.5</v>
      </c>
      <c r="DF47" s="3" t="e">
        <f t="shared" si="5"/>
        <v>#N/A</v>
      </c>
      <c r="DG47" s="3" t="e">
        <f t="shared" si="6"/>
        <v>#N/A</v>
      </c>
      <c r="DI47" s="59">
        <v>202503</v>
      </c>
      <c r="DJ47" s="66">
        <f>AVERAGE($AH$99:$AH$206)</f>
        <v>4.2407407407407405</v>
      </c>
      <c r="DK47" s="66">
        <f t="shared" ref="DK47:DL49" si="9">DJ47</f>
        <v>4.2407407407407405</v>
      </c>
      <c r="DL47" s="66">
        <f t="shared" si="9"/>
        <v>4.2407407407407405</v>
      </c>
    </row>
    <row r="48" spans="1:126" x14ac:dyDescent="0.4">
      <c r="A48" s="3">
        <v>202410</v>
      </c>
      <c r="B48" s="3">
        <v>111</v>
      </c>
      <c r="C48" s="5">
        <v>45584.50037037037</v>
      </c>
      <c r="D48" s="5">
        <v>45584.504236111112</v>
      </c>
      <c r="E48" s="3">
        <v>0</v>
      </c>
      <c r="F48" s="4" t="s">
        <v>745</v>
      </c>
      <c r="G48" s="3">
        <v>100</v>
      </c>
      <c r="H48" s="3">
        <v>333</v>
      </c>
      <c r="I48" s="3">
        <v>1</v>
      </c>
      <c r="J48" s="5">
        <v>45584.504249305559</v>
      </c>
      <c r="K48" s="4" t="s">
        <v>746</v>
      </c>
      <c r="L48" s="4" t="s">
        <v>122</v>
      </c>
      <c r="M48" s="4" t="s">
        <v>122</v>
      </c>
      <c r="N48" s="4" t="s">
        <v>122</v>
      </c>
      <c r="O48" s="4" t="s">
        <v>122</v>
      </c>
      <c r="P48" s="3">
        <v>35.078099999999999</v>
      </c>
      <c r="Q48" s="3">
        <v>-106.6583</v>
      </c>
      <c r="R48" s="4" t="s">
        <v>129</v>
      </c>
      <c r="S48" s="4" t="s">
        <v>124</v>
      </c>
      <c r="T48" s="4" t="s">
        <v>747</v>
      </c>
      <c r="U48" s="3">
        <v>1</v>
      </c>
      <c r="V48" s="3">
        <v>2</v>
      </c>
      <c r="W48" s="3">
        <v>1</v>
      </c>
      <c r="X48" s="3">
        <v>2</v>
      </c>
      <c r="Y48" s="3">
        <v>5</v>
      </c>
      <c r="Z48" s="3">
        <v>3</v>
      </c>
      <c r="AA48" s="3">
        <v>5</v>
      </c>
      <c r="AG48" s="3">
        <v>3</v>
      </c>
      <c r="AH48" s="3">
        <v>5</v>
      </c>
      <c r="AI48" s="3">
        <v>3</v>
      </c>
      <c r="AJ48" s="3">
        <v>4</v>
      </c>
      <c r="AK48" s="3">
        <v>9</v>
      </c>
      <c r="AL48" s="3">
        <v>4</v>
      </c>
      <c r="AM48" s="3">
        <v>3</v>
      </c>
      <c r="AN48" s="3">
        <v>8</v>
      </c>
      <c r="AO48" s="3">
        <v>2</v>
      </c>
      <c r="AP48" s="3">
        <v>4</v>
      </c>
      <c r="AQ48" s="3">
        <v>4</v>
      </c>
      <c r="AR48" s="3">
        <v>3</v>
      </c>
      <c r="BC48" s="3">
        <v>4</v>
      </c>
      <c r="BD48" s="3">
        <v>3</v>
      </c>
      <c r="BE48" s="4" t="s">
        <v>125</v>
      </c>
      <c r="BF48" s="4" t="s">
        <v>122</v>
      </c>
      <c r="BG48" s="4" t="s">
        <v>122</v>
      </c>
      <c r="BH48" s="4"/>
      <c r="BI48" s="4" t="s">
        <v>122</v>
      </c>
      <c r="BJ48" s="4" t="s">
        <v>122</v>
      </c>
      <c r="BK48" s="4" t="s">
        <v>122</v>
      </c>
      <c r="BL48" s="4" t="s">
        <v>122</v>
      </c>
      <c r="BM48" s="4" t="s">
        <v>122</v>
      </c>
      <c r="BN48" s="3">
        <v>1</v>
      </c>
      <c r="BP48" s="4" t="s">
        <v>122</v>
      </c>
      <c r="BQ48" s="4" t="s">
        <v>122</v>
      </c>
      <c r="BR48" s="4" t="s">
        <v>122</v>
      </c>
      <c r="BS48" s="4" t="s">
        <v>122</v>
      </c>
      <c r="BT48" s="4" t="s">
        <v>122</v>
      </c>
      <c r="BU48" s="4"/>
      <c r="BV48" s="4" t="s">
        <v>122</v>
      </c>
      <c r="BW48" s="4" t="s">
        <v>122</v>
      </c>
      <c r="BX48" s="4" t="s">
        <v>122</v>
      </c>
      <c r="BY48" s="4" t="s">
        <v>122</v>
      </c>
      <c r="BZ48" s="4" t="s">
        <v>122</v>
      </c>
      <c r="CA48" s="4" t="s">
        <v>122</v>
      </c>
      <c r="CD48" s="4" t="s">
        <v>122</v>
      </c>
      <c r="CE48" s="4" t="s">
        <v>122</v>
      </c>
      <c r="CF48" s="3">
        <v>2</v>
      </c>
      <c r="CG48" s="4" t="s">
        <v>122</v>
      </c>
      <c r="CH48" s="3">
        <v>4</v>
      </c>
      <c r="CI48" s="4" t="s">
        <v>122</v>
      </c>
      <c r="CJ48" s="4" t="s">
        <v>122</v>
      </c>
      <c r="CK48" s="4" t="s">
        <v>122</v>
      </c>
      <c r="CL48" s="4" t="s">
        <v>122</v>
      </c>
      <c r="CM48" s="4" t="s">
        <v>122</v>
      </c>
      <c r="CN48" s="4" t="s">
        <v>122</v>
      </c>
      <c r="CO48" s="4" t="s">
        <v>125</v>
      </c>
      <c r="CP48" s="4" t="s">
        <v>122</v>
      </c>
      <c r="CQ48" s="4" t="s">
        <v>122</v>
      </c>
      <c r="CR48" s="4" t="s">
        <v>122</v>
      </c>
      <c r="CS48" s="3">
        <v>5</v>
      </c>
      <c r="CT48" s="3">
        <v>6</v>
      </c>
      <c r="CU48" s="3">
        <v>1</v>
      </c>
      <c r="CV48">
        <v>1</v>
      </c>
      <c r="CW48" cm="1">
        <f t="array" ref="CW48">_xlfn.IFS(CU48*1=1,1,CU48*1=2,1,TRUE,0)</f>
        <v>1</v>
      </c>
      <c r="CX48" s="3" t="e">
        <f>NA()</f>
        <v>#N/A</v>
      </c>
      <c r="CY48" s="3">
        <f t="shared" si="0"/>
        <v>4</v>
      </c>
      <c r="CZ48" s="3" cm="1">
        <f t="array" ref="CZ48">_xlfn.IFS(BP48&lt;&gt;"", BP48, CV48=1,  AQ48, CV48=0,  AZ48)</f>
        <v>4</v>
      </c>
      <c r="DA48" s="3" t="e">
        <f>NA()</f>
        <v>#N/A</v>
      </c>
      <c r="DB48" s="36">
        <f t="shared" si="1"/>
        <v>-1</v>
      </c>
      <c r="DC48" s="3" t="e">
        <f t="shared" si="2"/>
        <v>#N/A</v>
      </c>
      <c r="DD48" s="3">
        <f t="shared" si="3"/>
        <v>-1</v>
      </c>
      <c r="DE48" s="3">
        <f t="shared" si="4"/>
        <v>-1</v>
      </c>
      <c r="DF48" s="3" t="e">
        <f t="shared" si="5"/>
        <v>#N/A</v>
      </c>
      <c r="DG48" s="3" t="e">
        <f t="shared" si="6"/>
        <v>#N/A</v>
      </c>
      <c r="DI48" s="59">
        <v>202511</v>
      </c>
      <c r="DJ48" s="66">
        <f>AVERAGE($AH$207:$AH$340)</f>
        <v>4.75</v>
      </c>
      <c r="DK48" s="66">
        <f t="shared" si="9"/>
        <v>4.75</v>
      </c>
      <c r="DL48" s="66">
        <f t="shared" si="9"/>
        <v>4.75</v>
      </c>
    </row>
    <row r="49" spans="1:116" x14ac:dyDescent="0.4">
      <c r="A49" s="3">
        <v>202410</v>
      </c>
      <c r="B49" s="3">
        <v>111</v>
      </c>
      <c r="C49" s="5">
        <v>45584.501562500001</v>
      </c>
      <c r="D49" s="5">
        <v>45584.508275462962</v>
      </c>
      <c r="E49" s="3">
        <v>0</v>
      </c>
      <c r="F49" s="4" t="s">
        <v>754</v>
      </c>
      <c r="G49" s="3">
        <v>100</v>
      </c>
      <c r="H49" s="3">
        <v>579</v>
      </c>
      <c r="I49" s="3">
        <v>1</v>
      </c>
      <c r="J49" s="5">
        <v>45584.508290335645</v>
      </c>
      <c r="K49" s="4" t="s">
        <v>755</v>
      </c>
      <c r="L49" s="4" t="s">
        <v>122</v>
      </c>
      <c r="M49" s="4" t="s">
        <v>122</v>
      </c>
      <c r="N49" s="4" t="s">
        <v>122</v>
      </c>
      <c r="O49" s="4" t="s">
        <v>122</v>
      </c>
      <c r="P49" s="3">
        <v>36.147199999999998</v>
      </c>
      <c r="Q49" s="3">
        <v>-115.11750000000001</v>
      </c>
      <c r="R49" s="4" t="s">
        <v>129</v>
      </c>
      <c r="S49" s="4" t="s">
        <v>124</v>
      </c>
      <c r="T49" s="4" t="s">
        <v>756</v>
      </c>
      <c r="U49" s="3">
        <v>1</v>
      </c>
      <c r="V49" s="3">
        <v>3</v>
      </c>
      <c r="W49" s="3">
        <v>2</v>
      </c>
      <c r="X49" s="3">
        <v>3</v>
      </c>
      <c r="Y49" s="3">
        <v>3</v>
      </c>
      <c r="Z49" s="3">
        <v>2</v>
      </c>
      <c r="AA49" s="3">
        <v>4</v>
      </c>
      <c r="AG49" s="3">
        <v>3</v>
      </c>
      <c r="AH49" s="3">
        <v>5</v>
      </c>
      <c r="AI49" s="3">
        <v>3</v>
      </c>
      <c r="AJ49" s="3">
        <v>8</v>
      </c>
      <c r="AK49" s="3">
        <v>8</v>
      </c>
      <c r="AL49" s="3">
        <v>7</v>
      </c>
      <c r="AM49" s="3">
        <v>8</v>
      </c>
      <c r="AN49" s="3">
        <v>5</v>
      </c>
      <c r="AO49" s="3">
        <v>3</v>
      </c>
      <c r="AP49" s="3">
        <v>3</v>
      </c>
      <c r="AQ49" s="4" t="s">
        <v>122</v>
      </c>
      <c r="AR49" s="4" t="s">
        <v>122</v>
      </c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 t="s">
        <v>122</v>
      </c>
      <c r="BD49" s="4" t="s">
        <v>122</v>
      </c>
      <c r="BE49" s="4" t="s">
        <v>122</v>
      </c>
      <c r="BF49" s="4" t="s">
        <v>122</v>
      </c>
      <c r="BG49" s="4" t="s">
        <v>122</v>
      </c>
      <c r="BH49" s="4"/>
      <c r="BI49" s="4" t="s">
        <v>122</v>
      </c>
      <c r="BJ49" s="4" t="s">
        <v>122</v>
      </c>
      <c r="BK49" s="4" t="s">
        <v>122</v>
      </c>
      <c r="BL49" s="4" t="s">
        <v>122</v>
      </c>
      <c r="BM49" s="4" t="s">
        <v>122</v>
      </c>
      <c r="BN49" s="4" t="s">
        <v>122</v>
      </c>
      <c r="BO49" s="4"/>
      <c r="BP49" s="3">
        <v>5</v>
      </c>
      <c r="BQ49" s="3">
        <v>3</v>
      </c>
      <c r="BR49" s="4" t="s">
        <v>125</v>
      </c>
      <c r="BS49" s="4" t="s">
        <v>122</v>
      </c>
      <c r="BT49" s="4" t="s">
        <v>122</v>
      </c>
      <c r="BU49" s="4"/>
      <c r="BV49" s="4" t="s">
        <v>125</v>
      </c>
      <c r="BW49" s="4" t="s">
        <v>122</v>
      </c>
      <c r="BX49" s="4" t="s">
        <v>122</v>
      </c>
      <c r="BY49" s="4" t="s">
        <v>122</v>
      </c>
      <c r="BZ49" s="4" t="s">
        <v>122</v>
      </c>
      <c r="CA49" s="3">
        <v>4</v>
      </c>
      <c r="CD49" s="3">
        <v>5</v>
      </c>
      <c r="CE49" s="3">
        <v>3</v>
      </c>
      <c r="CF49" s="3">
        <v>2</v>
      </c>
      <c r="CG49" s="4" t="s">
        <v>122</v>
      </c>
      <c r="CH49" s="3">
        <v>3</v>
      </c>
      <c r="CI49" s="4" t="s">
        <v>122</v>
      </c>
      <c r="CJ49" s="4" t="s">
        <v>122</v>
      </c>
      <c r="CK49" s="4" t="s">
        <v>122</v>
      </c>
      <c r="CL49" s="4" t="s">
        <v>122</v>
      </c>
      <c r="CM49" s="4" t="s">
        <v>122</v>
      </c>
      <c r="CN49" s="4" t="s">
        <v>122</v>
      </c>
      <c r="CO49" s="4" t="s">
        <v>125</v>
      </c>
      <c r="CP49" s="4" t="s">
        <v>122</v>
      </c>
      <c r="CQ49" s="4" t="s">
        <v>122</v>
      </c>
      <c r="CR49" s="4" t="s">
        <v>122</v>
      </c>
      <c r="CS49" s="3">
        <v>4</v>
      </c>
      <c r="CT49" s="3">
        <v>5</v>
      </c>
      <c r="CU49" s="3">
        <v>0</v>
      </c>
      <c r="CV49">
        <v>1</v>
      </c>
      <c r="CW49" cm="1">
        <f t="array" ref="CW49">_xlfn.IFS(CU49*1=1,1,CU49*1=2,1,TRUE,0)</f>
        <v>0</v>
      </c>
      <c r="CX49" s="3" t="e">
        <f>NA()</f>
        <v>#N/A</v>
      </c>
      <c r="CY49" s="3">
        <f t="shared" si="0"/>
        <v>5</v>
      </c>
      <c r="CZ49" s="3" cm="1">
        <f t="array" ref="CZ49">_xlfn.IFS(BP49&lt;&gt;"", BP49, CV49=1,  AQ49, CV49=0,  AZ49)</f>
        <v>5</v>
      </c>
      <c r="DA49" s="3" t="e">
        <f>NA()</f>
        <v>#N/A</v>
      </c>
      <c r="DB49" s="36">
        <f t="shared" si="1"/>
        <v>0</v>
      </c>
      <c r="DC49" s="3" t="e">
        <f t="shared" si="2"/>
        <v>#N/A</v>
      </c>
      <c r="DD49" s="3">
        <f t="shared" si="3"/>
        <v>0</v>
      </c>
      <c r="DE49" s="3">
        <f t="shared" si="4"/>
        <v>0</v>
      </c>
      <c r="DF49" s="3" t="e">
        <f t="shared" si="5"/>
        <v>#N/A</v>
      </c>
      <c r="DG49" s="3" t="e">
        <f t="shared" si="6"/>
        <v>#N/A</v>
      </c>
      <c r="DI49" s="62" t="s">
        <v>954</v>
      </c>
      <c r="DJ49" s="67">
        <f>AVERAGE($AH$2:$AH$340)</f>
        <v>4.4306784660766958</v>
      </c>
      <c r="DK49" s="67">
        <f t="shared" si="9"/>
        <v>4.4306784660766958</v>
      </c>
      <c r="DL49" s="67">
        <f t="shared" si="9"/>
        <v>4.4306784660766958</v>
      </c>
    </row>
    <row r="50" spans="1:116" x14ac:dyDescent="0.4">
      <c r="A50" s="3">
        <v>202410</v>
      </c>
      <c r="B50" s="3">
        <v>111</v>
      </c>
      <c r="C50" s="5">
        <v>45584.502523148149</v>
      </c>
      <c r="D50" s="5">
        <v>45584.507141203707</v>
      </c>
      <c r="E50" s="3">
        <v>0</v>
      </c>
      <c r="F50" s="4" t="s">
        <v>748</v>
      </c>
      <c r="G50" s="3">
        <v>100</v>
      </c>
      <c r="H50" s="3">
        <v>398</v>
      </c>
      <c r="I50" s="3">
        <v>1</v>
      </c>
      <c r="J50" s="5">
        <v>45584.507153275466</v>
      </c>
      <c r="K50" s="4" t="s">
        <v>749</v>
      </c>
      <c r="L50" s="4" t="s">
        <v>122</v>
      </c>
      <c r="M50" s="4" t="s">
        <v>122</v>
      </c>
      <c r="N50" s="4" t="s">
        <v>122</v>
      </c>
      <c r="O50" s="4" t="s">
        <v>122</v>
      </c>
      <c r="P50" s="3">
        <v>36.147199999999998</v>
      </c>
      <c r="Q50" s="3">
        <v>-115.11750000000001</v>
      </c>
      <c r="R50" s="4" t="s">
        <v>129</v>
      </c>
      <c r="S50" s="4" t="s">
        <v>124</v>
      </c>
      <c r="T50" s="4" t="s">
        <v>750</v>
      </c>
      <c r="U50" s="3">
        <v>1</v>
      </c>
      <c r="V50" s="3">
        <v>4</v>
      </c>
      <c r="W50" s="3">
        <v>3</v>
      </c>
      <c r="X50" s="3">
        <v>2</v>
      </c>
      <c r="Y50" s="3">
        <v>2</v>
      </c>
      <c r="Z50" s="3">
        <v>1</v>
      </c>
      <c r="AA50" s="3">
        <v>1</v>
      </c>
      <c r="AG50" s="3">
        <v>2</v>
      </c>
      <c r="AH50" s="3">
        <v>5</v>
      </c>
      <c r="AI50" s="3">
        <v>3</v>
      </c>
      <c r="AJ50" s="3">
        <v>7</v>
      </c>
      <c r="AK50" s="3">
        <v>8</v>
      </c>
      <c r="AL50" s="3">
        <v>8</v>
      </c>
      <c r="AM50" s="3">
        <v>6</v>
      </c>
      <c r="AN50" s="3">
        <v>8</v>
      </c>
      <c r="AO50" s="3">
        <v>2</v>
      </c>
      <c r="AP50" s="3">
        <v>3</v>
      </c>
      <c r="AQ50" s="3">
        <v>5</v>
      </c>
      <c r="AR50" s="3">
        <v>3</v>
      </c>
      <c r="BC50" s="3">
        <v>5</v>
      </c>
      <c r="BD50" s="3">
        <v>3</v>
      </c>
      <c r="BE50" s="4" t="s">
        <v>125</v>
      </c>
      <c r="BF50" s="4" t="s">
        <v>122</v>
      </c>
      <c r="BG50" s="4" t="s">
        <v>125</v>
      </c>
      <c r="BH50" s="4"/>
      <c r="BI50" s="4" t="s">
        <v>122</v>
      </c>
      <c r="BJ50" s="4" t="s">
        <v>122</v>
      </c>
      <c r="BK50" s="4" t="s">
        <v>122</v>
      </c>
      <c r="BL50" s="4" t="s">
        <v>122</v>
      </c>
      <c r="BM50" s="4" t="s">
        <v>122</v>
      </c>
      <c r="BN50" s="3">
        <v>1</v>
      </c>
      <c r="BP50" s="4" t="s">
        <v>122</v>
      </c>
      <c r="BQ50" s="4" t="s">
        <v>122</v>
      </c>
      <c r="BR50" s="4" t="s">
        <v>122</v>
      </c>
      <c r="BS50" s="4" t="s">
        <v>122</v>
      </c>
      <c r="BT50" s="4" t="s">
        <v>122</v>
      </c>
      <c r="BU50" s="4"/>
      <c r="BV50" s="4" t="s">
        <v>122</v>
      </c>
      <c r="BW50" s="4" t="s">
        <v>122</v>
      </c>
      <c r="BX50" s="4" t="s">
        <v>122</v>
      </c>
      <c r="BY50" s="4" t="s">
        <v>122</v>
      </c>
      <c r="BZ50" s="4" t="s">
        <v>122</v>
      </c>
      <c r="CA50" s="4" t="s">
        <v>122</v>
      </c>
      <c r="CD50" s="4" t="s">
        <v>122</v>
      </c>
      <c r="CE50" s="4" t="s">
        <v>122</v>
      </c>
      <c r="CF50" s="3">
        <v>2</v>
      </c>
      <c r="CG50" s="4" t="s">
        <v>122</v>
      </c>
      <c r="CH50" s="3">
        <v>2</v>
      </c>
      <c r="CI50" s="4" t="s">
        <v>122</v>
      </c>
      <c r="CJ50" s="4" t="s">
        <v>122</v>
      </c>
      <c r="CK50" s="4" t="s">
        <v>122</v>
      </c>
      <c r="CL50" s="4" t="s">
        <v>122</v>
      </c>
      <c r="CM50" s="4" t="s">
        <v>122</v>
      </c>
      <c r="CN50" s="4" t="s">
        <v>122</v>
      </c>
      <c r="CO50" s="4" t="s">
        <v>125</v>
      </c>
      <c r="CP50" s="4" t="s">
        <v>122</v>
      </c>
      <c r="CQ50" s="4" t="s">
        <v>122</v>
      </c>
      <c r="CR50" s="4" t="s">
        <v>122</v>
      </c>
      <c r="CS50" s="3">
        <v>4</v>
      </c>
      <c r="CT50" s="3">
        <v>2</v>
      </c>
      <c r="CU50" s="3">
        <v>1</v>
      </c>
      <c r="CV50">
        <v>1</v>
      </c>
      <c r="CW50" cm="1">
        <f t="array" ref="CW50">_xlfn.IFS(CU50*1=1,1,CU50*1=2,1,TRUE,0)</f>
        <v>1</v>
      </c>
      <c r="CX50" s="3" t="e">
        <f>NA()</f>
        <v>#N/A</v>
      </c>
      <c r="CY50" s="3">
        <f t="shared" si="0"/>
        <v>5</v>
      </c>
      <c r="CZ50" s="3" cm="1">
        <f t="array" ref="CZ50">_xlfn.IFS(BP50&lt;&gt;"", BP50, CV50=1,  AQ50, CV50=0,  AZ50)</f>
        <v>5</v>
      </c>
      <c r="DA50" s="3" t="e">
        <f>NA()</f>
        <v>#N/A</v>
      </c>
      <c r="DB50" s="36">
        <f t="shared" si="1"/>
        <v>0</v>
      </c>
      <c r="DC50" s="3" t="e">
        <f t="shared" si="2"/>
        <v>#N/A</v>
      </c>
      <c r="DD50" s="3">
        <f t="shared" si="3"/>
        <v>0</v>
      </c>
      <c r="DE50" s="3">
        <f t="shared" si="4"/>
        <v>0</v>
      </c>
      <c r="DF50" s="3" t="e">
        <f t="shared" si="5"/>
        <v>#N/A</v>
      </c>
      <c r="DG50" s="3" t="e">
        <f t="shared" si="6"/>
        <v>#N/A</v>
      </c>
    </row>
    <row r="51" spans="1:116" x14ac:dyDescent="0.4">
      <c r="A51" s="3">
        <v>202410</v>
      </c>
      <c r="B51" s="3">
        <v>111</v>
      </c>
      <c r="C51" s="5">
        <v>45584.503587962965</v>
      </c>
      <c r="D51" s="5">
        <v>45584.507592592592</v>
      </c>
      <c r="E51" s="3">
        <v>0</v>
      </c>
      <c r="F51" s="4" t="s">
        <v>751</v>
      </c>
      <c r="G51" s="3">
        <v>100</v>
      </c>
      <c r="H51" s="3">
        <v>346</v>
      </c>
      <c r="I51" s="3">
        <v>1</v>
      </c>
      <c r="J51" s="5">
        <v>45584.507613773145</v>
      </c>
      <c r="K51" s="4" t="s">
        <v>752</v>
      </c>
      <c r="L51" s="4" t="s">
        <v>122</v>
      </c>
      <c r="M51" s="4" t="s">
        <v>122</v>
      </c>
      <c r="N51" s="4" t="s">
        <v>122</v>
      </c>
      <c r="O51" s="4" t="s">
        <v>122</v>
      </c>
      <c r="P51" s="3">
        <v>36.115000000000002</v>
      </c>
      <c r="Q51" s="3">
        <v>-115.2165</v>
      </c>
      <c r="R51" s="4" t="s">
        <v>129</v>
      </c>
      <c r="S51" s="4" t="s">
        <v>124</v>
      </c>
      <c r="T51" s="4" t="s">
        <v>753</v>
      </c>
      <c r="U51" s="3">
        <v>1</v>
      </c>
      <c r="V51" s="3">
        <v>2</v>
      </c>
      <c r="W51" s="3">
        <v>3</v>
      </c>
      <c r="X51" s="3">
        <v>1</v>
      </c>
      <c r="Y51" s="3">
        <v>1</v>
      </c>
      <c r="Z51" s="3">
        <v>1</v>
      </c>
      <c r="AA51" s="3">
        <v>1</v>
      </c>
      <c r="AG51" s="3">
        <v>2</v>
      </c>
      <c r="AH51" s="3">
        <v>4.5</v>
      </c>
      <c r="AI51" s="3">
        <v>2</v>
      </c>
      <c r="AJ51" s="3">
        <v>8</v>
      </c>
      <c r="AK51" s="3">
        <v>8</v>
      </c>
      <c r="AL51" s="3">
        <v>9</v>
      </c>
      <c r="AM51" s="3">
        <v>9</v>
      </c>
      <c r="AN51" s="3">
        <v>7</v>
      </c>
      <c r="AO51" s="3">
        <v>2</v>
      </c>
      <c r="AP51" s="3">
        <v>2</v>
      </c>
      <c r="AQ51" s="4" t="s">
        <v>122</v>
      </c>
      <c r="AR51" s="4" t="s">
        <v>122</v>
      </c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 t="s">
        <v>122</v>
      </c>
      <c r="BD51" s="4" t="s">
        <v>122</v>
      </c>
      <c r="BE51" s="4" t="s">
        <v>122</v>
      </c>
      <c r="BF51" s="4" t="s">
        <v>122</v>
      </c>
      <c r="BG51" s="4" t="s">
        <v>122</v>
      </c>
      <c r="BH51" s="4"/>
      <c r="BI51" s="4" t="s">
        <v>122</v>
      </c>
      <c r="BJ51" s="4" t="s">
        <v>122</v>
      </c>
      <c r="BK51" s="4" t="s">
        <v>122</v>
      </c>
      <c r="BL51" s="4" t="s">
        <v>122</v>
      </c>
      <c r="BM51" s="4" t="s">
        <v>122</v>
      </c>
      <c r="BN51" s="4" t="s">
        <v>122</v>
      </c>
      <c r="BO51" s="4"/>
      <c r="BP51" s="3">
        <v>4.5</v>
      </c>
      <c r="BQ51" s="3">
        <v>2</v>
      </c>
      <c r="BR51" s="4" t="s">
        <v>125</v>
      </c>
      <c r="BS51" s="4" t="s">
        <v>122</v>
      </c>
      <c r="BT51" s="4" t="s">
        <v>125</v>
      </c>
      <c r="BU51" s="4"/>
      <c r="BV51" s="4" t="s">
        <v>125</v>
      </c>
      <c r="BW51" s="4" t="s">
        <v>122</v>
      </c>
      <c r="BX51" s="4" t="s">
        <v>122</v>
      </c>
      <c r="BY51" s="4" t="s">
        <v>122</v>
      </c>
      <c r="BZ51" s="4" t="s">
        <v>122</v>
      </c>
      <c r="CA51" s="3">
        <v>4</v>
      </c>
      <c r="CD51" s="3">
        <v>5</v>
      </c>
      <c r="CE51" s="3">
        <v>3</v>
      </c>
      <c r="CF51" s="3">
        <v>1</v>
      </c>
      <c r="CG51" s="4" t="s">
        <v>122</v>
      </c>
      <c r="CH51" s="3">
        <v>2</v>
      </c>
      <c r="CI51" s="4" t="s">
        <v>122</v>
      </c>
      <c r="CJ51" s="4" t="s">
        <v>122</v>
      </c>
      <c r="CK51" s="4" t="s">
        <v>122</v>
      </c>
      <c r="CL51" s="4" t="s">
        <v>122</v>
      </c>
      <c r="CM51" s="4" t="s">
        <v>122</v>
      </c>
      <c r="CN51" s="4" t="s">
        <v>122</v>
      </c>
      <c r="CO51" s="4" t="s">
        <v>125</v>
      </c>
      <c r="CP51" s="4" t="s">
        <v>122</v>
      </c>
      <c r="CQ51" s="4" t="s">
        <v>122</v>
      </c>
      <c r="CR51" s="4" t="s">
        <v>122</v>
      </c>
      <c r="CS51" s="3">
        <v>3</v>
      </c>
      <c r="CT51" s="3">
        <v>2</v>
      </c>
      <c r="CU51" s="3">
        <v>0</v>
      </c>
      <c r="CV51">
        <v>1</v>
      </c>
      <c r="CW51" cm="1">
        <f t="array" ref="CW51">_xlfn.IFS(CU51*1=1,1,CU51*1=2,1,TRUE,0)</f>
        <v>0</v>
      </c>
      <c r="CX51" s="3" t="e">
        <f>NA()</f>
        <v>#N/A</v>
      </c>
      <c r="CY51" s="3">
        <f t="shared" si="0"/>
        <v>5</v>
      </c>
      <c r="CZ51" s="3" cm="1">
        <f t="array" ref="CZ51">_xlfn.IFS(BP51&lt;&gt;"", BP51, CV51=1,  AQ51, CV51=0,  AZ51)</f>
        <v>4.5</v>
      </c>
      <c r="DA51" s="3" t="e">
        <f>NA()</f>
        <v>#N/A</v>
      </c>
      <c r="DB51" s="36">
        <f t="shared" si="1"/>
        <v>0.5</v>
      </c>
      <c r="DC51" s="3" t="e">
        <f t="shared" si="2"/>
        <v>#N/A</v>
      </c>
      <c r="DD51" s="3">
        <f t="shared" si="3"/>
        <v>0.5</v>
      </c>
      <c r="DE51" s="3">
        <f t="shared" si="4"/>
        <v>0</v>
      </c>
      <c r="DF51" s="3" t="e">
        <f t="shared" si="5"/>
        <v>#N/A</v>
      </c>
      <c r="DG51" s="3" t="e">
        <f t="shared" si="6"/>
        <v>#N/A</v>
      </c>
      <c r="DI51" s="36" t="s">
        <v>969</v>
      </c>
    </row>
    <row r="52" spans="1:116" x14ac:dyDescent="0.4">
      <c r="A52" s="3">
        <v>202410</v>
      </c>
      <c r="B52" s="3">
        <v>111</v>
      </c>
      <c r="C52" s="5">
        <v>45584.504965277774</v>
      </c>
      <c r="D52" s="5">
        <v>45584.509884259256</v>
      </c>
      <c r="E52" s="3">
        <v>0</v>
      </c>
      <c r="F52" s="4" t="s">
        <v>757</v>
      </c>
      <c r="G52" s="3">
        <v>100</v>
      </c>
      <c r="H52" s="3">
        <v>424</v>
      </c>
      <c r="I52" s="3">
        <v>1</v>
      </c>
      <c r="J52" s="5">
        <v>45584.509902743055</v>
      </c>
      <c r="K52" s="4" t="s">
        <v>758</v>
      </c>
      <c r="L52" s="4" t="s">
        <v>122</v>
      </c>
      <c r="M52" s="4" t="s">
        <v>122</v>
      </c>
      <c r="N52" s="4" t="s">
        <v>122</v>
      </c>
      <c r="O52" s="4" t="s">
        <v>122</v>
      </c>
      <c r="P52" s="3">
        <v>32.145299999999999</v>
      </c>
      <c r="Q52" s="3">
        <v>-110.9456</v>
      </c>
      <c r="R52" s="4" t="s">
        <v>129</v>
      </c>
      <c r="S52" s="4" t="s">
        <v>124</v>
      </c>
      <c r="T52" s="4" t="s">
        <v>759</v>
      </c>
      <c r="U52" s="3">
        <v>1</v>
      </c>
      <c r="V52" s="3">
        <v>3</v>
      </c>
      <c r="W52" s="3">
        <v>3</v>
      </c>
      <c r="X52" s="3">
        <v>1</v>
      </c>
      <c r="Y52" s="3">
        <v>1</v>
      </c>
      <c r="Z52" s="3">
        <v>1</v>
      </c>
      <c r="AA52" s="3">
        <v>1</v>
      </c>
      <c r="AG52" s="3">
        <v>2</v>
      </c>
      <c r="AH52" s="3">
        <v>4</v>
      </c>
      <c r="AI52" s="3">
        <v>3</v>
      </c>
      <c r="AJ52" s="3">
        <v>7</v>
      </c>
      <c r="AK52" s="3">
        <v>9</v>
      </c>
      <c r="AL52" s="3">
        <v>8</v>
      </c>
      <c r="AM52" s="3">
        <v>7</v>
      </c>
      <c r="AN52" s="3">
        <v>8</v>
      </c>
      <c r="AO52" s="3">
        <v>4</v>
      </c>
      <c r="AP52" s="3">
        <v>3</v>
      </c>
      <c r="AQ52" s="3">
        <v>4</v>
      </c>
      <c r="AR52" s="3">
        <v>3</v>
      </c>
      <c r="BC52" s="3">
        <v>4</v>
      </c>
      <c r="BD52" s="3">
        <v>3</v>
      </c>
      <c r="BE52" s="4" t="s">
        <v>125</v>
      </c>
      <c r="BF52" s="4" t="s">
        <v>122</v>
      </c>
      <c r="BG52" s="4" t="s">
        <v>125</v>
      </c>
      <c r="BH52" s="4"/>
      <c r="BI52" s="4" t="s">
        <v>122</v>
      </c>
      <c r="BJ52" s="4" t="s">
        <v>122</v>
      </c>
      <c r="BK52" s="4" t="s">
        <v>122</v>
      </c>
      <c r="BL52" s="4" t="s">
        <v>122</v>
      </c>
      <c r="BM52" s="4" t="s">
        <v>122</v>
      </c>
      <c r="BN52" s="3">
        <v>1</v>
      </c>
      <c r="BP52" s="4" t="s">
        <v>122</v>
      </c>
      <c r="BQ52" s="4" t="s">
        <v>122</v>
      </c>
      <c r="BR52" s="4" t="s">
        <v>122</v>
      </c>
      <c r="BS52" s="4" t="s">
        <v>122</v>
      </c>
      <c r="BT52" s="4" t="s">
        <v>122</v>
      </c>
      <c r="BU52" s="4"/>
      <c r="BV52" s="4" t="s">
        <v>122</v>
      </c>
      <c r="BW52" s="4" t="s">
        <v>122</v>
      </c>
      <c r="BX52" s="4" t="s">
        <v>122</v>
      </c>
      <c r="BY52" s="4" t="s">
        <v>122</v>
      </c>
      <c r="BZ52" s="4" t="s">
        <v>122</v>
      </c>
      <c r="CA52" s="4" t="s">
        <v>122</v>
      </c>
      <c r="CD52" s="4" t="s">
        <v>122</v>
      </c>
      <c r="CE52" s="4" t="s">
        <v>122</v>
      </c>
      <c r="CF52" s="3">
        <v>2</v>
      </c>
      <c r="CG52" s="4" t="s">
        <v>122</v>
      </c>
      <c r="CH52" s="3">
        <v>5</v>
      </c>
      <c r="CI52" s="4" t="s">
        <v>122</v>
      </c>
      <c r="CJ52" s="4" t="s">
        <v>122</v>
      </c>
      <c r="CK52" s="4" t="s">
        <v>122</v>
      </c>
      <c r="CL52" s="4" t="s">
        <v>122</v>
      </c>
      <c r="CM52" s="4" t="s">
        <v>122</v>
      </c>
      <c r="CN52" s="4" t="s">
        <v>122</v>
      </c>
      <c r="CO52" s="4" t="s">
        <v>125</v>
      </c>
      <c r="CP52" s="4" t="s">
        <v>122</v>
      </c>
      <c r="CQ52" s="4" t="s">
        <v>122</v>
      </c>
      <c r="CR52" s="4" t="s">
        <v>122</v>
      </c>
      <c r="CS52" s="3">
        <v>5</v>
      </c>
      <c r="CT52" s="3">
        <v>5</v>
      </c>
      <c r="CU52" s="3">
        <v>1</v>
      </c>
      <c r="CV52">
        <v>1</v>
      </c>
      <c r="CW52" cm="1">
        <f t="array" ref="CW52">_xlfn.IFS(CU52*1=1,1,CU52*1=2,1,TRUE,0)</f>
        <v>1</v>
      </c>
      <c r="CX52" s="3" t="e">
        <f>NA()</f>
        <v>#N/A</v>
      </c>
      <c r="CY52" s="3">
        <f t="shared" si="0"/>
        <v>4</v>
      </c>
      <c r="CZ52" s="3" cm="1">
        <f t="array" ref="CZ52">_xlfn.IFS(BP52&lt;&gt;"", BP52, CV52=1,  AQ52, CV52=0,  AZ52)</f>
        <v>4</v>
      </c>
      <c r="DA52" s="3" t="e">
        <f>NA()</f>
        <v>#N/A</v>
      </c>
      <c r="DB52" s="36">
        <f t="shared" si="1"/>
        <v>0</v>
      </c>
      <c r="DC52" s="3" t="e">
        <f t="shared" si="2"/>
        <v>#N/A</v>
      </c>
      <c r="DD52" s="3">
        <f t="shared" si="3"/>
        <v>0</v>
      </c>
      <c r="DE52" s="3">
        <f t="shared" si="4"/>
        <v>0</v>
      </c>
      <c r="DF52" s="3" t="e">
        <f t="shared" si="5"/>
        <v>#N/A</v>
      </c>
      <c r="DG52" s="3" t="e">
        <f t="shared" si="6"/>
        <v>#N/A</v>
      </c>
      <c r="DI52" s="61" t="s">
        <v>953</v>
      </c>
      <c r="DJ52" s="64" t="s">
        <v>956</v>
      </c>
      <c r="DK52" s="64" t="s">
        <v>957</v>
      </c>
      <c r="DL52" s="64" t="s">
        <v>955</v>
      </c>
    </row>
    <row r="53" spans="1:116" x14ac:dyDescent="0.4">
      <c r="A53" s="3">
        <v>202410</v>
      </c>
      <c r="B53" s="3">
        <v>111</v>
      </c>
      <c r="C53" s="5">
        <v>45584.5075</v>
      </c>
      <c r="D53" s="5">
        <v>45584.511932870373</v>
      </c>
      <c r="E53" s="3">
        <v>0</v>
      </c>
      <c r="F53" s="4" t="s">
        <v>246</v>
      </c>
      <c r="G53" s="3">
        <v>100</v>
      </c>
      <c r="H53" s="3">
        <v>382</v>
      </c>
      <c r="I53" s="3">
        <v>1</v>
      </c>
      <c r="J53" s="5">
        <v>45584.511949386571</v>
      </c>
      <c r="K53" s="4" t="s">
        <v>760</v>
      </c>
      <c r="L53" s="4" t="s">
        <v>122</v>
      </c>
      <c r="M53" s="4" t="s">
        <v>122</v>
      </c>
      <c r="N53" s="4" t="s">
        <v>122</v>
      </c>
      <c r="O53" s="4" t="s">
        <v>122</v>
      </c>
      <c r="P53" s="3">
        <v>32.250300000000003</v>
      </c>
      <c r="Q53" s="3">
        <v>-110.94499999999999</v>
      </c>
      <c r="R53" s="4" t="s">
        <v>123</v>
      </c>
      <c r="S53" s="4" t="s">
        <v>124</v>
      </c>
      <c r="T53" s="4" t="s">
        <v>761</v>
      </c>
      <c r="U53" s="3">
        <v>1</v>
      </c>
      <c r="V53" s="3">
        <v>4</v>
      </c>
      <c r="W53" s="3">
        <v>4</v>
      </c>
      <c r="X53" s="3">
        <v>1</v>
      </c>
      <c r="Y53" s="3">
        <v>1</v>
      </c>
      <c r="Z53" s="3">
        <v>2</v>
      </c>
      <c r="AA53" s="3">
        <v>1</v>
      </c>
      <c r="AG53" s="3">
        <v>2</v>
      </c>
      <c r="AH53" s="3">
        <v>6</v>
      </c>
      <c r="AI53" s="3">
        <v>3</v>
      </c>
      <c r="AJ53" s="3">
        <v>6</v>
      </c>
      <c r="AK53" s="3">
        <v>8</v>
      </c>
      <c r="AL53" s="3">
        <v>8</v>
      </c>
      <c r="AM53" s="3">
        <v>6</v>
      </c>
      <c r="AN53" s="3">
        <v>8</v>
      </c>
      <c r="AO53" s="3">
        <v>4</v>
      </c>
      <c r="AP53" s="3">
        <v>3</v>
      </c>
      <c r="AQ53" s="4" t="s">
        <v>122</v>
      </c>
      <c r="AR53" s="4" t="s">
        <v>122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 t="s">
        <v>122</v>
      </c>
      <c r="BD53" s="4" t="s">
        <v>122</v>
      </c>
      <c r="BE53" s="4" t="s">
        <v>122</v>
      </c>
      <c r="BF53" s="4" t="s">
        <v>122</v>
      </c>
      <c r="BG53" s="4" t="s">
        <v>122</v>
      </c>
      <c r="BH53" s="4"/>
      <c r="BI53" s="4" t="s">
        <v>122</v>
      </c>
      <c r="BJ53" s="4" t="s">
        <v>122</v>
      </c>
      <c r="BK53" s="4" t="s">
        <v>122</v>
      </c>
      <c r="BL53" s="4" t="s">
        <v>122</v>
      </c>
      <c r="BM53" s="4" t="s">
        <v>122</v>
      </c>
      <c r="BN53" s="4" t="s">
        <v>122</v>
      </c>
      <c r="BO53" s="4"/>
      <c r="BP53" s="3">
        <v>5.5</v>
      </c>
      <c r="BQ53" s="3">
        <v>3</v>
      </c>
      <c r="BR53" s="4" t="s">
        <v>125</v>
      </c>
      <c r="BS53" s="4" t="s">
        <v>122</v>
      </c>
      <c r="BT53" s="4" t="s">
        <v>125</v>
      </c>
      <c r="BU53" s="4"/>
      <c r="BV53" s="4" t="s">
        <v>125</v>
      </c>
      <c r="BW53" s="4" t="s">
        <v>122</v>
      </c>
      <c r="BX53" s="4" t="s">
        <v>122</v>
      </c>
      <c r="BY53" s="4" t="s">
        <v>125</v>
      </c>
      <c r="BZ53" s="4" t="s">
        <v>122</v>
      </c>
      <c r="CA53" s="3">
        <v>1</v>
      </c>
      <c r="CD53" s="3">
        <v>5.5</v>
      </c>
      <c r="CE53" s="3">
        <v>3</v>
      </c>
      <c r="CF53" s="3">
        <v>1</v>
      </c>
      <c r="CG53" s="4" t="s">
        <v>122</v>
      </c>
      <c r="CH53" s="3">
        <v>7</v>
      </c>
      <c r="CI53" s="4" t="s">
        <v>122</v>
      </c>
      <c r="CJ53" s="4" t="s">
        <v>122</v>
      </c>
      <c r="CK53" s="4" t="s">
        <v>122</v>
      </c>
      <c r="CL53" s="4" t="s">
        <v>122</v>
      </c>
      <c r="CM53" s="4" t="s">
        <v>122</v>
      </c>
      <c r="CN53" s="4" t="s">
        <v>122</v>
      </c>
      <c r="CO53" s="4" t="s">
        <v>125</v>
      </c>
      <c r="CP53" s="4" t="s">
        <v>122</v>
      </c>
      <c r="CQ53" s="4" t="s">
        <v>122</v>
      </c>
      <c r="CR53" s="4" t="s">
        <v>122</v>
      </c>
      <c r="CS53" s="3">
        <v>5</v>
      </c>
      <c r="CT53" s="3">
        <v>5</v>
      </c>
      <c r="CU53" s="3">
        <v>0</v>
      </c>
      <c r="CV53">
        <v>1</v>
      </c>
      <c r="CW53" cm="1">
        <f t="array" ref="CW53">_xlfn.IFS(CU53*1=1,1,CU53*1=2,1,TRUE,0)</f>
        <v>0</v>
      </c>
      <c r="CX53" s="3" t="e">
        <f>NA()</f>
        <v>#N/A</v>
      </c>
      <c r="CY53" s="3">
        <f t="shared" si="0"/>
        <v>5.5</v>
      </c>
      <c r="CZ53" s="3" cm="1">
        <f t="array" ref="CZ53">_xlfn.IFS(BP53&lt;&gt;"", BP53, CV53=1,  AQ53, CV53=0,  AZ53)</f>
        <v>5.5</v>
      </c>
      <c r="DA53" s="3" t="e">
        <f>NA()</f>
        <v>#N/A</v>
      </c>
      <c r="DB53" s="36">
        <f t="shared" si="1"/>
        <v>-0.5</v>
      </c>
      <c r="DC53" s="3" t="e">
        <f t="shared" si="2"/>
        <v>#N/A</v>
      </c>
      <c r="DD53" s="3">
        <f t="shared" si="3"/>
        <v>-0.5</v>
      </c>
      <c r="DE53" s="3">
        <f t="shared" si="4"/>
        <v>-0.5</v>
      </c>
      <c r="DF53" s="3" t="e">
        <f t="shared" si="5"/>
        <v>#N/A</v>
      </c>
      <c r="DG53" s="3" t="e">
        <f t="shared" si="6"/>
        <v>#N/A</v>
      </c>
      <c r="DI53" s="59">
        <v>202410</v>
      </c>
      <c r="DJ53" s="66">
        <f>DJ39-DJ46</f>
        <v>0.51030927835051543</v>
      </c>
      <c r="DK53" s="66"/>
    </row>
    <row r="54" spans="1:116" x14ac:dyDescent="0.4">
      <c r="A54" s="3">
        <v>202410</v>
      </c>
      <c r="B54" s="3">
        <v>111</v>
      </c>
      <c r="C54" s="5">
        <v>45584.508148148147</v>
      </c>
      <c r="D54" s="5">
        <v>45584.513275462959</v>
      </c>
      <c r="E54" s="3">
        <v>0</v>
      </c>
      <c r="F54" s="4" t="s">
        <v>765</v>
      </c>
      <c r="G54" s="3">
        <v>100</v>
      </c>
      <c r="H54" s="3">
        <v>443</v>
      </c>
      <c r="I54" s="3">
        <v>1</v>
      </c>
      <c r="J54" s="5">
        <v>45584.513289861112</v>
      </c>
      <c r="K54" s="4" t="s">
        <v>766</v>
      </c>
      <c r="L54" s="4" t="s">
        <v>122</v>
      </c>
      <c r="M54" s="4" t="s">
        <v>122</v>
      </c>
      <c r="N54" s="4" t="s">
        <v>122</v>
      </c>
      <c r="O54" s="4" t="s">
        <v>122</v>
      </c>
      <c r="P54" s="3">
        <v>36.147199999999998</v>
      </c>
      <c r="Q54" s="3">
        <v>-115.11750000000001</v>
      </c>
      <c r="R54" s="4" t="s">
        <v>129</v>
      </c>
      <c r="S54" s="4" t="s">
        <v>124</v>
      </c>
      <c r="T54" s="4" t="s">
        <v>767</v>
      </c>
      <c r="U54" s="3">
        <v>1</v>
      </c>
      <c r="V54" s="3">
        <v>3</v>
      </c>
      <c r="W54" s="3">
        <v>3</v>
      </c>
      <c r="X54" s="3">
        <v>1</v>
      </c>
      <c r="Y54" s="3">
        <v>1</v>
      </c>
      <c r="Z54" s="3">
        <v>1</v>
      </c>
      <c r="AA54" s="3">
        <v>1</v>
      </c>
      <c r="AG54" s="3">
        <v>3</v>
      </c>
      <c r="AH54" s="3">
        <v>4</v>
      </c>
      <c r="AI54" s="3">
        <v>3</v>
      </c>
      <c r="AJ54" s="3">
        <v>5</v>
      </c>
      <c r="AK54" s="3">
        <v>5</v>
      </c>
      <c r="AL54" s="3">
        <v>8</v>
      </c>
      <c r="AM54" s="3">
        <v>4</v>
      </c>
      <c r="AN54" s="3">
        <v>8</v>
      </c>
      <c r="AO54" s="3">
        <v>2</v>
      </c>
      <c r="AP54" s="3">
        <v>4</v>
      </c>
      <c r="AQ54" s="3">
        <v>5</v>
      </c>
      <c r="AR54" s="3">
        <v>3</v>
      </c>
      <c r="BC54" s="3">
        <v>5</v>
      </c>
      <c r="BD54" s="3">
        <v>3</v>
      </c>
      <c r="BE54" s="4" t="s">
        <v>125</v>
      </c>
      <c r="BF54" s="4" t="s">
        <v>125</v>
      </c>
      <c r="BG54" s="4" t="s">
        <v>125</v>
      </c>
      <c r="BH54" s="4"/>
      <c r="BI54" s="4" t="s">
        <v>125</v>
      </c>
      <c r="BJ54" s="4" t="s">
        <v>122</v>
      </c>
      <c r="BK54" s="4" t="s">
        <v>122</v>
      </c>
      <c r="BL54" s="4" t="s">
        <v>125</v>
      </c>
      <c r="BM54" s="4" t="s">
        <v>122</v>
      </c>
      <c r="BN54" s="3">
        <v>2</v>
      </c>
      <c r="BP54" s="4" t="s">
        <v>122</v>
      </c>
      <c r="BQ54" s="4" t="s">
        <v>122</v>
      </c>
      <c r="BR54" s="4" t="s">
        <v>122</v>
      </c>
      <c r="BS54" s="4" t="s">
        <v>122</v>
      </c>
      <c r="BT54" s="4" t="s">
        <v>122</v>
      </c>
      <c r="BU54" s="4"/>
      <c r="BV54" s="4" t="s">
        <v>122</v>
      </c>
      <c r="BW54" s="4" t="s">
        <v>122</v>
      </c>
      <c r="BX54" s="4" t="s">
        <v>122</v>
      </c>
      <c r="BY54" s="4" t="s">
        <v>122</v>
      </c>
      <c r="BZ54" s="4" t="s">
        <v>122</v>
      </c>
      <c r="CA54" s="4" t="s">
        <v>122</v>
      </c>
      <c r="CD54" s="4" t="s">
        <v>122</v>
      </c>
      <c r="CE54" s="4" t="s">
        <v>122</v>
      </c>
      <c r="CF54" s="3">
        <v>2</v>
      </c>
      <c r="CG54" s="4" t="s">
        <v>122</v>
      </c>
      <c r="CH54" s="3">
        <v>3</v>
      </c>
      <c r="CI54" s="4" t="s">
        <v>122</v>
      </c>
      <c r="CJ54" s="4" t="s">
        <v>122</v>
      </c>
      <c r="CK54" s="4" t="s">
        <v>122</v>
      </c>
      <c r="CL54" s="4" t="s">
        <v>125</v>
      </c>
      <c r="CM54" s="4" t="s">
        <v>122</v>
      </c>
      <c r="CN54" s="4" t="s">
        <v>122</v>
      </c>
      <c r="CO54" s="4" t="s">
        <v>122</v>
      </c>
      <c r="CP54" s="4" t="s">
        <v>122</v>
      </c>
      <c r="CQ54" s="4" t="s">
        <v>122</v>
      </c>
      <c r="CR54" s="4" t="s">
        <v>122</v>
      </c>
      <c r="CS54" s="3">
        <v>5</v>
      </c>
      <c r="CT54" s="3">
        <v>5</v>
      </c>
      <c r="CU54" s="3">
        <v>1</v>
      </c>
      <c r="CV54">
        <v>1</v>
      </c>
      <c r="CW54" cm="1">
        <f t="array" ref="CW54">_xlfn.IFS(CU54*1=1,1,CU54*1=2,1,TRUE,0)</f>
        <v>1</v>
      </c>
      <c r="CX54" s="3" t="e">
        <f>NA()</f>
        <v>#N/A</v>
      </c>
      <c r="CY54" s="3">
        <f t="shared" si="0"/>
        <v>5</v>
      </c>
      <c r="CZ54" s="3" cm="1">
        <f t="array" ref="CZ54">_xlfn.IFS(BP54&lt;&gt;"", BP54, CV54=1,  AQ54, CV54=0,  AZ54)</f>
        <v>5</v>
      </c>
      <c r="DA54" s="3" t="e">
        <f>NA()</f>
        <v>#N/A</v>
      </c>
      <c r="DB54" s="36">
        <f t="shared" si="1"/>
        <v>1</v>
      </c>
      <c r="DC54" s="3" t="e">
        <f t="shared" si="2"/>
        <v>#N/A</v>
      </c>
      <c r="DD54" s="3">
        <f t="shared" si="3"/>
        <v>1</v>
      </c>
      <c r="DE54" s="3">
        <f t="shared" si="4"/>
        <v>1</v>
      </c>
      <c r="DF54" s="3" t="e">
        <f t="shared" si="5"/>
        <v>#N/A</v>
      </c>
      <c r="DG54" s="3" t="e">
        <f t="shared" si="6"/>
        <v>#N/A</v>
      </c>
      <c r="DI54" s="59">
        <v>202503</v>
      </c>
      <c r="DJ54" s="66">
        <f>DJ40-DJ47</f>
        <v>-0.28703703703703676</v>
      </c>
      <c r="DK54" s="66">
        <f t="shared" ref="DK54:DL56" si="10">DK40-DK47</f>
        <v>-0.47222222222222188</v>
      </c>
      <c r="DL54" s="66">
        <f t="shared" si="10"/>
        <v>-0.37962962962962932</v>
      </c>
    </row>
    <row r="55" spans="1:116" x14ac:dyDescent="0.4">
      <c r="A55" s="3">
        <v>202410</v>
      </c>
      <c r="B55" s="3">
        <v>111</v>
      </c>
      <c r="C55" s="5">
        <v>45584.509432870371</v>
      </c>
      <c r="D55" s="5">
        <v>45584.512604166666</v>
      </c>
      <c r="E55" s="3">
        <v>0</v>
      </c>
      <c r="F55" s="4" t="s">
        <v>762</v>
      </c>
      <c r="G55" s="3">
        <v>100</v>
      </c>
      <c r="H55" s="3">
        <v>273</v>
      </c>
      <c r="I55" s="3">
        <v>1</v>
      </c>
      <c r="J55" s="5">
        <v>45584.512618726854</v>
      </c>
      <c r="K55" s="4" t="s">
        <v>763</v>
      </c>
      <c r="L55" s="4" t="s">
        <v>122</v>
      </c>
      <c r="M55" s="4" t="s">
        <v>122</v>
      </c>
      <c r="N55" s="4" t="s">
        <v>122</v>
      </c>
      <c r="O55" s="4" t="s">
        <v>122</v>
      </c>
      <c r="P55" s="3">
        <v>33.514099999999999</v>
      </c>
      <c r="Q55" s="3">
        <v>-112.12350000000001</v>
      </c>
      <c r="R55" s="4" t="s">
        <v>129</v>
      </c>
      <c r="S55" s="4" t="s">
        <v>124</v>
      </c>
      <c r="T55" s="4" t="s">
        <v>764</v>
      </c>
      <c r="U55" s="3">
        <v>1</v>
      </c>
      <c r="V55" s="3">
        <v>2</v>
      </c>
      <c r="W55" s="3">
        <v>3</v>
      </c>
      <c r="X55" s="3">
        <v>1</v>
      </c>
      <c r="Y55" s="3">
        <v>1</v>
      </c>
      <c r="Z55" s="3">
        <v>1</v>
      </c>
      <c r="AA55" s="3">
        <v>1</v>
      </c>
      <c r="AG55" s="3">
        <v>2</v>
      </c>
      <c r="AH55" s="3">
        <v>4.5</v>
      </c>
      <c r="AI55" s="3">
        <v>2</v>
      </c>
      <c r="AJ55" s="3">
        <v>7</v>
      </c>
      <c r="AK55" s="3">
        <v>8</v>
      </c>
      <c r="AL55" s="3">
        <v>8</v>
      </c>
      <c r="AM55" s="3">
        <v>8</v>
      </c>
      <c r="AN55" s="3">
        <v>9</v>
      </c>
      <c r="AO55" s="3">
        <v>2</v>
      </c>
      <c r="AP55" s="3">
        <v>3</v>
      </c>
      <c r="AQ55" s="4" t="s">
        <v>122</v>
      </c>
      <c r="AR55" s="4" t="s">
        <v>122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 t="s">
        <v>122</v>
      </c>
      <c r="BD55" s="4" t="s">
        <v>122</v>
      </c>
      <c r="BE55" s="4" t="s">
        <v>122</v>
      </c>
      <c r="BF55" s="4" t="s">
        <v>122</v>
      </c>
      <c r="BG55" s="4" t="s">
        <v>122</v>
      </c>
      <c r="BH55" s="4"/>
      <c r="BI55" s="4" t="s">
        <v>122</v>
      </c>
      <c r="BJ55" s="4" t="s">
        <v>122</v>
      </c>
      <c r="BK55" s="4" t="s">
        <v>122</v>
      </c>
      <c r="BL55" s="4" t="s">
        <v>122</v>
      </c>
      <c r="BM55" s="4" t="s">
        <v>122</v>
      </c>
      <c r="BN55" s="4" t="s">
        <v>122</v>
      </c>
      <c r="BO55" s="4"/>
      <c r="BP55" s="3">
        <v>4.5</v>
      </c>
      <c r="BQ55" s="3">
        <v>2</v>
      </c>
      <c r="BR55" s="4" t="s">
        <v>125</v>
      </c>
      <c r="BS55" s="4" t="s">
        <v>125</v>
      </c>
      <c r="BT55" s="4" t="s">
        <v>122</v>
      </c>
      <c r="BU55" s="4"/>
      <c r="BV55" s="4" t="s">
        <v>125</v>
      </c>
      <c r="BW55" s="4" t="s">
        <v>125</v>
      </c>
      <c r="BX55" s="4" t="s">
        <v>125</v>
      </c>
      <c r="BY55" s="4" t="s">
        <v>122</v>
      </c>
      <c r="BZ55" s="4" t="s">
        <v>122</v>
      </c>
      <c r="CA55" s="3">
        <v>6</v>
      </c>
      <c r="CD55" s="3">
        <v>4.5</v>
      </c>
      <c r="CE55" s="3">
        <v>2</v>
      </c>
      <c r="CF55" s="3">
        <v>1</v>
      </c>
      <c r="CG55" s="4" t="s">
        <v>122</v>
      </c>
      <c r="CH55" s="3">
        <v>4</v>
      </c>
      <c r="CI55" s="4" t="s">
        <v>122</v>
      </c>
      <c r="CJ55" s="4" t="s">
        <v>122</v>
      </c>
      <c r="CK55" s="4" t="s">
        <v>122</v>
      </c>
      <c r="CL55" s="4" t="s">
        <v>125</v>
      </c>
      <c r="CM55" s="4" t="s">
        <v>122</v>
      </c>
      <c r="CN55" s="4" t="s">
        <v>122</v>
      </c>
      <c r="CO55" s="4" t="s">
        <v>122</v>
      </c>
      <c r="CP55" s="4" t="s">
        <v>122</v>
      </c>
      <c r="CQ55" s="4" t="s">
        <v>122</v>
      </c>
      <c r="CR55" s="4" t="s">
        <v>122</v>
      </c>
      <c r="CS55" s="3">
        <v>5</v>
      </c>
      <c r="CT55" s="3">
        <v>6</v>
      </c>
      <c r="CU55" s="3">
        <v>0</v>
      </c>
      <c r="CV55">
        <v>1</v>
      </c>
      <c r="CW55" cm="1">
        <f t="array" ref="CW55">_xlfn.IFS(CU55*1=1,1,CU55*1=2,1,TRUE,0)</f>
        <v>0</v>
      </c>
      <c r="CX55" s="3" t="e">
        <f>NA()</f>
        <v>#N/A</v>
      </c>
      <c r="CY55" s="3">
        <f t="shared" si="0"/>
        <v>4.5</v>
      </c>
      <c r="CZ55" s="3" cm="1">
        <f t="array" ref="CZ55">_xlfn.IFS(BP55&lt;&gt;"", BP55, CV55=1,  AQ55, CV55=0,  AZ55)</f>
        <v>4.5</v>
      </c>
      <c r="DA55" s="3" t="e">
        <f>NA()</f>
        <v>#N/A</v>
      </c>
      <c r="DB55" s="36">
        <f t="shared" si="1"/>
        <v>0</v>
      </c>
      <c r="DC55" s="3" t="e">
        <f t="shared" si="2"/>
        <v>#N/A</v>
      </c>
      <c r="DD55" s="3">
        <f t="shared" si="3"/>
        <v>0</v>
      </c>
      <c r="DE55" s="3">
        <f t="shared" si="4"/>
        <v>0</v>
      </c>
      <c r="DF55" s="3" t="e">
        <f t="shared" si="5"/>
        <v>#N/A</v>
      </c>
      <c r="DG55" s="3" t="e">
        <f t="shared" si="6"/>
        <v>#N/A</v>
      </c>
      <c r="DI55" s="59">
        <v>202511</v>
      </c>
      <c r="DJ55" s="69">
        <f>DJ41-DJ48</f>
        <v>-0.28308270676691727</v>
      </c>
      <c r="DK55" s="69">
        <f t="shared" si="10"/>
        <v>-0.39772727272727249</v>
      </c>
      <c r="DL55" s="69">
        <f t="shared" si="10"/>
        <v>-0.34018867924528351</v>
      </c>
    </row>
    <row r="56" spans="1:116" x14ac:dyDescent="0.4">
      <c r="A56" s="3">
        <v>202410</v>
      </c>
      <c r="B56" s="3">
        <v>111</v>
      </c>
      <c r="C56" s="5">
        <v>45584.51226851852</v>
      </c>
      <c r="D56" s="5">
        <v>45584.521481481483</v>
      </c>
      <c r="E56" s="3">
        <v>0</v>
      </c>
      <c r="F56" s="4" t="s">
        <v>246</v>
      </c>
      <c r="G56" s="3">
        <v>100</v>
      </c>
      <c r="H56" s="3">
        <v>795</v>
      </c>
      <c r="I56" s="3">
        <v>1</v>
      </c>
      <c r="J56" s="5">
        <v>45584.521498391201</v>
      </c>
      <c r="K56" s="4" t="s">
        <v>774</v>
      </c>
      <c r="L56" s="4" t="s">
        <v>122</v>
      </c>
      <c r="M56" s="4" t="s">
        <v>122</v>
      </c>
      <c r="N56" s="4" t="s">
        <v>122</v>
      </c>
      <c r="O56" s="4" t="s">
        <v>122</v>
      </c>
      <c r="P56" s="3">
        <v>32.250300000000003</v>
      </c>
      <c r="Q56" s="3">
        <v>-110.94499999999999</v>
      </c>
      <c r="R56" s="4" t="s">
        <v>123</v>
      </c>
      <c r="S56" s="4" t="s">
        <v>124</v>
      </c>
      <c r="T56" s="4" t="s">
        <v>775</v>
      </c>
      <c r="U56" s="3">
        <v>1</v>
      </c>
      <c r="V56" s="3">
        <v>1</v>
      </c>
      <c r="W56" s="3">
        <v>3</v>
      </c>
      <c r="X56" s="3">
        <v>1</v>
      </c>
      <c r="Y56" s="3">
        <v>1</v>
      </c>
      <c r="Z56" s="3">
        <v>1</v>
      </c>
      <c r="AA56" s="3">
        <v>1</v>
      </c>
      <c r="AG56" s="3">
        <v>2</v>
      </c>
      <c r="AH56" s="3">
        <v>4</v>
      </c>
      <c r="AI56" s="3">
        <v>3</v>
      </c>
      <c r="AJ56" s="3">
        <v>8</v>
      </c>
      <c r="AK56" s="3">
        <v>8</v>
      </c>
      <c r="AL56" s="3">
        <v>8</v>
      </c>
      <c r="AM56" s="3">
        <v>8</v>
      </c>
      <c r="AN56" s="3">
        <v>8</v>
      </c>
      <c r="AO56" s="3">
        <v>3</v>
      </c>
      <c r="AP56" s="3">
        <v>3</v>
      </c>
      <c r="AQ56" s="3">
        <v>5</v>
      </c>
      <c r="AR56" s="3">
        <v>3</v>
      </c>
      <c r="BC56" s="3">
        <v>5</v>
      </c>
      <c r="BD56" s="3">
        <v>3</v>
      </c>
      <c r="BE56" s="4" t="s">
        <v>125</v>
      </c>
      <c r="BF56" s="4" t="s">
        <v>122</v>
      </c>
      <c r="BG56" s="4" t="s">
        <v>122</v>
      </c>
      <c r="BH56" s="4"/>
      <c r="BI56" s="4" t="s">
        <v>122</v>
      </c>
      <c r="BJ56" s="4" t="s">
        <v>122</v>
      </c>
      <c r="BK56" s="4" t="s">
        <v>122</v>
      </c>
      <c r="BL56" s="4" t="s">
        <v>122</v>
      </c>
      <c r="BM56" s="4" t="s">
        <v>122</v>
      </c>
      <c r="BN56" s="3">
        <v>1</v>
      </c>
      <c r="BP56" s="4" t="s">
        <v>122</v>
      </c>
      <c r="BQ56" s="4" t="s">
        <v>122</v>
      </c>
      <c r="BR56" s="4" t="s">
        <v>122</v>
      </c>
      <c r="BS56" s="4" t="s">
        <v>122</v>
      </c>
      <c r="BT56" s="4" t="s">
        <v>122</v>
      </c>
      <c r="BU56" s="4"/>
      <c r="BV56" s="4" t="s">
        <v>122</v>
      </c>
      <c r="BW56" s="4" t="s">
        <v>122</v>
      </c>
      <c r="BX56" s="4" t="s">
        <v>122</v>
      </c>
      <c r="BY56" s="4" t="s">
        <v>122</v>
      </c>
      <c r="BZ56" s="4" t="s">
        <v>122</v>
      </c>
      <c r="CA56" s="4" t="s">
        <v>122</v>
      </c>
      <c r="CD56" s="4" t="s">
        <v>122</v>
      </c>
      <c r="CE56" s="4" t="s">
        <v>122</v>
      </c>
      <c r="CF56" s="3">
        <v>2</v>
      </c>
      <c r="CG56" s="4" t="s">
        <v>122</v>
      </c>
      <c r="CH56" s="3">
        <v>6</v>
      </c>
      <c r="CI56" s="4" t="s">
        <v>122</v>
      </c>
      <c r="CJ56" s="4" t="s">
        <v>122</v>
      </c>
      <c r="CK56" s="4" t="s">
        <v>122</v>
      </c>
      <c r="CL56" s="4" t="s">
        <v>125</v>
      </c>
      <c r="CM56" s="4" t="s">
        <v>122</v>
      </c>
      <c r="CN56" s="4" t="s">
        <v>122</v>
      </c>
      <c r="CO56" s="4" t="s">
        <v>122</v>
      </c>
      <c r="CP56" s="4" t="s">
        <v>122</v>
      </c>
      <c r="CQ56" s="4" t="s">
        <v>122</v>
      </c>
      <c r="CR56" s="4" t="s">
        <v>122</v>
      </c>
      <c r="CS56" s="3">
        <v>3</v>
      </c>
      <c r="CT56" s="3">
        <v>3</v>
      </c>
      <c r="CU56" s="3">
        <v>1</v>
      </c>
      <c r="CV56">
        <v>1</v>
      </c>
      <c r="CW56" cm="1">
        <f t="array" ref="CW56">_xlfn.IFS(CU56*1=1,1,CU56*1=2,1,TRUE,0)</f>
        <v>1</v>
      </c>
      <c r="CX56" s="3" t="e">
        <f>NA()</f>
        <v>#N/A</v>
      </c>
      <c r="CY56" s="3">
        <f t="shared" si="0"/>
        <v>5</v>
      </c>
      <c r="CZ56" s="3" cm="1">
        <f t="array" ref="CZ56">_xlfn.IFS(BP56&lt;&gt;"", BP56, CV56=1,  AQ56, CV56=0,  AZ56)</f>
        <v>5</v>
      </c>
      <c r="DA56" s="3" t="e">
        <f>NA()</f>
        <v>#N/A</v>
      </c>
      <c r="DB56" s="36">
        <f t="shared" si="1"/>
        <v>1</v>
      </c>
      <c r="DC56" s="3" t="e">
        <f t="shared" si="2"/>
        <v>#N/A</v>
      </c>
      <c r="DD56" s="3">
        <f t="shared" si="3"/>
        <v>1</v>
      </c>
      <c r="DE56" s="3">
        <f t="shared" si="4"/>
        <v>1</v>
      </c>
      <c r="DF56" s="3" t="e">
        <f t="shared" si="5"/>
        <v>#N/A</v>
      </c>
      <c r="DG56" s="3" t="e">
        <f t="shared" si="6"/>
        <v>#N/A</v>
      </c>
      <c r="DI56" s="62" t="s">
        <v>954</v>
      </c>
      <c r="DJ56" s="70">
        <f>DJ42-DJ49</f>
        <v>-5.7601542999773159E-2</v>
      </c>
      <c r="DK56" s="70" t="e">
        <f t="shared" si="10"/>
        <v>#N/A</v>
      </c>
      <c r="DL56" s="70">
        <f t="shared" si="10"/>
        <v>-0.1753151442773877</v>
      </c>
    </row>
    <row r="57" spans="1:116" x14ac:dyDescent="0.4">
      <c r="A57" s="3">
        <v>202410</v>
      </c>
      <c r="B57" s="3">
        <v>111</v>
      </c>
      <c r="C57" s="5">
        <v>45584.516527777778</v>
      </c>
      <c r="D57" s="5">
        <v>45584.51935185185</v>
      </c>
      <c r="E57" s="3">
        <v>0</v>
      </c>
      <c r="F57" s="4" t="s">
        <v>768</v>
      </c>
      <c r="G57" s="3">
        <v>100</v>
      </c>
      <c r="H57" s="3">
        <v>243</v>
      </c>
      <c r="I57" s="3">
        <v>1</v>
      </c>
      <c r="J57" s="5">
        <v>45584.519366469911</v>
      </c>
      <c r="K57" s="4" t="s">
        <v>769</v>
      </c>
      <c r="L57" s="4" t="s">
        <v>122</v>
      </c>
      <c r="M57" s="4" t="s">
        <v>122</v>
      </c>
      <c r="N57" s="4" t="s">
        <v>122</v>
      </c>
      <c r="O57" s="4" t="s">
        <v>122</v>
      </c>
      <c r="P57" s="3">
        <v>33.412199999999999</v>
      </c>
      <c r="Q57" s="3">
        <v>-112.0287</v>
      </c>
      <c r="R57" s="4" t="s">
        <v>129</v>
      </c>
      <c r="S57" s="4" t="s">
        <v>124</v>
      </c>
      <c r="T57" s="4" t="s">
        <v>770</v>
      </c>
      <c r="U57" s="3">
        <v>1</v>
      </c>
      <c r="V57" s="3">
        <v>3</v>
      </c>
      <c r="W57" s="3">
        <v>2</v>
      </c>
      <c r="X57" s="3">
        <v>1</v>
      </c>
      <c r="Y57" s="3">
        <v>2</v>
      </c>
      <c r="Z57" s="3">
        <v>2</v>
      </c>
      <c r="AA57" s="3">
        <v>2</v>
      </c>
      <c r="AG57" s="3">
        <v>2</v>
      </c>
      <c r="AH57" s="3">
        <v>4</v>
      </c>
      <c r="AI57" s="3">
        <v>2</v>
      </c>
      <c r="AJ57" s="3">
        <v>3</v>
      </c>
      <c r="AK57" s="3">
        <v>8</v>
      </c>
      <c r="AL57" s="3">
        <v>4</v>
      </c>
      <c r="AM57" s="3">
        <v>3</v>
      </c>
      <c r="AN57" s="3">
        <v>4</v>
      </c>
      <c r="AO57" s="3">
        <v>2</v>
      </c>
      <c r="AP57" s="3">
        <v>3</v>
      </c>
      <c r="AQ57" s="3">
        <v>4</v>
      </c>
      <c r="AR57" s="3">
        <v>2</v>
      </c>
      <c r="BC57" s="3">
        <v>4</v>
      </c>
      <c r="BD57" s="3">
        <v>2</v>
      </c>
      <c r="BE57" s="4" t="s">
        <v>125</v>
      </c>
      <c r="BF57" s="4" t="s">
        <v>122</v>
      </c>
      <c r="BG57" s="4" t="s">
        <v>125</v>
      </c>
      <c r="BH57" s="4"/>
      <c r="BI57" s="4" t="s">
        <v>125</v>
      </c>
      <c r="BJ57" s="4" t="s">
        <v>125</v>
      </c>
      <c r="BK57" s="4" t="s">
        <v>122</v>
      </c>
      <c r="BL57" s="4" t="s">
        <v>125</v>
      </c>
      <c r="BM57" s="4" t="s">
        <v>122</v>
      </c>
      <c r="BN57" s="3">
        <v>1</v>
      </c>
      <c r="BP57" s="4" t="s">
        <v>122</v>
      </c>
      <c r="BQ57" s="4" t="s">
        <v>122</v>
      </c>
      <c r="BR57" s="4" t="s">
        <v>122</v>
      </c>
      <c r="BS57" s="4" t="s">
        <v>122</v>
      </c>
      <c r="BT57" s="4" t="s">
        <v>122</v>
      </c>
      <c r="BU57" s="4"/>
      <c r="BV57" s="4" t="s">
        <v>122</v>
      </c>
      <c r="BW57" s="4" t="s">
        <v>122</v>
      </c>
      <c r="BX57" s="4" t="s">
        <v>122</v>
      </c>
      <c r="BY57" s="4" t="s">
        <v>122</v>
      </c>
      <c r="BZ57" s="4" t="s">
        <v>122</v>
      </c>
      <c r="CA57" s="4" t="s">
        <v>122</v>
      </c>
      <c r="CD57" s="4" t="s">
        <v>122</v>
      </c>
      <c r="CE57" s="4" t="s">
        <v>122</v>
      </c>
      <c r="CF57" s="3">
        <v>2</v>
      </c>
      <c r="CG57" s="4" t="s">
        <v>122</v>
      </c>
      <c r="CH57" s="3">
        <v>2</v>
      </c>
      <c r="CI57" s="4" t="s">
        <v>122</v>
      </c>
      <c r="CJ57" s="4" t="s">
        <v>122</v>
      </c>
      <c r="CK57" s="4" t="s">
        <v>122</v>
      </c>
      <c r="CL57" s="4" t="s">
        <v>125</v>
      </c>
      <c r="CM57" s="4" t="s">
        <v>122</v>
      </c>
      <c r="CN57" s="4" t="s">
        <v>122</v>
      </c>
      <c r="CO57" s="4" t="s">
        <v>122</v>
      </c>
      <c r="CP57" s="4" t="s">
        <v>122</v>
      </c>
      <c r="CQ57" s="4" t="s">
        <v>122</v>
      </c>
      <c r="CR57" s="4" t="s">
        <v>122</v>
      </c>
      <c r="CS57" s="3">
        <v>3</v>
      </c>
      <c r="CT57" s="3">
        <v>1</v>
      </c>
      <c r="CU57" s="3">
        <v>1</v>
      </c>
      <c r="CV57">
        <v>1</v>
      </c>
      <c r="CW57" cm="1">
        <f t="array" ref="CW57">_xlfn.IFS(CU57*1=1,1,CU57*1=2,1,TRUE,0)</f>
        <v>1</v>
      </c>
      <c r="CX57" s="3" t="e">
        <f>NA()</f>
        <v>#N/A</v>
      </c>
      <c r="CY57" s="3">
        <f t="shared" si="0"/>
        <v>4</v>
      </c>
      <c r="CZ57" s="3" cm="1">
        <f t="array" ref="CZ57">_xlfn.IFS(BP57&lt;&gt;"", BP57, CV57=1,  AQ57, CV57=0,  AZ57)</f>
        <v>4</v>
      </c>
      <c r="DA57" s="3" t="e">
        <f>NA()</f>
        <v>#N/A</v>
      </c>
      <c r="DB57" s="36">
        <f t="shared" si="1"/>
        <v>0</v>
      </c>
      <c r="DC57" s="3" t="e">
        <f t="shared" si="2"/>
        <v>#N/A</v>
      </c>
      <c r="DD57" s="3">
        <f t="shared" si="3"/>
        <v>0</v>
      </c>
      <c r="DE57" s="3">
        <f t="shared" si="4"/>
        <v>0</v>
      </c>
      <c r="DF57" s="3" t="e">
        <f t="shared" si="5"/>
        <v>#N/A</v>
      </c>
      <c r="DG57" s="3" t="e">
        <f t="shared" si="6"/>
        <v>#N/A</v>
      </c>
    </row>
    <row r="58" spans="1:116" x14ac:dyDescent="0.4">
      <c r="A58" s="3">
        <v>202410</v>
      </c>
      <c r="B58" s="3">
        <v>111</v>
      </c>
      <c r="C58" s="5">
        <v>45584.516562500001</v>
      </c>
      <c r="D58" s="5">
        <v>45584.519525462965</v>
      </c>
      <c r="E58" s="3">
        <v>0</v>
      </c>
      <c r="F58" s="4" t="s">
        <v>771</v>
      </c>
      <c r="G58" s="3">
        <v>100</v>
      </c>
      <c r="H58" s="3">
        <v>256</v>
      </c>
      <c r="I58" s="3">
        <v>1</v>
      </c>
      <c r="J58" s="5">
        <v>45584.519545196759</v>
      </c>
      <c r="K58" s="4" t="s">
        <v>772</v>
      </c>
      <c r="L58" s="4" t="s">
        <v>122</v>
      </c>
      <c r="M58" s="4" t="s">
        <v>122</v>
      </c>
      <c r="N58" s="4" t="s">
        <v>122</v>
      </c>
      <c r="O58" s="4" t="s">
        <v>122</v>
      </c>
      <c r="P58" s="3">
        <v>32.250300000000003</v>
      </c>
      <c r="Q58" s="3">
        <v>-110.94499999999999</v>
      </c>
      <c r="R58" s="4" t="s">
        <v>129</v>
      </c>
      <c r="S58" s="4" t="s">
        <v>124</v>
      </c>
      <c r="T58" s="4" t="s">
        <v>773</v>
      </c>
      <c r="U58" s="3">
        <v>1</v>
      </c>
      <c r="V58" s="3">
        <v>4</v>
      </c>
      <c r="W58" s="3">
        <v>3</v>
      </c>
      <c r="X58" s="3">
        <v>1</v>
      </c>
      <c r="Y58" s="3">
        <v>1</v>
      </c>
      <c r="Z58" s="3">
        <v>1</v>
      </c>
      <c r="AA58" s="3">
        <v>1</v>
      </c>
      <c r="AG58" s="3">
        <v>3</v>
      </c>
      <c r="AH58" s="3">
        <v>5</v>
      </c>
      <c r="AI58" s="3">
        <v>2</v>
      </c>
      <c r="AJ58" s="3">
        <v>7</v>
      </c>
      <c r="AK58" s="3">
        <v>5</v>
      </c>
      <c r="AL58" s="3">
        <v>8</v>
      </c>
      <c r="AM58" s="3">
        <v>7</v>
      </c>
      <c r="AN58" s="3">
        <v>8</v>
      </c>
      <c r="AO58" s="3">
        <v>4</v>
      </c>
      <c r="AP58" s="3">
        <v>3</v>
      </c>
      <c r="AQ58" s="3">
        <v>5</v>
      </c>
      <c r="AR58" s="3">
        <v>2</v>
      </c>
      <c r="BC58" s="3">
        <v>5</v>
      </c>
      <c r="BD58" s="3">
        <v>2</v>
      </c>
      <c r="BE58" s="4" t="s">
        <v>125</v>
      </c>
      <c r="BF58" s="4" t="s">
        <v>122</v>
      </c>
      <c r="BG58" s="4" t="s">
        <v>122</v>
      </c>
      <c r="BH58" s="4"/>
      <c r="BI58" s="4" t="s">
        <v>122</v>
      </c>
      <c r="BJ58" s="4" t="s">
        <v>122</v>
      </c>
      <c r="BK58" s="4" t="s">
        <v>122</v>
      </c>
      <c r="BL58" s="4" t="s">
        <v>122</v>
      </c>
      <c r="BM58" s="4" t="s">
        <v>122</v>
      </c>
      <c r="BN58" s="3">
        <v>1</v>
      </c>
      <c r="BP58" s="4" t="s">
        <v>122</v>
      </c>
      <c r="BQ58" s="4" t="s">
        <v>122</v>
      </c>
      <c r="BR58" s="4" t="s">
        <v>122</v>
      </c>
      <c r="BS58" s="4" t="s">
        <v>122</v>
      </c>
      <c r="BT58" s="4" t="s">
        <v>122</v>
      </c>
      <c r="BU58" s="4"/>
      <c r="BV58" s="4" t="s">
        <v>122</v>
      </c>
      <c r="BW58" s="4" t="s">
        <v>122</v>
      </c>
      <c r="BX58" s="4" t="s">
        <v>122</v>
      </c>
      <c r="BY58" s="4" t="s">
        <v>122</v>
      </c>
      <c r="BZ58" s="4" t="s">
        <v>122</v>
      </c>
      <c r="CA58" s="4" t="s">
        <v>122</v>
      </c>
      <c r="CD58" s="4" t="s">
        <v>122</v>
      </c>
      <c r="CE58" s="4" t="s">
        <v>122</v>
      </c>
      <c r="CF58" s="3">
        <v>1</v>
      </c>
      <c r="CG58" s="4" t="s">
        <v>122</v>
      </c>
      <c r="CH58" s="3">
        <v>2</v>
      </c>
      <c r="CI58" s="4" t="s">
        <v>122</v>
      </c>
      <c r="CJ58" s="4" t="s">
        <v>122</v>
      </c>
      <c r="CK58" s="4" t="s">
        <v>122</v>
      </c>
      <c r="CL58" s="4" t="s">
        <v>125</v>
      </c>
      <c r="CM58" s="4" t="s">
        <v>122</v>
      </c>
      <c r="CN58" s="4" t="s">
        <v>122</v>
      </c>
      <c r="CO58" s="4" t="s">
        <v>122</v>
      </c>
      <c r="CP58" s="4" t="s">
        <v>122</v>
      </c>
      <c r="CQ58" s="4" t="s">
        <v>122</v>
      </c>
      <c r="CR58" s="4" t="s">
        <v>122</v>
      </c>
      <c r="CS58" s="3">
        <v>4</v>
      </c>
      <c r="CT58" s="3">
        <v>4</v>
      </c>
      <c r="CU58" s="3">
        <v>1</v>
      </c>
      <c r="CV58">
        <v>1</v>
      </c>
      <c r="CW58" cm="1">
        <f t="array" ref="CW58">_xlfn.IFS(CU58*1=1,1,CU58*1=2,1,TRUE,0)</f>
        <v>1</v>
      </c>
      <c r="CX58" s="3" t="e">
        <f>NA()</f>
        <v>#N/A</v>
      </c>
      <c r="CY58" s="3">
        <f t="shared" si="0"/>
        <v>5</v>
      </c>
      <c r="CZ58" s="3" cm="1">
        <f t="array" ref="CZ58">_xlfn.IFS(BP58&lt;&gt;"", BP58, CV58=1,  AQ58, CV58=0,  AZ58)</f>
        <v>5</v>
      </c>
      <c r="DA58" s="3" t="e">
        <f>NA()</f>
        <v>#N/A</v>
      </c>
      <c r="DB58" s="36">
        <f t="shared" si="1"/>
        <v>0</v>
      </c>
      <c r="DC58" s="3" t="e">
        <f t="shared" si="2"/>
        <v>#N/A</v>
      </c>
      <c r="DD58" s="3">
        <f t="shared" si="3"/>
        <v>0</v>
      </c>
      <c r="DE58" s="3">
        <f t="shared" si="4"/>
        <v>0</v>
      </c>
      <c r="DF58" s="3" t="e">
        <f t="shared" si="5"/>
        <v>#N/A</v>
      </c>
      <c r="DG58" s="3" t="e">
        <f t="shared" si="6"/>
        <v>#N/A</v>
      </c>
      <c r="DI58" s="71" t="s">
        <v>970</v>
      </c>
      <c r="DJ58" s="72"/>
    </row>
    <row r="59" spans="1:116" x14ac:dyDescent="0.4">
      <c r="A59" s="3">
        <v>202410</v>
      </c>
      <c r="B59" s="3">
        <v>111</v>
      </c>
      <c r="C59" s="5">
        <v>45584.518946759257</v>
      </c>
      <c r="D59" s="5">
        <v>45584.522083333337</v>
      </c>
      <c r="E59" s="3">
        <v>0</v>
      </c>
      <c r="F59" s="4" t="s">
        <v>776</v>
      </c>
      <c r="G59" s="3">
        <v>100</v>
      </c>
      <c r="H59" s="3">
        <v>270</v>
      </c>
      <c r="I59" s="3">
        <v>1</v>
      </c>
      <c r="J59" s="5">
        <v>45584.522103553238</v>
      </c>
      <c r="K59" s="4" t="s">
        <v>777</v>
      </c>
      <c r="L59" s="4" t="s">
        <v>122</v>
      </c>
      <c r="M59" s="4" t="s">
        <v>122</v>
      </c>
      <c r="N59" s="4" t="s">
        <v>122</v>
      </c>
      <c r="O59" s="4" t="s">
        <v>122</v>
      </c>
      <c r="P59" s="3">
        <v>36.101999999999997</v>
      </c>
      <c r="Q59" s="3">
        <v>-115.1447</v>
      </c>
      <c r="R59" s="4" t="s">
        <v>129</v>
      </c>
      <c r="S59" s="4" t="s">
        <v>124</v>
      </c>
      <c r="T59" s="4" t="s">
        <v>778</v>
      </c>
      <c r="U59" s="3">
        <v>1</v>
      </c>
      <c r="V59" s="3">
        <v>3</v>
      </c>
      <c r="W59" s="3">
        <v>2</v>
      </c>
      <c r="X59" s="3">
        <v>1</v>
      </c>
      <c r="Y59" s="3">
        <v>3</v>
      </c>
      <c r="Z59" s="3">
        <v>2</v>
      </c>
      <c r="AA59" s="3">
        <v>3</v>
      </c>
      <c r="AG59" s="3">
        <v>2</v>
      </c>
      <c r="AH59" s="3">
        <v>8.5</v>
      </c>
      <c r="AI59" s="3">
        <v>3</v>
      </c>
      <c r="AJ59" s="3">
        <v>8</v>
      </c>
      <c r="AK59" s="3">
        <v>8</v>
      </c>
      <c r="AL59" s="3">
        <v>5</v>
      </c>
      <c r="AM59" s="3">
        <v>8</v>
      </c>
      <c r="AN59" s="3">
        <v>8</v>
      </c>
      <c r="AO59" s="3">
        <v>3</v>
      </c>
      <c r="AP59" s="3">
        <v>4</v>
      </c>
      <c r="AQ59" s="4" t="s">
        <v>122</v>
      </c>
      <c r="AR59" s="4" t="s">
        <v>122</v>
      </c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 t="s">
        <v>122</v>
      </c>
      <c r="BD59" s="4" t="s">
        <v>122</v>
      </c>
      <c r="BE59" s="4" t="s">
        <v>122</v>
      </c>
      <c r="BF59" s="4" t="s">
        <v>122</v>
      </c>
      <c r="BG59" s="4" t="s">
        <v>122</v>
      </c>
      <c r="BH59" s="4"/>
      <c r="BI59" s="4" t="s">
        <v>122</v>
      </c>
      <c r="BJ59" s="4" t="s">
        <v>122</v>
      </c>
      <c r="BK59" s="4" t="s">
        <v>122</v>
      </c>
      <c r="BL59" s="4" t="s">
        <v>122</v>
      </c>
      <c r="BM59" s="4" t="s">
        <v>122</v>
      </c>
      <c r="BN59" s="4" t="s">
        <v>122</v>
      </c>
      <c r="BO59" s="4"/>
      <c r="BP59" s="3">
        <v>8.5</v>
      </c>
      <c r="BQ59" s="3">
        <v>3</v>
      </c>
      <c r="BR59" s="4" t="s">
        <v>122</v>
      </c>
      <c r="BS59" s="4" t="s">
        <v>122</v>
      </c>
      <c r="BT59" s="4" t="s">
        <v>122</v>
      </c>
      <c r="BU59" s="4"/>
      <c r="BV59" s="4" t="s">
        <v>122</v>
      </c>
      <c r="BW59" s="4" t="s">
        <v>122</v>
      </c>
      <c r="BX59" s="4" t="s">
        <v>122</v>
      </c>
      <c r="BY59" s="4" t="s">
        <v>122</v>
      </c>
      <c r="BZ59" s="4" t="s">
        <v>125</v>
      </c>
      <c r="CA59" s="4" t="s">
        <v>122</v>
      </c>
      <c r="CD59" s="3">
        <v>8.5</v>
      </c>
      <c r="CE59" s="3">
        <v>3</v>
      </c>
      <c r="CF59" s="3">
        <v>1</v>
      </c>
      <c r="CG59" s="4" t="s">
        <v>122</v>
      </c>
      <c r="CH59" s="3">
        <v>5</v>
      </c>
      <c r="CI59" s="4" t="s">
        <v>122</v>
      </c>
      <c r="CJ59" s="4" t="s">
        <v>122</v>
      </c>
      <c r="CK59" s="4" t="s">
        <v>122</v>
      </c>
      <c r="CL59" s="4" t="s">
        <v>122</v>
      </c>
      <c r="CM59" s="4" t="s">
        <v>122</v>
      </c>
      <c r="CN59" s="4" t="s">
        <v>122</v>
      </c>
      <c r="CO59" s="4" t="s">
        <v>122</v>
      </c>
      <c r="CP59" s="4" t="s">
        <v>122</v>
      </c>
      <c r="CQ59" s="4" t="s">
        <v>125</v>
      </c>
      <c r="CR59" s="4" t="s">
        <v>122</v>
      </c>
      <c r="CS59" s="3">
        <v>5</v>
      </c>
      <c r="CT59" s="3">
        <v>6</v>
      </c>
      <c r="CU59" s="3">
        <v>0</v>
      </c>
      <c r="CV59">
        <v>1</v>
      </c>
      <c r="CW59" cm="1">
        <f t="array" ref="CW59">_xlfn.IFS(CU59*1=1,1,CU59*1=2,1,TRUE,0)</f>
        <v>0</v>
      </c>
      <c r="CX59" s="3" t="e">
        <f>NA()</f>
        <v>#N/A</v>
      </c>
      <c r="CY59" s="3">
        <f t="shared" si="0"/>
        <v>8.5</v>
      </c>
      <c r="CZ59" s="3" cm="1">
        <f t="array" ref="CZ59">_xlfn.IFS(BP59&lt;&gt;"", BP59, CV59=1,  AQ59, CV59=0,  AZ59)</f>
        <v>8.5</v>
      </c>
      <c r="DA59" s="3" t="e">
        <f>NA()</f>
        <v>#N/A</v>
      </c>
      <c r="DB59" s="36">
        <f t="shared" si="1"/>
        <v>0</v>
      </c>
      <c r="DC59" s="3" t="e">
        <f t="shared" si="2"/>
        <v>#N/A</v>
      </c>
      <c r="DD59" s="3">
        <f t="shared" si="3"/>
        <v>0</v>
      </c>
      <c r="DE59" s="3">
        <f t="shared" si="4"/>
        <v>0</v>
      </c>
      <c r="DF59" s="3" t="e">
        <f t="shared" si="5"/>
        <v>#N/A</v>
      </c>
      <c r="DG59" s="3" t="e">
        <f t="shared" si="6"/>
        <v>#N/A</v>
      </c>
    </row>
    <row r="60" spans="1:116" x14ac:dyDescent="0.4">
      <c r="A60" s="3">
        <v>202410</v>
      </c>
      <c r="B60" s="3">
        <v>111</v>
      </c>
      <c r="C60" s="5">
        <v>45584.52140046296</v>
      </c>
      <c r="D60" s="5">
        <v>45584.524444444447</v>
      </c>
      <c r="E60" s="3">
        <v>0</v>
      </c>
      <c r="F60" s="4" t="s">
        <v>779</v>
      </c>
      <c r="G60" s="3">
        <v>100</v>
      </c>
      <c r="H60" s="3">
        <v>263</v>
      </c>
      <c r="I60" s="3">
        <v>1</v>
      </c>
      <c r="J60" s="5">
        <v>45584.5244662037</v>
      </c>
      <c r="K60" s="4" t="s">
        <v>780</v>
      </c>
      <c r="L60" s="4" t="s">
        <v>122</v>
      </c>
      <c r="M60" s="4" t="s">
        <v>122</v>
      </c>
      <c r="N60" s="4" t="s">
        <v>122</v>
      </c>
      <c r="O60" s="4" t="s">
        <v>122</v>
      </c>
      <c r="P60" s="3">
        <v>33.4602</v>
      </c>
      <c r="Q60" s="3">
        <v>-112.13339999999999</v>
      </c>
      <c r="R60" s="4" t="s">
        <v>129</v>
      </c>
      <c r="S60" s="4" t="s">
        <v>124</v>
      </c>
      <c r="T60" s="4" t="s">
        <v>781</v>
      </c>
      <c r="U60" s="3">
        <v>1</v>
      </c>
      <c r="V60" s="3">
        <v>2</v>
      </c>
      <c r="W60" s="3">
        <v>2</v>
      </c>
      <c r="X60" s="3">
        <v>1</v>
      </c>
      <c r="Y60" s="3">
        <v>3</v>
      </c>
      <c r="Z60" s="3">
        <v>3</v>
      </c>
      <c r="AA60" s="3">
        <v>1</v>
      </c>
      <c r="AG60" s="3">
        <v>4</v>
      </c>
      <c r="AH60" s="3">
        <v>6</v>
      </c>
      <c r="AI60" s="3">
        <v>3</v>
      </c>
      <c r="AJ60" s="3">
        <v>9</v>
      </c>
      <c r="AK60" s="3">
        <v>9</v>
      </c>
      <c r="AL60" s="3">
        <v>8</v>
      </c>
      <c r="AM60" s="3">
        <v>9</v>
      </c>
      <c r="AN60" s="3">
        <v>8</v>
      </c>
      <c r="AO60" s="3">
        <v>2</v>
      </c>
      <c r="AP60" s="3">
        <v>3</v>
      </c>
      <c r="AQ60" s="4" t="s">
        <v>122</v>
      </c>
      <c r="AR60" s="4" t="s">
        <v>122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 t="s">
        <v>122</v>
      </c>
      <c r="BD60" s="4" t="s">
        <v>122</v>
      </c>
      <c r="BE60" s="4" t="s">
        <v>122</v>
      </c>
      <c r="BF60" s="4" t="s">
        <v>122</v>
      </c>
      <c r="BG60" s="4" t="s">
        <v>122</v>
      </c>
      <c r="BH60" s="4"/>
      <c r="BI60" s="4" t="s">
        <v>122</v>
      </c>
      <c r="BJ60" s="4" t="s">
        <v>122</v>
      </c>
      <c r="BK60" s="4" t="s">
        <v>122</v>
      </c>
      <c r="BL60" s="4" t="s">
        <v>122</v>
      </c>
      <c r="BM60" s="4" t="s">
        <v>122</v>
      </c>
      <c r="BN60" s="4" t="s">
        <v>122</v>
      </c>
      <c r="BO60" s="4"/>
      <c r="BP60" s="3">
        <v>7</v>
      </c>
      <c r="BQ60" s="3">
        <v>3</v>
      </c>
      <c r="BR60" s="4" t="s">
        <v>125</v>
      </c>
      <c r="BS60" s="4" t="s">
        <v>122</v>
      </c>
      <c r="BT60" s="4" t="s">
        <v>122</v>
      </c>
      <c r="BU60" s="4"/>
      <c r="BV60" s="4" t="s">
        <v>122</v>
      </c>
      <c r="BW60" s="4" t="s">
        <v>125</v>
      </c>
      <c r="BX60" s="4" t="s">
        <v>122</v>
      </c>
      <c r="BY60" s="4" t="s">
        <v>125</v>
      </c>
      <c r="BZ60" s="4" t="s">
        <v>122</v>
      </c>
      <c r="CA60" s="3">
        <v>1</v>
      </c>
      <c r="CD60" s="3">
        <v>8</v>
      </c>
      <c r="CE60" s="3">
        <v>3</v>
      </c>
      <c r="CF60" s="3">
        <v>2</v>
      </c>
      <c r="CG60" s="4" t="s">
        <v>122</v>
      </c>
      <c r="CH60" s="3">
        <v>2</v>
      </c>
      <c r="CI60" s="4" t="s">
        <v>122</v>
      </c>
      <c r="CJ60" s="4" t="s">
        <v>122</v>
      </c>
      <c r="CK60" s="4" t="s">
        <v>122</v>
      </c>
      <c r="CL60" s="4" t="s">
        <v>122</v>
      </c>
      <c r="CM60" s="4" t="s">
        <v>122</v>
      </c>
      <c r="CN60" s="4" t="s">
        <v>122</v>
      </c>
      <c r="CO60" s="4" t="s">
        <v>125</v>
      </c>
      <c r="CP60" s="4" t="s">
        <v>122</v>
      </c>
      <c r="CQ60" s="4" t="s">
        <v>122</v>
      </c>
      <c r="CR60" s="4" t="s">
        <v>122</v>
      </c>
      <c r="CS60" s="3">
        <v>4</v>
      </c>
      <c r="CT60" s="3">
        <v>1</v>
      </c>
      <c r="CU60" s="3">
        <v>0</v>
      </c>
      <c r="CV60">
        <v>1</v>
      </c>
      <c r="CW60" cm="1">
        <f t="array" ref="CW60">_xlfn.IFS(CU60*1=1,1,CU60*1=2,1,TRUE,0)</f>
        <v>0</v>
      </c>
      <c r="CX60" s="3" t="e">
        <f>NA()</f>
        <v>#N/A</v>
      </c>
      <c r="CY60" s="3">
        <f t="shared" si="0"/>
        <v>8</v>
      </c>
      <c r="CZ60" s="3" cm="1">
        <f t="array" ref="CZ60">_xlfn.IFS(BP60&lt;&gt;"", BP60, CV60=1,  AQ60, CV60=0,  AZ60)</f>
        <v>7</v>
      </c>
      <c r="DA60" s="3" t="e">
        <f>NA()</f>
        <v>#N/A</v>
      </c>
      <c r="DB60" s="36">
        <f t="shared" si="1"/>
        <v>2</v>
      </c>
      <c r="DC60" s="3" t="e">
        <f t="shared" si="2"/>
        <v>#N/A</v>
      </c>
      <c r="DD60" s="3">
        <f t="shared" si="3"/>
        <v>2</v>
      </c>
      <c r="DE60" s="3">
        <f t="shared" si="4"/>
        <v>1</v>
      </c>
      <c r="DF60" s="3" t="e">
        <f t="shared" si="5"/>
        <v>#N/A</v>
      </c>
      <c r="DG60" s="3" t="e">
        <f t="shared" si="6"/>
        <v>#N/A</v>
      </c>
      <c r="DI60" s="36" t="s">
        <v>968</v>
      </c>
    </row>
    <row r="61" spans="1:116" x14ac:dyDescent="0.4">
      <c r="A61" s="3">
        <v>202410</v>
      </c>
      <c r="B61" s="3">
        <v>111</v>
      </c>
      <c r="C61" s="5">
        <v>45584.521469907406</v>
      </c>
      <c r="D61" s="5">
        <v>45584.524652777778</v>
      </c>
      <c r="E61" s="3">
        <v>0</v>
      </c>
      <c r="F61" s="4" t="s">
        <v>782</v>
      </c>
      <c r="G61" s="3">
        <v>100</v>
      </c>
      <c r="H61" s="3">
        <v>275</v>
      </c>
      <c r="I61" s="3">
        <v>1</v>
      </c>
      <c r="J61" s="5">
        <v>45584.524671724539</v>
      </c>
      <c r="K61" s="4" t="s">
        <v>783</v>
      </c>
      <c r="L61" s="4" t="s">
        <v>122</v>
      </c>
      <c r="M61" s="4" t="s">
        <v>122</v>
      </c>
      <c r="N61" s="4" t="s">
        <v>122</v>
      </c>
      <c r="O61" s="4" t="s">
        <v>122</v>
      </c>
      <c r="P61" s="3">
        <v>33.412199999999999</v>
      </c>
      <c r="Q61" s="3">
        <v>-112.0287</v>
      </c>
      <c r="R61" s="4" t="s">
        <v>129</v>
      </c>
      <c r="S61" s="4" t="s">
        <v>124</v>
      </c>
      <c r="T61" s="4" t="s">
        <v>784</v>
      </c>
      <c r="U61" s="3">
        <v>1</v>
      </c>
      <c r="V61" s="3">
        <v>3</v>
      </c>
      <c r="W61" s="3">
        <v>3</v>
      </c>
      <c r="X61" s="3">
        <v>1</v>
      </c>
      <c r="Y61" s="3">
        <v>2</v>
      </c>
      <c r="Z61" s="3">
        <v>2</v>
      </c>
      <c r="AA61" s="3">
        <v>2</v>
      </c>
      <c r="AG61" s="3">
        <v>2</v>
      </c>
      <c r="AH61" s="3">
        <v>5</v>
      </c>
      <c r="AI61" s="3">
        <v>1</v>
      </c>
      <c r="AJ61" s="3">
        <v>6</v>
      </c>
      <c r="AK61" s="3">
        <v>8</v>
      </c>
      <c r="AL61" s="3">
        <v>6</v>
      </c>
      <c r="AM61" s="3">
        <v>6</v>
      </c>
      <c r="AN61" s="3">
        <v>6</v>
      </c>
      <c r="AO61" s="3">
        <v>3</v>
      </c>
      <c r="AP61" s="3">
        <v>3</v>
      </c>
      <c r="AQ61" s="4" t="s">
        <v>122</v>
      </c>
      <c r="AR61" s="4" t="s">
        <v>122</v>
      </c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 t="s">
        <v>122</v>
      </c>
      <c r="BD61" s="4" t="s">
        <v>122</v>
      </c>
      <c r="BE61" s="4" t="s">
        <v>122</v>
      </c>
      <c r="BF61" s="4" t="s">
        <v>122</v>
      </c>
      <c r="BG61" s="4" t="s">
        <v>122</v>
      </c>
      <c r="BH61" s="4"/>
      <c r="BI61" s="4" t="s">
        <v>122</v>
      </c>
      <c r="BJ61" s="4" t="s">
        <v>122</v>
      </c>
      <c r="BK61" s="4" t="s">
        <v>122</v>
      </c>
      <c r="BL61" s="4" t="s">
        <v>122</v>
      </c>
      <c r="BM61" s="4" t="s">
        <v>122</v>
      </c>
      <c r="BN61" s="4" t="s">
        <v>122</v>
      </c>
      <c r="BO61" s="4"/>
      <c r="BP61" s="3">
        <v>5</v>
      </c>
      <c r="BQ61" s="3">
        <v>1</v>
      </c>
      <c r="BR61" s="4" t="s">
        <v>125</v>
      </c>
      <c r="BS61" s="4" t="s">
        <v>122</v>
      </c>
      <c r="BT61" s="4" t="s">
        <v>122</v>
      </c>
      <c r="BU61" s="4"/>
      <c r="BV61" s="4" t="s">
        <v>125</v>
      </c>
      <c r="BW61" s="4" t="s">
        <v>125</v>
      </c>
      <c r="BX61" s="4" t="s">
        <v>122</v>
      </c>
      <c r="BY61" s="4" t="s">
        <v>122</v>
      </c>
      <c r="BZ61" s="4" t="s">
        <v>122</v>
      </c>
      <c r="CA61" s="3">
        <v>1</v>
      </c>
      <c r="CD61" s="3">
        <v>5</v>
      </c>
      <c r="CE61" s="3">
        <v>2</v>
      </c>
      <c r="CF61" s="3">
        <v>1</v>
      </c>
      <c r="CG61" s="4" t="s">
        <v>122</v>
      </c>
      <c r="CH61" s="3">
        <v>2</v>
      </c>
      <c r="CI61" s="4" t="s">
        <v>122</v>
      </c>
      <c r="CJ61" s="4" t="s">
        <v>122</v>
      </c>
      <c r="CK61" s="4" t="s">
        <v>122</v>
      </c>
      <c r="CL61" s="4" t="s">
        <v>122</v>
      </c>
      <c r="CM61" s="4" t="s">
        <v>122</v>
      </c>
      <c r="CN61" s="4" t="s">
        <v>122</v>
      </c>
      <c r="CO61" s="4" t="s">
        <v>125</v>
      </c>
      <c r="CP61" s="4" t="s">
        <v>122</v>
      </c>
      <c r="CQ61" s="4" t="s">
        <v>122</v>
      </c>
      <c r="CR61" s="4" t="s">
        <v>122</v>
      </c>
      <c r="CS61" s="3">
        <v>4</v>
      </c>
      <c r="CT61" s="3">
        <v>3</v>
      </c>
      <c r="CU61" s="3">
        <v>0</v>
      </c>
      <c r="CV61">
        <v>1</v>
      </c>
      <c r="CW61" cm="1">
        <f t="array" ref="CW61">_xlfn.IFS(CU61*1=1,1,CU61*1=2,1,TRUE,0)</f>
        <v>0</v>
      </c>
      <c r="CX61" s="3" t="e">
        <f>NA()</f>
        <v>#N/A</v>
      </c>
      <c r="CY61" s="3">
        <f t="shared" si="0"/>
        <v>5</v>
      </c>
      <c r="CZ61" s="3" cm="1">
        <f t="array" ref="CZ61">_xlfn.IFS(BP61&lt;&gt;"", BP61, CV61=1,  AQ61, CV61=0,  AZ61)</f>
        <v>5</v>
      </c>
      <c r="DA61" s="3" t="e">
        <f>NA()</f>
        <v>#N/A</v>
      </c>
      <c r="DB61" s="36">
        <f t="shared" si="1"/>
        <v>0</v>
      </c>
      <c r="DC61" s="3" t="e">
        <f t="shared" si="2"/>
        <v>#N/A</v>
      </c>
      <c r="DD61" s="3">
        <f t="shared" si="3"/>
        <v>0</v>
      </c>
      <c r="DE61" s="3">
        <f t="shared" si="4"/>
        <v>0</v>
      </c>
      <c r="DF61" s="3" t="e">
        <f t="shared" si="5"/>
        <v>#N/A</v>
      </c>
      <c r="DG61" s="3" t="e">
        <f t="shared" si="6"/>
        <v>#N/A</v>
      </c>
      <c r="DI61" s="61" t="s">
        <v>953</v>
      </c>
      <c r="DJ61" s="64" t="s">
        <v>956</v>
      </c>
      <c r="DK61" s="64" t="s">
        <v>957</v>
      </c>
      <c r="DL61" s="64" t="s">
        <v>955</v>
      </c>
    </row>
    <row r="62" spans="1:116" x14ac:dyDescent="0.4">
      <c r="A62" s="3">
        <v>202410</v>
      </c>
      <c r="B62" s="3">
        <v>111</v>
      </c>
      <c r="C62" s="5">
        <v>45584.522175925929</v>
      </c>
      <c r="D62" s="5">
        <v>45584.524918981479</v>
      </c>
      <c r="E62" s="3">
        <v>0</v>
      </c>
      <c r="F62" s="4" t="s">
        <v>785</v>
      </c>
      <c r="G62" s="3">
        <v>100</v>
      </c>
      <c r="H62" s="3">
        <v>237</v>
      </c>
      <c r="I62" s="3">
        <v>1</v>
      </c>
      <c r="J62" s="5">
        <v>45584.524936203707</v>
      </c>
      <c r="K62" s="4" t="s">
        <v>786</v>
      </c>
      <c r="L62" s="4" t="s">
        <v>122</v>
      </c>
      <c r="M62" s="4" t="s">
        <v>122</v>
      </c>
      <c r="N62" s="4" t="s">
        <v>122</v>
      </c>
      <c r="O62" s="4" t="s">
        <v>122</v>
      </c>
      <c r="P62" s="3">
        <v>36.115000000000002</v>
      </c>
      <c r="Q62" s="3">
        <v>-115.2165</v>
      </c>
      <c r="R62" s="4" t="s">
        <v>129</v>
      </c>
      <c r="S62" s="4" t="s">
        <v>124</v>
      </c>
      <c r="T62" s="4" t="s">
        <v>787</v>
      </c>
      <c r="U62" s="3">
        <v>1</v>
      </c>
      <c r="V62" s="3">
        <v>2</v>
      </c>
      <c r="W62" s="3">
        <v>2</v>
      </c>
      <c r="X62" s="3">
        <v>1</v>
      </c>
      <c r="Y62" s="3">
        <v>3</v>
      </c>
      <c r="Z62" s="3">
        <v>3</v>
      </c>
      <c r="AA62" s="3">
        <v>2</v>
      </c>
      <c r="AG62" s="3">
        <v>4</v>
      </c>
      <c r="AH62" s="3">
        <v>5</v>
      </c>
      <c r="AI62" s="3">
        <v>2</v>
      </c>
      <c r="AJ62" s="3">
        <v>7</v>
      </c>
      <c r="AK62" s="3">
        <v>8</v>
      </c>
      <c r="AL62" s="3">
        <v>7</v>
      </c>
      <c r="AM62" s="3">
        <v>7</v>
      </c>
      <c r="AN62" s="3">
        <v>7</v>
      </c>
      <c r="AO62" s="3">
        <v>2</v>
      </c>
      <c r="AP62" s="3">
        <v>3</v>
      </c>
      <c r="AQ62" s="3">
        <v>6</v>
      </c>
      <c r="AR62" s="3">
        <v>2</v>
      </c>
      <c r="BC62" s="3">
        <v>6</v>
      </c>
      <c r="BD62" s="3">
        <v>2</v>
      </c>
      <c r="BE62" s="4" t="s">
        <v>122</v>
      </c>
      <c r="BF62" s="4" t="s">
        <v>122</v>
      </c>
      <c r="BG62" s="4" t="s">
        <v>122</v>
      </c>
      <c r="BH62" s="4"/>
      <c r="BI62" s="4" t="s">
        <v>122</v>
      </c>
      <c r="BJ62" s="4" t="s">
        <v>122</v>
      </c>
      <c r="BK62" s="4" t="s">
        <v>122</v>
      </c>
      <c r="BL62" s="4" t="s">
        <v>122</v>
      </c>
      <c r="BM62" s="4" t="s">
        <v>125</v>
      </c>
      <c r="BN62" s="4" t="s">
        <v>122</v>
      </c>
      <c r="BP62" s="4" t="s">
        <v>122</v>
      </c>
      <c r="BQ62" s="4" t="s">
        <v>122</v>
      </c>
      <c r="BR62" s="4" t="s">
        <v>122</v>
      </c>
      <c r="BS62" s="4" t="s">
        <v>122</v>
      </c>
      <c r="BT62" s="4" t="s">
        <v>122</v>
      </c>
      <c r="BU62" s="4"/>
      <c r="BV62" s="4" t="s">
        <v>122</v>
      </c>
      <c r="BW62" s="4" t="s">
        <v>122</v>
      </c>
      <c r="BX62" s="4" t="s">
        <v>122</v>
      </c>
      <c r="BY62" s="4" t="s">
        <v>122</v>
      </c>
      <c r="BZ62" s="4" t="s">
        <v>122</v>
      </c>
      <c r="CA62" s="4" t="s">
        <v>122</v>
      </c>
      <c r="CD62" s="4" t="s">
        <v>122</v>
      </c>
      <c r="CE62" s="4" t="s">
        <v>122</v>
      </c>
      <c r="CF62" s="3">
        <v>1</v>
      </c>
      <c r="CG62" s="4" t="s">
        <v>122</v>
      </c>
      <c r="CH62" s="3">
        <v>6</v>
      </c>
      <c r="CI62" s="4" t="s">
        <v>122</v>
      </c>
      <c r="CJ62" s="4" t="s">
        <v>122</v>
      </c>
      <c r="CK62" s="4" t="s">
        <v>122</v>
      </c>
      <c r="CL62" s="4" t="s">
        <v>122</v>
      </c>
      <c r="CM62" s="4" t="s">
        <v>122</v>
      </c>
      <c r="CN62" s="4" t="s">
        <v>122</v>
      </c>
      <c r="CO62" s="4" t="s">
        <v>125</v>
      </c>
      <c r="CP62" s="4" t="s">
        <v>122</v>
      </c>
      <c r="CQ62" s="4" t="s">
        <v>122</v>
      </c>
      <c r="CR62" s="4" t="s">
        <v>122</v>
      </c>
      <c r="CS62" s="3">
        <v>4</v>
      </c>
      <c r="CT62" s="3">
        <v>6</v>
      </c>
      <c r="CU62" s="3">
        <v>1</v>
      </c>
      <c r="CV62">
        <v>1</v>
      </c>
      <c r="CW62" cm="1">
        <f t="array" ref="CW62">_xlfn.IFS(CU62*1=1,1,CU62*1=2,1,TRUE,0)</f>
        <v>1</v>
      </c>
      <c r="CX62" s="3" t="e">
        <f>NA()</f>
        <v>#N/A</v>
      </c>
      <c r="CY62" s="3">
        <f t="shared" si="0"/>
        <v>6</v>
      </c>
      <c r="CZ62" s="3" cm="1">
        <f t="array" ref="CZ62">_xlfn.IFS(BP62&lt;&gt;"", BP62, CV62=1,  AQ62, CV62=0,  AZ62)</f>
        <v>6</v>
      </c>
      <c r="DA62" s="3" t="e">
        <f>NA()</f>
        <v>#N/A</v>
      </c>
      <c r="DB62" s="36">
        <f t="shared" si="1"/>
        <v>1</v>
      </c>
      <c r="DC62" s="3" t="e">
        <f t="shared" si="2"/>
        <v>#N/A</v>
      </c>
      <c r="DD62" s="3">
        <f t="shared" si="3"/>
        <v>1</v>
      </c>
      <c r="DE62" s="3">
        <f t="shared" si="4"/>
        <v>1</v>
      </c>
      <c r="DF62" s="3" t="e">
        <f t="shared" si="5"/>
        <v>#N/A</v>
      </c>
      <c r="DG62" s="3" t="e">
        <f t="shared" si="6"/>
        <v>#N/A</v>
      </c>
      <c r="DI62" s="59">
        <v>202410</v>
      </c>
      <c r="DJ62" s="66">
        <f>AVERAGE($DB$2:$DB$98)</f>
        <v>0.51030927835051543</v>
      </c>
    </row>
    <row r="63" spans="1:116" x14ac:dyDescent="0.4">
      <c r="A63" s="3">
        <v>202410</v>
      </c>
      <c r="B63" s="3">
        <v>111</v>
      </c>
      <c r="C63" s="5">
        <v>45584.522465277776</v>
      </c>
      <c r="D63" s="5">
        <v>45584.525300925925</v>
      </c>
      <c r="E63" s="3">
        <v>0</v>
      </c>
      <c r="F63" s="4" t="s">
        <v>788</v>
      </c>
      <c r="G63" s="3">
        <v>100</v>
      </c>
      <c r="H63" s="3">
        <v>245</v>
      </c>
      <c r="I63" s="3">
        <v>1</v>
      </c>
      <c r="J63" s="5">
        <v>45584.525323217589</v>
      </c>
      <c r="K63" s="4" t="s">
        <v>789</v>
      </c>
      <c r="L63" s="4" t="s">
        <v>122</v>
      </c>
      <c r="M63" s="4" t="s">
        <v>122</v>
      </c>
      <c r="N63" s="4" t="s">
        <v>122</v>
      </c>
      <c r="O63" s="4" t="s">
        <v>122</v>
      </c>
      <c r="P63" s="3">
        <v>36.147199999999998</v>
      </c>
      <c r="Q63" s="3">
        <v>-115.11750000000001</v>
      </c>
      <c r="R63" s="4" t="s">
        <v>129</v>
      </c>
      <c r="S63" s="4" t="s">
        <v>124</v>
      </c>
      <c r="T63" s="4" t="s">
        <v>790</v>
      </c>
      <c r="U63" s="3">
        <v>1</v>
      </c>
      <c r="V63" s="3">
        <v>2</v>
      </c>
      <c r="W63" s="3">
        <v>2</v>
      </c>
      <c r="X63" s="3">
        <v>1</v>
      </c>
      <c r="Y63" s="3">
        <v>3</v>
      </c>
      <c r="Z63" s="3">
        <v>2</v>
      </c>
      <c r="AA63" s="3">
        <v>3</v>
      </c>
      <c r="AG63" s="3">
        <v>2</v>
      </c>
      <c r="AH63" s="3">
        <v>6</v>
      </c>
      <c r="AI63" s="3">
        <v>2</v>
      </c>
      <c r="AJ63" s="3">
        <v>7</v>
      </c>
      <c r="AK63" s="3">
        <v>8</v>
      </c>
      <c r="AL63" s="3">
        <v>8</v>
      </c>
      <c r="AM63" s="3">
        <v>7</v>
      </c>
      <c r="AN63" s="3">
        <v>8</v>
      </c>
      <c r="AO63" s="3">
        <v>4</v>
      </c>
      <c r="AP63" s="3">
        <v>3</v>
      </c>
      <c r="AQ63" s="4" t="s">
        <v>122</v>
      </c>
      <c r="AR63" s="4" t="s">
        <v>122</v>
      </c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 t="s">
        <v>122</v>
      </c>
      <c r="BD63" s="4" t="s">
        <v>122</v>
      </c>
      <c r="BE63" s="4" t="s">
        <v>122</v>
      </c>
      <c r="BF63" s="4" t="s">
        <v>122</v>
      </c>
      <c r="BG63" s="4" t="s">
        <v>122</v>
      </c>
      <c r="BH63" s="4"/>
      <c r="BI63" s="4" t="s">
        <v>122</v>
      </c>
      <c r="BJ63" s="4" t="s">
        <v>122</v>
      </c>
      <c r="BK63" s="4" t="s">
        <v>122</v>
      </c>
      <c r="BL63" s="4" t="s">
        <v>122</v>
      </c>
      <c r="BM63" s="4" t="s">
        <v>122</v>
      </c>
      <c r="BN63" s="4" t="s">
        <v>122</v>
      </c>
      <c r="BO63" s="4"/>
      <c r="BP63" s="3">
        <v>6.5</v>
      </c>
      <c r="BQ63" s="3">
        <v>2</v>
      </c>
      <c r="BR63" s="4" t="s">
        <v>125</v>
      </c>
      <c r="BS63" s="4" t="s">
        <v>122</v>
      </c>
      <c r="BT63" s="4" t="s">
        <v>122</v>
      </c>
      <c r="BU63" s="4"/>
      <c r="BV63" s="4" t="s">
        <v>122</v>
      </c>
      <c r="BW63" s="4" t="s">
        <v>122</v>
      </c>
      <c r="BX63" s="4" t="s">
        <v>122</v>
      </c>
      <c r="BY63" s="4" t="s">
        <v>122</v>
      </c>
      <c r="BZ63" s="4" t="s">
        <v>122</v>
      </c>
      <c r="CA63" s="3">
        <v>1</v>
      </c>
      <c r="CD63" s="3">
        <v>6.5</v>
      </c>
      <c r="CE63" s="3">
        <v>2</v>
      </c>
      <c r="CF63" s="3">
        <v>2</v>
      </c>
      <c r="CG63" s="4" t="s">
        <v>122</v>
      </c>
      <c r="CH63" s="3">
        <v>5</v>
      </c>
      <c r="CI63" s="4" t="s">
        <v>122</v>
      </c>
      <c r="CJ63" s="4" t="s">
        <v>122</v>
      </c>
      <c r="CK63" s="4" t="s">
        <v>122</v>
      </c>
      <c r="CL63" s="4" t="s">
        <v>122</v>
      </c>
      <c r="CM63" s="4" t="s">
        <v>122</v>
      </c>
      <c r="CN63" s="4" t="s">
        <v>122</v>
      </c>
      <c r="CO63" s="4" t="s">
        <v>125</v>
      </c>
      <c r="CP63" s="4" t="s">
        <v>122</v>
      </c>
      <c r="CQ63" s="4" t="s">
        <v>122</v>
      </c>
      <c r="CR63" s="4" t="s">
        <v>122</v>
      </c>
      <c r="CS63" s="3">
        <v>5</v>
      </c>
      <c r="CT63" s="3">
        <v>6</v>
      </c>
      <c r="CU63" s="3">
        <v>0</v>
      </c>
      <c r="CV63">
        <v>1</v>
      </c>
      <c r="CW63" cm="1">
        <f t="array" ref="CW63">_xlfn.IFS(CU63*1=1,1,CU63*1=2,1,TRUE,0)</f>
        <v>0</v>
      </c>
      <c r="CX63" s="3" t="e">
        <f>NA()</f>
        <v>#N/A</v>
      </c>
      <c r="CY63" s="3">
        <f t="shared" si="0"/>
        <v>6.5</v>
      </c>
      <c r="CZ63" s="3" cm="1">
        <f t="array" ref="CZ63">_xlfn.IFS(BP63&lt;&gt;"", BP63, CV63=1,  AQ63, CV63=0,  AZ63)</f>
        <v>6.5</v>
      </c>
      <c r="DA63" s="3" t="e">
        <f>NA()</f>
        <v>#N/A</v>
      </c>
      <c r="DB63" s="36">
        <f t="shared" si="1"/>
        <v>0.5</v>
      </c>
      <c r="DC63" s="3" t="e">
        <f t="shared" si="2"/>
        <v>#N/A</v>
      </c>
      <c r="DD63" s="3">
        <f t="shared" si="3"/>
        <v>0.5</v>
      </c>
      <c r="DE63" s="3">
        <f t="shared" si="4"/>
        <v>0.5</v>
      </c>
      <c r="DF63" s="3" t="e">
        <f t="shared" si="5"/>
        <v>#N/A</v>
      </c>
      <c r="DG63" s="3" t="e">
        <f t="shared" si="6"/>
        <v>#N/A</v>
      </c>
      <c r="DI63" s="59">
        <v>202503</v>
      </c>
      <c r="DJ63" s="66">
        <f>AVERAGE($DB$99:$DB$206)</f>
        <v>-0.28703703703703703</v>
      </c>
      <c r="DK63" s="66">
        <f>AVERAGE($DC$99:$DC$206)</f>
        <v>-0.47222222222222221</v>
      </c>
      <c r="DL63" s="66">
        <f>AVERAGE($DB$99:$DC$206)</f>
        <v>-0.37962962962962965</v>
      </c>
    </row>
    <row r="64" spans="1:116" x14ac:dyDescent="0.4">
      <c r="A64" s="3">
        <v>202410</v>
      </c>
      <c r="B64" s="3">
        <v>111</v>
      </c>
      <c r="C64" s="5">
        <v>45584.524953703702</v>
      </c>
      <c r="D64" s="5">
        <v>45584.528634259259</v>
      </c>
      <c r="E64" s="3">
        <v>0</v>
      </c>
      <c r="F64" s="4" t="s">
        <v>762</v>
      </c>
      <c r="G64" s="3">
        <v>100</v>
      </c>
      <c r="H64" s="3">
        <v>318</v>
      </c>
      <c r="I64" s="3">
        <v>1</v>
      </c>
      <c r="J64" s="5">
        <v>45584.528657071758</v>
      </c>
      <c r="K64" s="4" t="s">
        <v>791</v>
      </c>
      <c r="L64" s="4" t="s">
        <v>122</v>
      </c>
      <c r="M64" s="4" t="s">
        <v>122</v>
      </c>
      <c r="N64" s="4" t="s">
        <v>122</v>
      </c>
      <c r="O64" s="4" t="s">
        <v>122</v>
      </c>
      <c r="P64" s="3">
        <v>33.514099999999999</v>
      </c>
      <c r="Q64" s="3">
        <v>-112.12350000000001</v>
      </c>
      <c r="R64" s="4" t="s">
        <v>129</v>
      </c>
      <c r="S64" s="4" t="s">
        <v>124</v>
      </c>
      <c r="T64" s="4" t="s">
        <v>792</v>
      </c>
      <c r="U64" s="3">
        <v>0</v>
      </c>
      <c r="V64" s="3">
        <v>1</v>
      </c>
      <c r="W64" s="3">
        <v>1</v>
      </c>
      <c r="X64" s="3">
        <v>2</v>
      </c>
      <c r="Y64" s="3">
        <v>3</v>
      </c>
      <c r="Z64" s="3">
        <v>3</v>
      </c>
      <c r="AA64" s="3">
        <v>4</v>
      </c>
      <c r="AG64" s="3">
        <v>2</v>
      </c>
      <c r="AH64" s="3">
        <v>6</v>
      </c>
      <c r="AI64" s="3">
        <v>3</v>
      </c>
      <c r="AJ64" s="3">
        <v>8</v>
      </c>
      <c r="AK64" s="3">
        <v>7</v>
      </c>
      <c r="AL64" s="3">
        <v>8</v>
      </c>
      <c r="AM64" s="3">
        <v>7</v>
      </c>
      <c r="AN64" s="3">
        <v>8</v>
      </c>
      <c r="AO64" s="3">
        <v>3</v>
      </c>
      <c r="AP64" s="3">
        <v>3</v>
      </c>
      <c r="AQ64" s="4" t="s">
        <v>122</v>
      </c>
      <c r="AR64" s="4" t="s">
        <v>122</v>
      </c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 t="s">
        <v>122</v>
      </c>
      <c r="BD64" s="4" t="s">
        <v>122</v>
      </c>
      <c r="BE64" s="4" t="s">
        <v>122</v>
      </c>
      <c r="BF64" s="4" t="s">
        <v>122</v>
      </c>
      <c r="BG64" s="4" t="s">
        <v>122</v>
      </c>
      <c r="BH64" s="4"/>
      <c r="BI64" s="4" t="s">
        <v>122</v>
      </c>
      <c r="BJ64" s="4" t="s">
        <v>122</v>
      </c>
      <c r="BK64" s="4" t="s">
        <v>122</v>
      </c>
      <c r="BL64" s="4" t="s">
        <v>122</v>
      </c>
      <c r="BM64" s="4" t="s">
        <v>122</v>
      </c>
      <c r="BN64" s="4" t="s">
        <v>122</v>
      </c>
      <c r="BO64" s="4"/>
      <c r="BP64" s="3">
        <v>8</v>
      </c>
      <c r="BQ64" s="3">
        <v>3</v>
      </c>
      <c r="BR64" s="4" t="s">
        <v>125</v>
      </c>
      <c r="BS64" s="4" t="s">
        <v>122</v>
      </c>
      <c r="BT64" s="4" t="s">
        <v>122</v>
      </c>
      <c r="BU64" s="4"/>
      <c r="BV64" s="4" t="s">
        <v>122</v>
      </c>
      <c r="BW64" s="4" t="s">
        <v>122</v>
      </c>
      <c r="BX64" s="4" t="s">
        <v>122</v>
      </c>
      <c r="BY64" s="4" t="s">
        <v>125</v>
      </c>
      <c r="BZ64" s="4" t="s">
        <v>122</v>
      </c>
      <c r="CA64" s="3">
        <v>1</v>
      </c>
      <c r="CD64" s="3">
        <v>8</v>
      </c>
      <c r="CE64" s="3">
        <v>3</v>
      </c>
      <c r="CF64" s="3">
        <v>1</v>
      </c>
      <c r="CG64" s="4" t="s">
        <v>122</v>
      </c>
      <c r="CH64" s="3">
        <v>7</v>
      </c>
      <c r="CI64" s="4" t="s">
        <v>122</v>
      </c>
      <c r="CJ64" s="4" t="s">
        <v>122</v>
      </c>
      <c r="CK64" s="4" t="s">
        <v>122</v>
      </c>
      <c r="CL64" s="4" t="s">
        <v>122</v>
      </c>
      <c r="CM64" s="4" t="s">
        <v>122</v>
      </c>
      <c r="CN64" s="4" t="s">
        <v>122</v>
      </c>
      <c r="CO64" s="4" t="s">
        <v>125</v>
      </c>
      <c r="CP64" s="4" t="s">
        <v>122</v>
      </c>
      <c r="CQ64" s="4" t="s">
        <v>122</v>
      </c>
      <c r="CR64" s="4" t="s">
        <v>122</v>
      </c>
      <c r="CS64" s="3">
        <v>5</v>
      </c>
      <c r="CT64" s="3">
        <v>6</v>
      </c>
      <c r="CU64" s="3">
        <v>0</v>
      </c>
      <c r="CV64">
        <v>1</v>
      </c>
      <c r="CW64" cm="1">
        <f t="array" ref="CW64">_xlfn.IFS(CU64*1=1,1,CU64*1=2,1,TRUE,0)</f>
        <v>0</v>
      </c>
      <c r="CX64" s="3" t="e">
        <f>NA()</f>
        <v>#N/A</v>
      </c>
      <c r="CY64" s="3">
        <f t="shared" si="0"/>
        <v>8</v>
      </c>
      <c r="CZ64" s="3" cm="1">
        <f t="array" ref="CZ64">_xlfn.IFS(BP64&lt;&gt;"", BP64, CV64=1,  AQ64, CV64=0,  AZ64)</f>
        <v>8</v>
      </c>
      <c r="DA64" s="3" t="e">
        <f>NA()</f>
        <v>#N/A</v>
      </c>
      <c r="DB64" s="36">
        <f t="shared" si="1"/>
        <v>2</v>
      </c>
      <c r="DC64" s="3" t="e">
        <f t="shared" si="2"/>
        <v>#N/A</v>
      </c>
      <c r="DD64" s="3">
        <f t="shared" si="3"/>
        <v>2</v>
      </c>
      <c r="DE64" s="3">
        <f t="shared" si="4"/>
        <v>2</v>
      </c>
      <c r="DF64" s="3" t="e">
        <f t="shared" si="5"/>
        <v>#N/A</v>
      </c>
      <c r="DG64" s="3" t="e">
        <f t="shared" si="6"/>
        <v>#N/A</v>
      </c>
      <c r="DI64" s="59">
        <v>202511</v>
      </c>
      <c r="DJ64" s="69">
        <f>AVERAGE($DB$207:$DB$340)</f>
        <v>-0.27368421052631575</v>
      </c>
      <c r="DK64" s="69">
        <f>AVERAGE($DC$207:$DC$340)</f>
        <v>-0.37878787878787878</v>
      </c>
      <c r="DL64" s="69">
        <f>AVERAGE($DB$207:$DC$340)</f>
        <v>-0.3260377358490566</v>
      </c>
    </row>
    <row r="65" spans="1:116" x14ac:dyDescent="0.4">
      <c r="A65" s="3">
        <v>202410</v>
      </c>
      <c r="B65" s="3">
        <v>111</v>
      </c>
      <c r="C65" s="5">
        <v>45584.530833333331</v>
      </c>
      <c r="D65" s="5">
        <v>45584.536226851851</v>
      </c>
      <c r="E65" s="3">
        <v>0</v>
      </c>
      <c r="F65" s="4" t="s">
        <v>798</v>
      </c>
      <c r="G65" s="3">
        <v>100</v>
      </c>
      <c r="H65" s="3">
        <v>465</v>
      </c>
      <c r="I65" s="3">
        <v>1</v>
      </c>
      <c r="J65" s="5">
        <v>45584.53624021991</v>
      </c>
      <c r="K65" s="4" t="s">
        <v>799</v>
      </c>
      <c r="L65" s="4" t="s">
        <v>122</v>
      </c>
      <c r="M65" s="4" t="s">
        <v>122</v>
      </c>
      <c r="N65" s="4" t="s">
        <v>122</v>
      </c>
      <c r="O65" s="4" t="s">
        <v>122</v>
      </c>
      <c r="P65" s="3">
        <v>36.123600000000003</v>
      </c>
      <c r="Q65" s="3">
        <v>-115.2757</v>
      </c>
      <c r="R65" s="4" t="s">
        <v>129</v>
      </c>
      <c r="S65" s="4" t="s">
        <v>124</v>
      </c>
      <c r="T65" s="4" t="s">
        <v>800</v>
      </c>
      <c r="U65" s="3">
        <v>1</v>
      </c>
      <c r="V65" s="3">
        <v>3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G65" s="3">
        <v>3</v>
      </c>
      <c r="AH65" s="3">
        <v>4.5</v>
      </c>
      <c r="AI65" s="3">
        <v>3</v>
      </c>
      <c r="AJ65" s="3">
        <v>8</v>
      </c>
      <c r="AK65" s="3">
        <v>9</v>
      </c>
      <c r="AL65" s="3">
        <v>9</v>
      </c>
      <c r="AM65" s="3">
        <v>8</v>
      </c>
      <c r="AN65" s="3">
        <v>8</v>
      </c>
      <c r="AO65" s="3">
        <v>2</v>
      </c>
      <c r="AP65" s="3">
        <v>3</v>
      </c>
      <c r="AQ65" s="4" t="s">
        <v>122</v>
      </c>
      <c r="AR65" s="4" t="s">
        <v>122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 t="s">
        <v>122</v>
      </c>
      <c r="BD65" s="4" t="s">
        <v>122</v>
      </c>
      <c r="BE65" s="4" t="s">
        <v>122</v>
      </c>
      <c r="BF65" s="4" t="s">
        <v>122</v>
      </c>
      <c r="BG65" s="4" t="s">
        <v>122</v>
      </c>
      <c r="BH65" s="4"/>
      <c r="BI65" s="4" t="s">
        <v>122</v>
      </c>
      <c r="BJ65" s="4" t="s">
        <v>122</v>
      </c>
      <c r="BK65" s="4" t="s">
        <v>122</v>
      </c>
      <c r="BL65" s="4" t="s">
        <v>122</v>
      </c>
      <c r="BM65" s="4" t="s">
        <v>122</v>
      </c>
      <c r="BN65" s="4" t="s">
        <v>122</v>
      </c>
      <c r="BO65" s="4"/>
      <c r="BP65" s="3">
        <v>4.5</v>
      </c>
      <c r="BQ65" s="3">
        <v>2</v>
      </c>
      <c r="BR65" s="4" t="s">
        <v>125</v>
      </c>
      <c r="BS65" s="4" t="s">
        <v>122</v>
      </c>
      <c r="BT65" s="4" t="s">
        <v>122</v>
      </c>
      <c r="BU65" s="4"/>
      <c r="BV65" s="4" t="s">
        <v>125</v>
      </c>
      <c r="BW65" s="4" t="s">
        <v>122</v>
      </c>
      <c r="BX65" s="4" t="s">
        <v>122</v>
      </c>
      <c r="BY65" s="4" t="s">
        <v>125</v>
      </c>
      <c r="BZ65" s="4" t="s">
        <v>122</v>
      </c>
      <c r="CA65" s="3">
        <v>1</v>
      </c>
      <c r="CD65" s="3">
        <v>4.5</v>
      </c>
      <c r="CE65" s="3">
        <v>3</v>
      </c>
      <c r="CF65" s="3">
        <v>3</v>
      </c>
      <c r="CG65" s="4" t="s">
        <v>122</v>
      </c>
      <c r="CH65" s="3">
        <v>2</v>
      </c>
      <c r="CI65" s="4" t="s">
        <v>122</v>
      </c>
      <c r="CJ65" s="4" t="s">
        <v>122</v>
      </c>
      <c r="CK65" s="4" t="s">
        <v>125</v>
      </c>
      <c r="CL65" s="4" t="s">
        <v>122</v>
      </c>
      <c r="CM65" s="4" t="s">
        <v>122</v>
      </c>
      <c r="CN65" s="4" t="s">
        <v>122</v>
      </c>
      <c r="CO65" s="4" t="s">
        <v>122</v>
      </c>
      <c r="CP65" s="4" t="s">
        <v>122</v>
      </c>
      <c r="CQ65" s="4" t="s">
        <v>122</v>
      </c>
      <c r="CR65" s="4" t="s">
        <v>122</v>
      </c>
      <c r="CS65" s="3">
        <v>3</v>
      </c>
      <c r="CT65" s="3">
        <v>1</v>
      </c>
      <c r="CU65" s="3">
        <v>0</v>
      </c>
      <c r="CV65">
        <v>1</v>
      </c>
      <c r="CW65" cm="1">
        <f t="array" ref="CW65">_xlfn.IFS(CU65*1=1,1,CU65*1=2,1,TRUE,0)</f>
        <v>0</v>
      </c>
      <c r="CX65" s="3" t="e">
        <f>NA()</f>
        <v>#N/A</v>
      </c>
      <c r="CY65" s="3">
        <f t="shared" si="0"/>
        <v>4.5</v>
      </c>
      <c r="CZ65" s="3" cm="1">
        <f t="array" ref="CZ65">_xlfn.IFS(BP65&lt;&gt;"", BP65, CV65=1,  AQ65, CV65=0,  AZ65)</f>
        <v>4.5</v>
      </c>
      <c r="DA65" s="3" t="e">
        <f>NA()</f>
        <v>#N/A</v>
      </c>
      <c r="DB65" s="36">
        <f t="shared" si="1"/>
        <v>0</v>
      </c>
      <c r="DC65" s="3" t="e">
        <f t="shared" si="2"/>
        <v>#N/A</v>
      </c>
      <c r="DD65" s="3">
        <f t="shared" si="3"/>
        <v>0</v>
      </c>
      <c r="DE65" s="3">
        <f t="shared" si="4"/>
        <v>0</v>
      </c>
      <c r="DF65" s="3" t="e">
        <f t="shared" si="5"/>
        <v>#N/A</v>
      </c>
      <c r="DG65" s="3" t="e">
        <f t="shared" si="6"/>
        <v>#N/A</v>
      </c>
      <c r="DI65" s="62" t="s">
        <v>954</v>
      </c>
      <c r="DJ65" s="70">
        <f>AVERAGE($DB$2:$DB$340)</f>
        <v>-5.2958579881656802E-2</v>
      </c>
      <c r="DK65" s="70">
        <f>AVERAGE($DC$99:$DC$340)</f>
        <v>-0.42083333333333334</v>
      </c>
      <c r="DL65" s="70">
        <f>AVERAGE($DB$2:$DB$98, $DB$99:$DC$340)</f>
        <v>-0.20570934256055365</v>
      </c>
    </row>
    <row r="66" spans="1:116" x14ac:dyDescent="0.4">
      <c r="A66" s="3">
        <v>202410</v>
      </c>
      <c r="B66" s="3">
        <v>111</v>
      </c>
      <c r="C66" s="5">
        <v>45584.531331018516</v>
      </c>
      <c r="D66" s="5">
        <v>45584.534837962965</v>
      </c>
      <c r="E66" s="3">
        <v>0</v>
      </c>
      <c r="F66" s="4" t="s">
        <v>793</v>
      </c>
      <c r="G66" s="3">
        <v>100</v>
      </c>
      <c r="H66" s="3">
        <v>302</v>
      </c>
      <c r="I66" s="3">
        <v>1</v>
      </c>
      <c r="J66" s="5">
        <v>45584.534856099533</v>
      </c>
      <c r="K66" s="4" t="s">
        <v>794</v>
      </c>
      <c r="L66" s="4" t="s">
        <v>122</v>
      </c>
      <c r="M66" s="4" t="s">
        <v>122</v>
      </c>
      <c r="N66" s="4" t="s">
        <v>122</v>
      </c>
      <c r="O66" s="4" t="s">
        <v>122</v>
      </c>
      <c r="P66" s="3">
        <v>33.465600000000002</v>
      </c>
      <c r="Q66" s="3">
        <v>-111.9956</v>
      </c>
      <c r="R66" s="4" t="s">
        <v>129</v>
      </c>
      <c r="S66" s="4" t="s">
        <v>124</v>
      </c>
      <c r="T66" s="4" t="s">
        <v>795</v>
      </c>
      <c r="U66" s="3">
        <v>1</v>
      </c>
      <c r="V66" s="3">
        <v>3</v>
      </c>
      <c r="W66" s="3">
        <v>3</v>
      </c>
      <c r="X66" s="3">
        <v>1</v>
      </c>
      <c r="Y66" s="3">
        <v>3</v>
      </c>
      <c r="Z66" s="3">
        <v>4</v>
      </c>
      <c r="AA66" s="3">
        <v>2</v>
      </c>
      <c r="AG66" s="3">
        <v>2</v>
      </c>
      <c r="AH66" s="3">
        <v>6</v>
      </c>
      <c r="AI66" s="3">
        <v>3</v>
      </c>
      <c r="AJ66" s="3">
        <v>8</v>
      </c>
      <c r="AK66" s="3">
        <v>9</v>
      </c>
      <c r="AL66" s="3">
        <v>9</v>
      </c>
      <c r="AM66" s="3">
        <v>8</v>
      </c>
      <c r="AN66" s="3">
        <v>7</v>
      </c>
      <c r="AO66" s="3">
        <v>4</v>
      </c>
      <c r="AP66" s="3">
        <v>3</v>
      </c>
      <c r="AQ66" s="3">
        <v>6</v>
      </c>
      <c r="AR66" s="3">
        <v>3</v>
      </c>
      <c r="BC66" s="3">
        <v>6</v>
      </c>
      <c r="BD66" s="3">
        <v>3</v>
      </c>
      <c r="BE66" s="4" t="s">
        <v>122</v>
      </c>
      <c r="BF66" s="4" t="s">
        <v>122</v>
      </c>
      <c r="BG66" s="4" t="s">
        <v>122</v>
      </c>
      <c r="BH66" s="4"/>
      <c r="BI66" s="4" t="s">
        <v>125</v>
      </c>
      <c r="BJ66" s="4" t="s">
        <v>122</v>
      </c>
      <c r="BK66" s="4" t="s">
        <v>125</v>
      </c>
      <c r="BL66" s="4" t="s">
        <v>125</v>
      </c>
      <c r="BM66" s="4" t="s">
        <v>122</v>
      </c>
      <c r="BN66" s="3">
        <v>4</v>
      </c>
      <c r="BP66" s="4" t="s">
        <v>122</v>
      </c>
      <c r="BQ66" s="4" t="s">
        <v>122</v>
      </c>
      <c r="BR66" s="4" t="s">
        <v>122</v>
      </c>
      <c r="BS66" s="4" t="s">
        <v>122</v>
      </c>
      <c r="BT66" s="4" t="s">
        <v>122</v>
      </c>
      <c r="BU66" s="4"/>
      <c r="BV66" s="4" t="s">
        <v>122</v>
      </c>
      <c r="BW66" s="4" t="s">
        <v>122</v>
      </c>
      <c r="BX66" s="4" t="s">
        <v>122</v>
      </c>
      <c r="BY66" s="4" t="s">
        <v>122</v>
      </c>
      <c r="BZ66" s="4" t="s">
        <v>122</v>
      </c>
      <c r="CA66" s="4" t="s">
        <v>122</v>
      </c>
      <c r="CD66" s="4" t="s">
        <v>122</v>
      </c>
      <c r="CE66" s="4" t="s">
        <v>122</v>
      </c>
      <c r="CF66" s="3">
        <v>2</v>
      </c>
      <c r="CG66" s="4" t="s">
        <v>122</v>
      </c>
      <c r="CH66" s="3">
        <v>2</v>
      </c>
      <c r="CI66" s="4" t="s">
        <v>122</v>
      </c>
      <c r="CJ66" s="4" t="s">
        <v>122</v>
      </c>
      <c r="CK66" s="4" t="s">
        <v>122</v>
      </c>
      <c r="CL66" s="4" t="s">
        <v>122</v>
      </c>
      <c r="CM66" s="4" t="s">
        <v>122</v>
      </c>
      <c r="CN66" s="4" t="s">
        <v>122</v>
      </c>
      <c r="CO66" s="4" t="s">
        <v>125</v>
      </c>
      <c r="CP66" s="4" t="s">
        <v>122</v>
      </c>
      <c r="CQ66" s="4" t="s">
        <v>122</v>
      </c>
      <c r="CR66" s="4" t="s">
        <v>122</v>
      </c>
      <c r="CS66" s="3">
        <v>3</v>
      </c>
      <c r="CT66" s="3">
        <v>1</v>
      </c>
      <c r="CU66" s="3">
        <v>1</v>
      </c>
      <c r="CV66">
        <v>1</v>
      </c>
      <c r="CW66" cm="1">
        <f t="array" ref="CW66">_xlfn.IFS(CU66*1=1,1,CU66*1=2,1,TRUE,0)</f>
        <v>1</v>
      </c>
      <c r="CX66" s="3" t="e">
        <f>NA()</f>
        <v>#N/A</v>
      </c>
      <c r="CY66" s="3">
        <f t="shared" si="0"/>
        <v>6</v>
      </c>
      <c r="CZ66" s="3" cm="1">
        <f t="array" ref="CZ66">_xlfn.IFS(BP66&lt;&gt;"", BP66, CV66=1,  AQ66, CV66=0,  AZ66)</f>
        <v>6</v>
      </c>
      <c r="DA66" s="3" t="e">
        <f>NA()</f>
        <v>#N/A</v>
      </c>
      <c r="DB66" s="36">
        <f t="shared" si="1"/>
        <v>0</v>
      </c>
      <c r="DC66" s="3" t="e">
        <f t="shared" si="2"/>
        <v>#N/A</v>
      </c>
      <c r="DD66" s="3">
        <f t="shared" si="3"/>
        <v>0</v>
      </c>
      <c r="DE66" s="3">
        <f t="shared" si="4"/>
        <v>0</v>
      </c>
      <c r="DF66" s="3" t="e">
        <f t="shared" si="5"/>
        <v>#N/A</v>
      </c>
      <c r="DG66" s="3" t="e">
        <f t="shared" si="6"/>
        <v>#N/A</v>
      </c>
    </row>
    <row r="67" spans="1:116" x14ac:dyDescent="0.4">
      <c r="A67" s="3">
        <v>202410</v>
      </c>
      <c r="B67" s="3">
        <v>111</v>
      </c>
      <c r="C67" s="5">
        <v>45584.532199074078</v>
      </c>
      <c r="D67" s="5">
        <v>45584.535046296296</v>
      </c>
      <c r="E67" s="3">
        <v>0</v>
      </c>
      <c r="F67" s="4" t="s">
        <v>520</v>
      </c>
      <c r="G67" s="3">
        <v>100</v>
      </c>
      <c r="H67" s="3">
        <v>246</v>
      </c>
      <c r="I67" s="3">
        <v>1</v>
      </c>
      <c r="J67" s="5">
        <v>45584.535062893519</v>
      </c>
      <c r="K67" s="4" t="s">
        <v>796</v>
      </c>
      <c r="L67" s="4" t="s">
        <v>122</v>
      </c>
      <c r="M67" s="4" t="s">
        <v>122</v>
      </c>
      <c r="N67" s="4" t="s">
        <v>122</v>
      </c>
      <c r="O67" s="4" t="s">
        <v>122</v>
      </c>
      <c r="P67" s="3">
        <v>32.250300000000003</v>
      </c>
      <c r="Q67" s="3">
        <v>-110.94499999999999</v>
      </c>
      <c r="R67" s="4" t="s">
        <v>129</v>
      </c>
      <c r="S67" s="4" t="s">
        <v>124</v>
      </c>
      <c r="T67" s="4" t="s">
        <v>797</v>
      </c>
      <c r="U67" s="3">
        <v>1</v>
      </c>
      <c r="V67" s="3">
        <v>4</v>
      </c>
      <c r="W67" s="3">
        <v>4</v>
      </c>
      <c r="X67" s="3">
        <v>2</v>
      </c>
      <c r="Y67" s="3">
        <v>3</v>
      </c>
      <c r="Z67" s="3">
        <v>2</v>
      </c>
      <c r="AA67" s="3">
        <v>2</v>
      </c>
      <c r="AG67" s="3">
        <v>2</v>
      </c>
      <c r="AH67" s="3">
        <v>5.5</v>
      </c>
      <c r="AI67" s="3">
        <v>2</v>
      </c>
      <c r="AJ67" s="3">
        <v>6</v>
      </c>
      <c r="AK67" s="3">
        <v>8</v>
      </c>
      <c r="AL67" s="3">
        <v>6</v>
      </c>
      <c r="AM67" s="3">
        <v>6</v>
      </c>
      <c r="AN67" s="3">
        <v>4</v>
      </c>
      <c r="AO67" s="3">
        <v>4</v>
      </c>
      <c r="AP67" s="3">
        <v>2</v>
      </c>
      <c r="AQ67" s="4" t="s">
        <v>122</v>
      </c>
      <c r="AR67" s="4" t="s">
        <v>122</v>
      </c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 t="s">
        <v>122</v>
      </c>
      <c r="BD67" s="4" t="s">
        <v>122</v>
      </c>
      <c r="BE67" s="4" t="s">
        <v>122</v>
      </c>
      <c r="BF67" s="4" t="s">
        <v>122</v>
      </c>
      <c r="BG67" s="4" t="s">
        <v>122</v>
      </c>
      <c r="BH67" s="4"/>
      <c r="BI67" s="4" t="s">
        <v>122</v>
      </c>
      <c r="BJ67" s="4" t="s">
        <v>122</v>
      </c>
      <c r="BK67" s="4" t="s">
        <v>122</v>
      </c>
      <c r="BL67" s="4" t="s">
        <v>122</v>
      </c>
      <c r="BM67" s="4" t="s">
        <v>122</v>
      </c>
      <c r="BN67" s="4" t="s">
        <v>122</v>
      </c>
      <c r="BO67" s="4"/>
      <c r="BP67" s="3">
        <v>5.5</v>
      </c>
      <c r="BQ67" s="3">
        <v>2</v>
      </c>
      <c r="BR67" s="4" t="s">
        <v>125</v>
      </c>
      <c r="BS67" s="4" t="s">
        <v>122</v>
      </c>
      <c r="BT67" s="4" t="s">
        <v>125</v>
      </c>
      <c r="BU67" s="4"/>
      <c r="BV67" s="4" t="s">
        <v>122</v>
      </c>
      <c r="BW67" s="4" t="s">
        <v>122</v>
      </c>
      <c r="BX67" s="4" t="s">
        <v>125</v>
      </c>
      <c r="BY67" s="4" t="s">
        <v>122</v>
      </c>
      <c r="BZ67" s="4" t="s">
        <v>122</v>
      </c>
      <c r="CA67" s="3">
        <v>1</v>
      </c>
      <c r="CD67" s="3">
        <v>5</v>
      </c>
      <c r="CE67" s="3">
        <v>2</v>
      </c>
      <c r="CF67" s="3">
        <v>2</v>
      </c>
      <c r="CG67" s="4" t="s">
        <v>122</v>
      </c>
      <c r="CH67" s="3">
        <v>2</v>
      </c>
      <c r="CI67" s="4" t="s">
        <v>122</v>
      </c>
      <c r="CJ67" s="4" t="s">
        <v>122</v>
      </c>
      <c r="CK67" s="4" t="s">
        <v>122</v>
      </c>
      <c r="CL67" s="4" t="s">
        <v>122</v>
      </c>
      <c r="CM67" s="4" t="s">
        <v>122</v>
      </c>
      <c r="CN67" s="4" t="s">
        <v>122</v>
      </c>
      <c r="CO67" s="4" t="s">
        <v>125</v>
      </c>
      <c r="CP67" s="4" t="s">
        <v>122</v>
      </c>
      <c r="CQ67" s="4" t="s">
        <v>122</v>
      </c>
      <c r="CR67" s="4" t="s">
        <v>122</v>
      </c>
      <c r="CS67" s="3">
        <v>3</v>
      </c>
      <c r="CT67" s="3">
        <v>4</v>
      </c>
      <c r="CU67" s="3">
        <v>0</v>
      </c>
      <c r="CV67">
        <v>1</v>
      </c>
      <c r="CW67" cm="1">
        <f t="array" ref="CW67">_xlfn.IFS(CU67*1=1,1,CU67*1=2,1,TRUE,0)</f>
        <v>0</v>
      </c>
      <c r="CX67" s="3" t="e">
        <f>NA()</f>
        <v>#N/A</v>
      </c>
      <c r="CY67" s="3">
        <f t="shared" ref="CY67:CY130" si="11">IF(BC67&lt;&gt;"",BC67,IF(CD67&lt;&gt;"",CD67,""))</f>
        <v>5</v>
      </c>
      <c r="CZ67" s="3" cm="1">
        <f t="array" ref="CZ67">_xlfn.IFS(BP67&lt;&gt;"", BP67, CV67=1,  AQ67, CV67=0,  AZ67)</f>
        <v>5.5</v>
      </c>
      <c r="DA67" s="3" t="e">
        <f>NA()</f>
        <v>#N/A</v>
      </c>
      <c r="DB67" s="36">
        <f t="shared" ref="DB67:DB130" si="12">IF(COUNT(CY67,AH67)=2,CY67-AH67,"")</f>
        <v>-0.5</v>
      </c>
      <c r="DC67" s="3" t="e">
        <f t="shared" ref="DC67:DC130" si="13">CX67-AH67</f>
        <v>#N/A</v>
      </c>
      <c r="DD67" s="3">
        <f t="shared" ref="DD67:DD130" si="14">IF($CW67=1,CZ67-$AH67,CY67-$AH67)</f>
        <v>-0.5</v>
      </c>
      <c r="DE67" s="3">
        <f t="shared" ref="DE67:DE130" si="15">IF($CW67=1,CY67-$AH67,CZ67-$AH67)</f>
        <v>0</v>
      </c>
      <c r="DF67" s="3" t="e">
        <f t="shared" ref="DF67:DF130" si="16">IF($CW67=1,$DA67-$AH67,$CX67-$AH67)</f>
        <v>#N/A</v>
      </c>
      <c r="DG67" s="3" t="e">
        <f t="shared" ref="DG67:DG130" si="17">IF($CW67=1,$CX67-$AH67, $DA67-$AH67)</f>
        <v>#N/A</v>
      </c>
    </row>
    <row r="68" spans="1:116" x14ac:dyDescent="0.4">
      <c r="A68" s="3">
        <v>202410</v>
      </c>
      <c r="B68" s="3">
        <v>111</v>
      </c>
      <c r="C68" s="5">
        <v>45584.533043981479</v>
      </c>
      <c r="D68" s="5">
        <v>45584.536504629628</v>
      </c>
      <c r="E68" s="3">
        <v>0</v>
      </c>
      <c r="F68" s="4" t="s">
        <v>801</v>
      </c>
      <c r="G68" s="3">
        <v>100</v>
      </c>
      <c r="H68" s="3">
        <v>298</v>
      </c>
      <c r="I68" s="3">
        <v>1</v>
      </c>
      <c r="J68" s="5">
        <v>45584.536518449073</v>
      </c>
      <c r="K68" s="4" t="s">
        <v>802</v>
      </c>
      <c r="L68" s="4" t="s">
        <v>122</v>
      </c>
      <c r="M68" s="4" t="s">
        <v>122</v>
      </c>
      <c r="N68" s="4" t="s">
        <v>122</v>
      </c>
      <c r="O68" s="4" t="s">
        <v>122</v>
      </c>
      <c r="P68" s="3">
        <v>33.533900000000003</v>
      </c>
      <c r="Q68" s="3">
        <v>-112.1722</v>
      </c>
      <c r="R68" s="4" t="s">
        <v>129</v>
      </c>
      <c r="S68" s="4" t="s">
        <v>124</v>
      </c>
      <c r="T68" s="4" t="s">
        <v>803</v>
      </c>
      <c r="U68" s="3">
        <v>1</v>
      </c>
      <c r="V68" s="3">
        <v>4</v>
      </c>
      <c r="W68" s="3">
        <v>3</v>
      </c>
      <c r="X68" s="3">
        <v>1</v>
      </c>
      <c r="Y68" s="3">
        <v>1</v>
      </c>
      <c r="Z68" s="3">
        <v>1</v>
      </c>
      <c r="AA68" s="3">
        <v>1</v>
      </c>
      <c r="AG68" s="3">
        <v>2</v>
      </c>
      <c r="AH68" s="3">
        <v>4</v>
      </c>
      <c r="AI68" s="3">
        <v>3</v>
      </c>
      <c r="AJ68" s="3">
        <v>7</v>
      </c>
      <c r="AK68" s="3">
        <v>9</v>
      </c>
      <c r="AL68" s="3">
        <v>5</v>
      </c>
      <c r="AM68" s="3">
        <v>7</v>
      </c>
      <c r="AN68" s="3">
        <v>7</v>
      </c>
      <c r="AO68" s="3">
        <v>2</v>
      </c>
      <c r="AP68" s="3">
        <v>2</v>
      </c>
      <c r="AQ68" s="4" t="s">
        <v>122</v>
      </c>
      <c r="AR68" s="4" t="s">
        <v>122</v>
      </c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 t="s">
        <v>122</v>
      </c>
      <c r="BD68" s="4" t="s">
        <v>122</v>
      </c>
      <c r="BE68" s="4" t="s">
        <v>122</v>
      </c>
      <c r="BF68" s="4" t="s">
        <v>122</v>
      </c>
      <c r="BG68" s="4" t="s">
        <v>122</v>
      </c>
      <c r="BH68" s="4"/>
      <c r="BI68" s="4" t="s">
        <v>122</v>
      </c>
      <c r="BJ68" s="4" t="s">
        <v>122</v>
      </c>
      <c r="BK68" s="4" t="s">
        <v>122</v>
      </c>
      <c r="BL68" s="4" t="s">
        <v>122</v>
      </c>
      <c r="BM68" s="4" t="s">
        <v>122</v>
      </c>
      <c r="BN68" s="4" t="s">
        <v>122</v>
      </c>
      <c r="BO68" s="4"/>
      <c r="BP68" s="3">
        <v>4</v>
      </c>
      <c r="BQ68" s="3">
        <v>2</v>
      </c>
      <c r="BR68" s="4" t="s">
        <v>125</v>
      </c>
      <c r="BS68" s="4" t="s">
        <v>122</v>
      </c>
      <c r="BT68" s="4" t="s">
        <v>125</v>
      </c>
      <c r="BU68" s="4"/>
      <c r="BV68" s="4" t="s">
        <v>125</v>
      </c>
      <c r="BW68" s="4" t="s">
        <v>122</v>
      </c>
      <c r="BX68" s="4" t="s">
        <v>122</v>
      </c>
      <c r="BY68" s="4" t="s">
        <v>122</v>
      </c>
      <c r="BZ68" s="4" t="s">
        <v>122</v>
      </c>
      <c r="CA68" s="3">
        <v>3</v>
      </c>
      <c r="CD68" s="3">
        <v>4</v>
      </c>
      <c r="CE68" s="3">
        <v>3</v>
      </c>
      <c r="CF68" s="3">
        <v>2</v>
      </c>
      <c r="CG68" s="4" t="s">
        <v>122</v>
      </c>
      <c r="CH68" s="3">
        <v>2</v>
      </c>
      <c r="CI68" s="4" t="s">
        <v>125</v>
      </c>
      <c r="CJ68" s="4" t="s">
        <v>122</v>
      </c>
      <c r="CK68" s="4" t="s">
        <v>122</v>
      </c>
      <c r="CL68" s="4" t="s">
        <v>122</v>
      </c>
      <c r="CM68" s="4" t="s">
        <v>122</v>
      </c>
      <c r="CN68" s="4" t="s">
        <v>122</v>
      </c>
      <c r="CO68" s="4" t="s">
        <v>122</v>
      </c>
      <c r="CP68" s="4" t="s">
        <v>122</v>
      </c>
      <c r="CQ68" s="4" t="s">
        <v>122</v>
      </c>
      <c r="CR68" s="4" t="s">
        <v>122</v>
      </c>
      <c r="CS68" s="3">
        <v>4</v>
      </c>
      <c r="CT68" s="3">
        <v>3</v>
      </c>
      <c r="CU68" s="3">
        <v>0</v>
      </c>
      <c r="CV68">
        <v>1</v>
      </c>
      <c r="CW68" cm="1">
        <f t="array" ref="CW68">_xlfn.IFS(CU68*1=1,1,CU68*1=2,1,TRUE,0)</f>
        <v>0</v>
      </c>
      <c r="CX68" s="3" t="e">
        <f>NA()</f>
        <v>#N/A</v>
      </c>
      <c r="CY68" s="3">
        <f t="shared" si="11"/>
        <v>4</v>
      </c>
      <c r="CZ68" s="3" cm="1">
        <f t="array" ref="CZ68">_xlfn.IFS(BP68&lt;&gt;"", BP68, CV68=1,  AQ68, CV68=0,  AZ68)</f>
        <v>4</v>
      </c>
      <c r="DA68" s="3" t="e">
        <f>NA()</f>
        <v>#N/A</v>
      </c>
      <c r="DB68" s="36">
        <f t="shared" si="12"/>
        <v>0</v>
      </c>
      <c r="DC68" s="3" t="e">
        <f t="shared" si="13"/>
        <v>#N/A</v>
      </c>
      <c r="DD68" s="3">
        <f t="shared" si="14"/>
        <v>0</v>
      </c>
      <c r="DE68" s="3">
        <f t="shared" si="15"/>
        <v>0</v>
      </c>
      <c r="DF68" s="3" t="e">
        <f t="shared" si="16"/>
        <v>#N/A</v>
      </c>
      <c r="DG68" s="3" t="e">
        <f t="shared" si="17"/>
        <v>#N/A</v>
      </c>
    </row>
    <row r="69" spans="1:116" x14ac:dyDescent="0.4">
      <c r="A69" s="3">
        <v>202410</v>
      </c>
      <c r="B69" s="3">
        <v>111</v>
      </c>
      <c r="C69" s="5">
        <v>45584.535208333335</v>
      </c>
      <c r="D69" s="5">
        <v>45584.538159722222</v>
      </c>
      <c r="E69" s="3">
        <v>0</v>
      </c>
      <c r="F69" s="4" t="s">
        <v>804</v>
      </c>
      <c r="G69" s="3">
        <v>100</v>
      </c>
      <c r="H69" s="3">
        <v>254</v>
      </c>
      <c r="I69" s="3">
        <v>1</v>
      </c>
      <c r="J69" s="5">
        <v>45584.538178275463</v>
      </c>
      <c r="K69" s="4" t="s">
        <v>805</v>
      </c>
      <c r="L69" s="4" t="s">
        <v>122</v>
      </c>
      <c r="M69" s="4" t="s">
        <v>122</v>
      </c>
      <c r="N69" s="4" t="s">
        <v>122</v>
      </c>
      <c r="O69" s="4" t="s">
        <v>122</v>
      </c>
      <c r="P69" s="3">
        <v>33.6325</v>
      </c>
      <c r="Q69" s="3">
        <v>-112.1277</v>
      </c>
      <c r="R69" s="4" t="s">
        <v>129</v>
      </c>
      <c r="S69" s="4" t="s">
        <v>124</v>
      </c>
      <c r="T69" s="4" t="s">
        <v>806</v>
      </c>
      <c r="U69" s="3">
        <v>1</v>
      </c>
      <c r="V69" s="3">
        <v>2</v>
      </c>
      <c r="W69" s="3">
        <v>3</v>
      </c>
      <c r="X69" s="3">
        <v>1</v>
      </c>
      <c r="Y69" s="3">
        <v>1</v>
      </c>
      <c r="Z69" s="3">
        <v>1</v>
      </c>
      <c r="AA69" s="3">
        <v>1</v>
      </c>
      <c r="AG69" s="3">
        <v>3</v>
      </c>
      <c r="AH69" s="3">
        <v>0</v>
      </c>
      <c r="AI69" s="4" t="s">
        <v>122</v>
      </c>
      <c r="AJ69" s="3">
        <v>8</v>
      </c>
      <c r="AK69" s="3">
        <v>8</v>
      </c>
      <c r="AL69" s="3">
        <v>8</v>
      </c>
      <c r="AM69" s="3">
        <v>8</v>
      </c>
      <c r="AN69" s="3">
        <v>7</v>
      </c>
      <c r="AO69" s="3">
        <v>2</v>
      </c>
      <c r="AP69" s="3">
        <v>3</v>
      </c>
      <c r="AQ69" s="3">
        <v>6</v>
      </c>
      <c r="AR69" s="3">
        <v>2</v>
      </c>
      <c r="BC69" s="3">
        <v>6</v>
      </c>
      <c r="BD69" s="3">
        <v>2</v>
      </c>
      <c r="BE69" s="4" t="s">
        <v>125</v>
      </c>
      <c r="BF69" s="4" t="s">
        <v>122</v>
      </c>
      <c r="BG69" s="4" t="s">
        <v>125</v>
      </c>
      <c r="BH69" s="4"/>
      <c r="BI69" s="4" t="s">
        <v>122</v>
      </c>
      <c r="BJ69" s="4" t="s">
        <v>122</v>
      </c>
      <c r="BK69" s="4" t="s">
        <v>122</v>
      </c>
      <c r="BL69" s="4" t="s">
        <v>122</v>
      </c>
      <c r="BM69" s="4" t="s">
        <v>122</v>
      </c>
      <c r="BN69" s="3">
        <v>3</v>
      </c>
      <c r="BP69" s="4" t="s">
        <v>122</v>
      </c>
      <c r="BQ69" s="4" t="s">
        <v>122</v>
      </c>
      <c r="BR69" s="4" t="s">
        <v>122</v>
      </c>
      <c r="BS69" s="4" t="s">
        <v>122</v>
      </c>
      <c r="BT69" s="4" t="s">
        <v>122</v>
      </c>
      <c r="BU69" s="4"/>
      <c r="BV69" s="4" t="s">
        <v>122</v>
      </c>
      <c r="BW69" s="4" t="s">
        <v>122</v>
      </c>
      <c r="BX69" s="4" t="s">
        <v>122</v>
      </c>
      <c r="BY69" s="4" t="s">
        <v>122</v>
      </c>
      <c r="BZ69" s="4" t="s">
        <v>122</v>
      </c>
      <c r="CA69" s="4" t="s">
        <v>122</v>
      </c>
      <c r="CD69" s="4" t="s">
        <v>122</v>
      </c>
      <c r="CE69" s="4" t="s">
        <v>122</v>
      </c>
      <c r="CF69" s="3">
        <v>1</v>
      </c>
      <c r="CG69" s="4" t="s">
        <v>122</v>
      </c>
      <c r="CH69" s="3">
        <v>2</v>
      </c>
      <c r="CI69" s="4" t="s">
        <v>122</v>
      </c>
      <c r="CJ69" s="4" t="s">
        <v>122</v>
      </c>
      <c r="CK69" s="4" t="s">
        <v>122</v>
      </c>
      <c r="CL69" s="4" t="s">
        <v>125</v>
      </c>
      <c r="CM69" s="4" t="s">
        <v>122</v>
      </c>
      <c r="CN69" s="4" t="s">
        <v>122</v>
      </c>
      <c r="CO69" s="4" t="s">
        <v>122</v>
      </c>
      <c r="CP69" s="4" t="s">
        <v>122</v>
      </c>
      <c r="CQ69" s="4" t="s">
        <v>122</v>
      </c>
      <c r="CR69" s="4" t="s">
        <v>122</v>
      </c>
      <c r="CS69" s="3">
        <v>4</v>
      </c>
      <c r="CT69" s="3">
        <v>4</v>
      </c>
      <c r="CU69" s="3">
        <v>1</v>
      </c>
      <c r="CV69">
        <v>1</v>
      </c>
      <c r="CW69" cm="1">
        <f t="array" ref="CW69">_xlfn.IFS(CU69*1=1,1,CU69*1=2,1,TRUE,0)</f>
        <v>1</v>
      </c>
      <c r="CX69" s="3" t="e">
        <f>NA()</f>
        <v>#N/A</v>
      </c>
      <c r="CY69" s="3">
        <f t="shared" si="11"/>
        <v>6</v>
      </c>
      <c r="CZ69" s="3" cm="1">
        <f t="array" ref="CZ69">_xlfn.IFS(BP69&lt;&gt;"", BP69, CV69=1,  AQ69, CV69=0,  AZ69)</f>
        <v>6</v>
      </c>
      <c r="DA69" s="3" t="e">
        <f>NA()</f>
        <v>#N/A</v>
      </c>
      <c r="DB69" s="36">
        <f t="shared" si="12"/>
        <v>6</v>
      </c>
      <c r="DC69" s="3" t="e">
        <f t="shared" si="13"/>
        <v>#N/A</v>
      </c>
      <c r="DD69" s="3">
        <f t="shared" si="14"/>
        <v>6</v>
      </c>
      <c r="DE69" s="3">
        <f t="shared" si="15"/>
        <v>6</v>
      </c>
      <c r="DF69" s="3" t="e">
        <f t="shared" si="16"/>
        <v>#N/A</v>
      </c>
      <c r="DG69" s="3" t="e">
        <f t="shared" si="17"/>
        <v>#N/A</v>
      </c>
    </row>
    <row r="70" spans="1:116" x14ac:dyDescent="0.4">
      <c r="A70" s="3">
        <v>202410</v>
      </c>
      <c r="B70" s="3">
        <v>111</v>
      </c>
      <c r="C70" s="5">
        <v>45584.535219907404</v>
      </c>
      <c r="D70" s="5">
        <v>45584.538344907407</v>
      </c>
      <c r="E70" s="3">
        <v>0</v>
      </c>
      <c r="F70" s="4" t="s">
        <v>353</v>
      </c>
      <c r="G70" s="3">
        <v>100</v>
      </c>
      <c r="H70" s="3">
        <v>270</v>
      </c>
      <c r="I70" s="3">
        <v>1</v>
      </c>
      <c r="J70" s="5">
        <v>45584.538367256944</v>
      </c>
      <c r="K70" s="4" t="s">
        <v>807</v>
      </c>
      <c r="L70" s="4" t="s">
        <v>122</v>
      </c>
      <c r="M70" s="4" t="s">
        <v>122</v>
      </c>
      <c r="N70" s="4" t="s">
        <v>122</v>
      </c>
      <c r="O70" s="4" t="s">
        <v>122</v>
      </c>
      <c r="P70" s="3">
        <v>33.514099999999999</v>
      </c>
      <c r="Q70" s="3">
        <v>-112.12350000000001</v>
      </c>
      <c r="R70" s="4" t="s">
        <v>129</v>
      </c>
      <c r="S70" s="4" t="s">
        <v>124</v>
      </c>
      <c r="T70" s="4" t="s">
        <v>808</v>
      </c>
      <c r="U70" s="3">
        <v>1</v>
      </c>
      <c r="V70" s="3">
        <v>4</v>
      </c>
      <c r="W70" s="3">
        <v>2</v>
      </c>
      <c r="X70" s="3">
        <v>1</v>
      </c>
      <c r="Y70" s="3">
        <v>1</v>
      </c>
      <c r="Z70" s="3">
        <v>2</v>
      </c>
      <c r="AA70" s="3">
        <v>1</v>
      </c>
      <c r="AG70" s="3">
        <v>3</v>
      </c>
      <c r="AH70" s="3">
        <v>0</v>
      </c>
      <c r="AI70" s="4" t="s">
        <v>122</v>
      </c>
      <c r="AJ70" s="3">
        <v>7</v>
      </c>
      <c r="AK70" s="3">
        <v>8</v>
      </c>
      <c r="AL70" s="3">
        <v>8</v>
      </c>
      <c r="AM70" s="3">
        <v>7</v>
      </c>
      <c r="AN70" s="3">
        <v>7</v>
      </c>
      <c r="AO70" s="3">
        <v>1</v>
      </c>
      <c r="AP70" s="3">
        <v>2</v>
      </c>
      <c r="AQ70" s="3">
        <v>5</v>
      </c>
      <c r="AR70" s="3">
        <v>2</v>
      </c>
      <c r="BC70" s="3">
        <v>5</v>
      </c>
      <c r="BD70" s="3">
        <v>2</v>
      </c>
      <c r="BE70" s="4" t="s">
        <v>122</v>
      </c>
      <c r="BF70" s="4" t="s">
        <v>122</v>
      </c>
      <c r="BG70" s="4" t="s">
        <v>125</v>
      </c>
      <c r="BH70" s="4"/>
      <c r="BI70" s="4" t="s">
        <v>122</v>
      </c>
      <c r="BJ70" s="4" t="s">
        <v>122</v>
      </c>
      <c r="BK70" s="4" t="s">
        <v>122</v>
      </c>
      <c r="BL70" s="4" t="s">
        <v>122</v>
      </c>
      <c r="BM70" s="4" t="s">
        <v>122</v>
      </c>
      <c r="BN70" s="3">
        <v>3</v>
      </c>
      <c r="BP70" s="4" t="s">
        <v>122</v>
      </c>
      <c r="BQ70" s="4" t="s">
        <v>122</v>
      </c>
      <c r="BR70" s="4" t="s">
        <v>122</v>
      </c>
      <c r="BS70" s="4" t="s">
        <v>122</v>
      </c>
      <c r="BT70" s="4" t="s">
        <v>122</v>
      </c>
      <c r="BU70" s="4"/>
      <c r="BV70" s="4" t="s">
        <v>122</v>
      </c>
      <c r="BW70" s="4" t="s">
        <v>122</v>
      </c>
      <c r="BX70" s="4" t="s">
        <v>122</v>
      </c>
      <c r="BY70" s="4" t="s">
        <v>122</v>
      </c>
      <c r="BZ70" s="4" t="s">
        <v>122</v>
      </c>
      <c r="CA70" s="4" t="s">
        <v>122</v>
      </c>
      <c r="CD70" s="4" t="s">
        <v>122</v>
      </c>
      <c r="CE70" s="4" t="s">
        <v>122</v>
      </c>
      <c r="CF70" s="3">
        <v>1</v>
      </c>
      <c r="CG70" s="4" t="s">
        <v>122</v>
      </c>
      <c r="CH70" s="3">
        <v>2</v>
      </c>
      <c r="CI70" s="4" t="s">
        <v>122</v>
      </c>
      <c r="CJ70" s="4" t="s">
        <v>122</v>
      </c>
      <c r="CK70" s="4" t="s">
        <v>122</v>
      </c>
      <c r="CL70" s="4" t="s">
        <v>125</v>
      </c>
      <c r="CM70" s="4" t="s">
        <v>122</v>
      </c>
      <c r="CN70" s="4" t="s">
        <v>125</v>
      </c>
      <c r="CO70" s="4" t="s">
        <v>125</v>
      </c>
      <c r="CP70" s="4" t="s">
        <v>122</v>
      </c>
      <c r="CQ70" s="4" t="s">
        <v>122</v>
      </c>
      <c r="CR70" s="4" t="s">
        <v>122</v>
      </c>
      <c r="CS70" s="3">
        <v>4</v>
      </c>
      <c r="CT70" s="3">
        <v>-999</v>
      </c>
      <c r="CU70" s="3">
        <v>1</v>
      </c>
      <c r="CV70">
        <v>1</v>
      </c>
      <c r="CW70" cm="1">
        <f t="array" ref="CW70">_xlfn.IFS(CU70*1=1,1,CU70*1=2,1,TRUE,0)</f>
        <v>1</v>
      </c>
      <c r="CX70" s="3" t="e">
        <f>NA()</f>
        <v>#N/A</v>
      </c>
      <c r="CY70" s="3">
        <f t="shared" si="11"/>
        <v>5</v>
      </c>
      <c r="CZ70" s="3" cm="1">
        <f t="array" ref="CZ70">_xlfn.IFS(BP70&lt;&gt;"", BP70, CV70=1,  AQ70, CV70=0,  AZ70)</f>
        <v>5</v>
      </c>
      <c r="DA70" s="3" t="e">
        <f>NA()</f>
        <v>#N/A</v>
      </c>
      <c r="DB70" s="36">
        <f t="shared" si="12"/>
        <v>5</v>
      </c>
      <c r="DC70" s="3" t="e">
        <f t="shared" si="13"/>
        <v>#N/A</v>
      </c>
      <c r="DD70" s="3">
        <f t="shared" si="14"/>
        <v>5</v>
      </c>
      <c r="DE70" s="3">
        <f t="shared" si="15"/>
        <v>5</v>
      </c>
      <c r="DF70" s="3" t="e">
        <f t="shared" si="16"/>
        <v>#N/A</v>
      </c>
      <c r="DG70" s="3" t="e">
        <f t="shared" si="17"/>
        <v>#N/A</v>
      </c>
    </row>
    <row r="71" spans="1:116" x14ac:dyDescent="0.4">
      <c r="A71" s="3">
        <v>202410</v>
      </c>
      <c r="B71" s="3">
        <v>111</v>
      </c>
      <c r="C71" s="5">
        <v>45584.539305555554</v>
      </c>
      <c r="D71" s="5">
        <v>45584.541805555556</v>
      </c>
      <c r="E71" s="3">
        <v>0</v>
      </c>
      <c r="F71" s="4" t="s">
        <v>809</v>
      </c>
      <c r="G71" s="3">
        <v>100</v>
      </c>
      <c r="H71" s="3">
        <v>215</v>
      </c>
      <c r="I71" s="3">
        <v>1</v>
      </c>
      <c r="J71" s="5">
        <v>45584.541820254628</v>
      </c>
      <c r="K71" s="4" t="s">
        <v>810</v>
      </c>
      <c r="L71" s="4" t="s">
        <v>122</v>
      </c>
      <c r="M71" s="4" t="s">
        <v>122</v>
      </c>
      <c r="N71" s="4" t="s">
        <v>122</v>
      </c>
      <c r="O71" s="4" t="s">
        <v>122</v>
      </c>
      <c r="P71" s="3">
        <v>33.4602</v>
      </c>
      <c r="Q71" s="3">
        <v>-112.13339999999999</v>
      </c>
      <c r="R71" s="4" t="s">
        <v>129</v>
      </c>
      <c r="S71" s="4" t="s">
        <v>124</v>
      </c>
      <c r="T71" s="4" t="s">
        <v>811</v>
      </c>
      <c r="U71" s="3">
        <v>1</v>
      </c>
      <c r="V71" s="3">
        <v>5</v>
      </c>
      <c r="W71" s="3">
        <v>4</v>
      </c>
      <c r="X71" s="3">
        <v>1</v>
      </c>
      <c r="Y71" s="3">
        <v>2</v>
      </c>
      <c r="Z71" s="3">
        <v>2</v>
      </c>
      <c r="AA71" s="3">
        <v>1</v>
      </c>
      <c r="AG71" s="3">
        <v>2</v>
      </c>
      <c r="AH71" s="3">
        <v>4</v>
      </c>
      <c r="AI71" s="3">
        <v>2</v>
      </c>
      <c r="AJ71" s="3">
        <v>8</v>
      </c>
      <c r="AK71" s="3">
        <v>8</v>
      </c>
      <c r="AL71" s="3">
        <v>7</v>
      </c>
      <c r="AM71" s="3">
        <v>8</v>
      </c>
      <c r="AN71" s="3">
        <v>8</v>
      </c>
      <c r="AO71" s="3">
        <v>2</v>
      </c>
      <c r="AP71" s="3">
        <v>3</v>
      </c>
      <c r="AQ71" s="4" t="s">
        <v>122</v>
      </c>
      <c r="AR71" s="4" t="s">
        <v>122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 t="s">
        <v>122</v>
      </c>
      <c r="BD71" s="4" t="s">
        <v>122</v>
      </c>
      <c r="BE71" s="4" t="s">
        <v>122</v>
      </c>
      <c r="BF71" s="4" t="s">
        <v>122</v>
      </c>
      <c r="BG71" s="4" t="s">
        <v>122</v>
      </c>
      <c r="BH71" s="4"/>
      <c r="BI71" s="4" t="s">
        <v>122</v>
      </c>
      <c r="BJ71" s="4" t="s">
        <v>122</v>
      </c>
      <c r="BK71" s="4" t="s">
        <v>122</v>
      </c>
      <c r="BL71" s="4" t="s">
        <v>122</v>
      </c>
      <c r="BM71" s="4" t="s">
        <v>122</v>
      </c>
      <c r="BN71" s="4" t="s">
        <v>122</v>
      </c>
      <c r="BO71" s="4"/>
      <c r="BP71" s="3">
        <v>4</v>
      </c>
      <c r="BQ71" s="3">
        <v>2</v>
      </c>
      <c r="BR71" s="4" t="s">
        <v>125</v>
      </c>
      <c r="BS71" s="4" t="s">
        <v>122</v>
      </c>
      <c r="BT71" s="4" t="s">
        <v>122</v>
      </c>
      <c r="BU71" s="4"/>
      <c r="BV71" s="4" t="s">
        <v>122</v>
      </c>
      <c r="BW71" s="4" t="s">
        <v>122</v>
      </c>
      <c r="BX71" s="4" t="s">
        <v>122</v>
      </c>
      <c r="BY71" s="4" t="s">
        <v>125</v>
      </c>
      <c r="BZ71" s="4" t="s">
        <v>122</v>
      </c>
      <c r="CA71" s="3">
        <v>1</v>
      </c>
      <c r="CD71" s="3">
        <v>5</v>
      </c>
      <c r="CE71" s="3">
        <v>2</v>
      </c>
      <c r="CF71" s="3">
        <v>1</v>
      </c>
      <c r="CG71" s="4" t="s">
        <v>122</v>
      </c>
      <c r="CH71" s="3">
        <v>2</v>
      </c>
      <c r="CI71" s="4" t="s">
        <v>122</v>
      </c>
      <c r="CJ71" s="4" t="s">
        <v>122</v>
      </c>
      <c r="CK71" s="4" t="s">
        <v>122</v>
      </c>
      <c r="CL71" s="4" t="s">
        <v>125</v>
      </c>
      <c r="CM71" s="4" t="s">
        <v>122</v>
      </c>
      <c r="CN71" s="4" t="s">
        <v>122</v>
      </c>
      <c r="CO71" s="4" t="s">
        <v>122</v>
      </c>
      <c r="CP71" s="4" t="s">
        <v>122</v>
      </c>
      <c r="CQ71" s="4" t="s">
        <v>122</v>
      </c>
      <c r="CR71" s="4" t="s">
        <v>122</v>
      </c>
      <c r="CS71" s="3">
        <v>4</v>
      </c>
      <c r="CT71" s="3">
        <v>-999</v>
      </c>
      <c r="CU71" s="3">
        <v>0</v>
      </c>
      <c r="CV71">
        <v>1</v>
      </c>
      <c r="CW71" cm="1">
        <f t="array" ref="CW71">_xlfn.IFS(CU71*1=1,1,CU71*1=2,1,TRUE,0)</f>
        <v>0</v>
      </c>
      <c r="CX71" s="3" t="e">
        <f>NA()</f>
        <v>#N/A</v>
      </c>
      <c r="CY71" s="3">
        <f t="shared" si="11"/>
        <v>5</v>
      </c>
      <c r="CZ71" s="3" cm="1">
        <f t="array" ref="CZ71">_xlfn.IFS(BP71&lt;&gt;"", BP71, CV71=1,  AQ71, CV71=0,  AZ71)</f>
        <v>4</v>
      </c>
      <c r="DA71" s="3" t="e">
        <f>NA()</f>
        <v>#N/A</v>
      </c>
      <c r="DB71" s="36">
        <f t="shared" si="12"/>
        <v>1</v>
      </c>
      <c r="DC71" s="3" t="e">
        <f t="shared" si="13"/>
        <v>#N/A</v>
      </c>
      <c r="DD71" s="3">
        <f t="shared" si="14"/>
        <v>1</v>
      </c>
      <c r="DE71" s="3">
        <f t="shared" si="15"/>
        <v>0</v>
      </c>
      <c r="DF71" s="3" t="e">
        <f t="shared" si="16"/>
        <v>#N/A</v>
      </c>
      <c r="DG71" s="3" t="e">
        <f t="shared" si="17"/>
        <v>#N/A</v>
      </c>
    </row>
    <row r="72" spans="1:116" x14ac:dyDescent="0.4">
      <c r="A72" s="3">
        <v>202410</v>
      </c>
      <c r="B72" s="3">
        <v>111</v>
      </c>
      <c r="C72" s="5">
        <v>45584.540972222225</v>
      </c>
      <c r="D72" s="5">
        <v>45584.543726851851</v>
      </c>
      <c r="E72" s="3">
        <v>0</v>
      </c>
      <c r="F72" s="4" t="s">
        <v>812</v>
      </c>
      <c r="G72" s="3">
        <v>100</v>
      </c>
      <c r="H72" s="3">
        <v>237</v>
      </c>
      <c r="I72" s="3">
        <v>1</v>
      </c>
      <c r="J72" s="5">
        <v>45584.54374927083</v>
      </c>
      <c r="K72" s="4" t="s">
        <v>813</v>
      </c>
      <c r="L72" s="4" t="s">
        <v>122</v>
      </c>
      <c r="M72" s="4" t="s">
        <v>122</v>
      </c>
      <c r="N72" s="4" t="s">
        <v>122</v>
      </c>
      <c r="O72" s="4" t="s">
        <v>122</v>
      </c>
      <c r="P72" s="3">
        <v>44.552300000000002</v>
      </c>
      <c r="Q72" s="3">
        <v>-88.082499999999996</v>
      </c>
      <c r="R72" s="4" t="s">
        <v>129</v>
      </c>
      <c r="S72" s="4" t="s">
        <v>124</v>
      </c>
      <c r="T72" s="4" t="s">
        <v>814</v>
      </c>
      <c r="U72" s="3">
        <v>1</v>
      </c>
      <c r="V72" s="3">
        <v>5</v>
      </c>
      <c r="W72" s="3">
        <v>4</v>
      </c>
      <c r="X72" s="3">
        <v>4</v>
      </c>
      <c r="Y72" s="3">
        <v>4</v>
      </c>
      <c r="Z72" s="3">
        <v>4</v>
      </c>
      <c r="AA72" s="3">
        <v>4</v>
      </c>
      <c r="AG72" s="3">
        <v>5</v>
      </c>
      <c r="AH72" s="3">
        <v>0</v>
      </c>
      <c r="AI72" s="4" t="s">
        <v>122</v>
      </c>
      <c r="AJ72" s="3">
        <v>7</v>
      </c>
      <c r="AK72" s="3">
        <v>6</v>
      </c>
      <c r="AL72" s="3">
        <v>6</v>
      </c>
      <c r="AM72" s="3">
        <v>6</v>
      </c>
      <c r="AN72" s="3">
        <v>6</v>
      </c>
      <c r="AO72" s="3">
        <v>2</v>
      </c>
      <c r="AP72" s="3">
        <v>3</v>
      </c>
      <c r="AQ72" s="4" t="s">
        <v>122</v>
      </c>
      <c r="AR72" s="4" t="s">
        <v>122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 t="s">
        <v>122</v>
      </c>
      <c r="BD72" s="4" t="s">
        <v>122</v>
      </c>
      <c r="BE72" s="4" t="s">
        <v>122</v>
      </c>
      <c r="BF72" s="4" t="s">
        <v>122</v>
      </c>
      <c r="BG72" s="4" t="s">
        <v>122</v>
      </c>
      <c r="BH72" s="4"/>
      <c r="BI72" s="4" t="s">
        <v>122</v>
      </c>
      <c r="BJ72" s="4" t="s">
        <v>122</v>
      </c>
      <c r="BK72" s="4" t="s">
        <v>122</v>
      </c>
      <c r="BL72" s="4" t="s">
        <v>122</v>
      </c>
      <c r="BM72" s="4" t="s">
        <v>122</v>
      </c>
      <c r="BN72" s="4" t="s">
        <v>122</v>
      </c>
      <c r="BO72" s="4"/>
      <c r="BP72" s="3">
        <v>5.5</v>
      </c>
      <c r="BQ72" s="3">
        <v>3</v>
      </c>
      <c r="BR72" s="4" t="s">
        <v>125</v>
      </c>
      <c r="BS72" s="4" t="s">
        <v>125</v>
      </c>
      <c r="BT72" s="4" t="s">
        <v>125</v>
      </c>
      <c r="BU72" s="4"/>
      <c r="BV72" s="4" t="s">
        <v>122</v>
      </c>
      <c r="BW72" s="4" t="s">
        <v>122</v>
      </c>
      <c r="BX72" s="4" t="s">
        <v>122</v>
      </c>
      <c r="BY72" s="4" t="s">
        <v>122</v>
      </c>
      <c r="BZ72" s="4" t="s">
        <v>122</v>
      </c>
      <c r="CA72" s="3">
        <v>1</v>
      </c>
      <c r="CD72" s="3">
        <v>5.5</v>
      </c>
      <c r="CE72" s="3">
        <v>3</v>
      </c>
      <c r="CF72" s="3">
        <v>2</v>
      </c>
      <c r="CG72" s="4" t="s">
        <v>122</v>
      </c>
      <c r="CH72" s="3">
        <v>5</v>
      </c>
      <c r="CI72" s="4" t="s">
        <v>122</v>
      </c>
      <c r="CJ72" s="4" t="s">
        <v>122</v>
      </c>
      <c r="CK72" s="4" t="s">
        <v>122</v>
      </c>
      <c r="CL72" s="4" t="s">
        <v>122</v>
      </c>
      <c r="CM72" s="4" t="s">
        <v>122</v>
      </c>
      <c r="CN72" s="4" t="s">
        <v>122</v>
      </c>
      <c r="CO72" s="4" t="s">
        <v>125</v>
      </c>
      <c r="CP72" s="4" t="s">
        <v>122</v>
      </c>
      <c r="CQ72" s="4" t="s">
        <v>122</v>
      </c>
      <c r="CR72" s="4" t="s">
        <v>122</v>
      </c>
      <c r="CS72" s="3">
        <v>4</v>
      </c>
      <c r="CT72" s="3">
        <v>-999</v>
      </c>
      <c r="CU72" s="3">
        <v>0</v>
      </c>
      <c r="CV72">
        <v>1</v>
      </c>
      <c r="CW72" cm="1">
        <f t="array" ref="CW72">_xlfn.IFS(CU72*1=1,1,CU72*1=2,1,TRUE,0)</f>
        <v>0</v>
      </c>
      <c r="CX72" s="3" t="e">
        <f>NA()</f>
        <v>#N/A</v>
      </c>
      <c r="CY72" s="3">
        <f t="shared" si="11"/>
        <v>5.5</v>
      </c>
      <c r="CZ72" s="3" cm="1">
        <f t="array" ref="CZ72">_xlfn.IFS(BP72&lt;&gt;"", BP72, CV72=1,  AQ72, CV72=0,  AZ72)</f>
        <v>5.5</v>
      </c>
      <c r="DA72" s="3" t="e">
        <f>NA()</f>
        <v>#N/A</v>
      </c>
      <c r="DB72" s="36">
        <f t="shared" si="12"/>
        <v>5.5</v>
      </c>
      <c r="DC72" s="3" t="e">
        <f t="shared" si="13"/>
        <v>#N/A</v>
      </c>
      <c r="DD72" s="3">
        <f t="shared" si="14"/>
        <v>5.5</v>
      </c>
      <c r="DE72" s="3">
        <f t="shared" si="15"/>
        <v>5.5</v>
      </c>
      <c r="DF72" s="3" t="e">
        <f t="shared" si="16"/>
        <v>#N/A</v>
      </c>
      <c r="DG72" s="3" t="e">
        <f t="shared" si="17"/>
        <v>#N/A</v>
      </c>
    </row>
    <row r="73" spans="1:116" x14ac:dyDescent="0.4">
      <c r="A73" s="3">
        <v>202410</v>
      </c>
      <c r="B73" s="3">
        <v>111</v>
      </c>
      <c r="C73" s="5">
        <v>45584.542048611111</v>
      </c>
      <c r="D73" s="5">
        <v>45584.54420138889</v>
      </c>
      <c r="E73" s="3">
        <v>0</v>
      </c>
      <c r="F73" s="4" t="s">
        <v>815</v>
      </c>
      <c r="G73" s="3">
        <v>100</v>
      </c>
      <c r="H73" s="3">
        <v>185</v>
      </c>
      <c r="I73" s="3">
        <v>1</v>
      </c>
      <c r="J73" s="5">
        <v>45584.544218495372</v>
      </c>
      <c r="K73" s="4" t="s">
        <v>816</v>
      </c>
      <c r="L73" s="4" t="s">
        <v>122</v>
      </c>
      <c r="M73" s="4" t="s">
        <v>122</v>
      </c>
      <c r="N73" s="4" t="s">
        <v>122</v>
      </c>
      <c r="O73" s="4" t="s">
        <v>122</v>
      </c>
      <c r="P73" s="3">
        <v>33.447499999999998</v>
      </c>
      <c r="Q73" s="3">
        <v>-112.0866</v>
      </c>
      <c r="R73" s="4" t="s">
        <v>129</v>
      </c>
      <c r="S73" s="4" t="s">
        <v>124</v>
      </c>
      <c r="T73" s="4" t="s">
        <v>817</v>
      </c>
      <c r="U73" s="3">
        <v>1</v>
      </c>
      <c r="V73" s="3">
        <v>5</v>
      </c>
      <c r="W73" s="3">
        <v>5</v>
      </c>
      <c r="X73" s="3">
        <v>1</v>
      </c>
      <c r="Y73" s="3">
        <v>3</v>
      </c>
      <c r="Z73" s="3">
        <v>3</v>
      </c>
      <c r="AA73" s="3">
        <v>3</v>
      </c>
      <c r="AG73" s="3">
        <v>3</v>
      </c>
      <c r="AH73" s="3">
        <v>4</v>
      </c>
      <c r="AI73" s="3">
        <v>3</v>
      </c>
      <c r="AJ73" s="3">
        <v>7</v>
      </c>
      <c r="AK73" s="3">
        <v>7</v>
      </c>
      <c r="AL73" s="3">
        <v>7</v>
      </c>
      <c r="AM73" s="3">
        <v>7</v>
      </c>
      <c r="AN73" s="3">
        <v>8</v>
      </c>
      <c r="AO73" s="3">
        <v>2</v>
      </c>
      <c r="AP73" s="3">
        <v>3</v>
      </c>
      <c r="AQ73" s="3">
        <v>0</v>
      </c>
      <c r="AR73" s="4" t="s">
        <v>122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">
        <v>0</v>
      </c>
      <c r="BD73" s="4" t="s">
        <v>122</v>
      </c>
      <c r="BE73" s="4" t="s">
        <v>125</v>
      </c>
      <c r="BF73" s="4" t="s">
        <v>122</v>
      </c>
      <c r="BG73" s="4" t="s">
        <v>122</v>
      </c>
      <c r="BH73" s="4"/>
      <c r="BI73" s="4" t="s">
        <v>122</v>
      </c>
      <c r="BJ73" s="4" t="s">
        <v>122</v>
      </c>
      <c r="BK73" s="4" t="s">
        <v>122</v>
      </c>
      <c r="BL73" s="4" t="s">
        <v>122</v>
      </c>
      <c r="BM73" s="4" t="s">
        <v>122</v>
      </c>
      <c r="BN73" s="3">
        <v>1</v>
      </c>
      <c r="BO73" s="4"/>
      <c r="BP73" s="4" t="s">
        <v>122</v>
      </c>
      <c r="BQ73" s="4" t="s">
        <v>122</v>
      </c>
      <c r="BR73" s="4" t="s">
        <v>122</v>
      </c>
      <c r="BS73" s="4" t="s">
        <v>122</v>
      </c>
      <c r="BT73" s="4" t="s">
        <v>122</v>
      </c>
      <c r="BU73" s="4"/>
      <c r="BV73" s="4" t="s">
        <v>122</v>
      </c>
      <c r="BW73" s="4" t="s">
        <v>122</v>
      </c>
      <c r="BX73" s="4" t="s">
        <v>122</v>
      </c>
      <c r="BY73" s="4" t="s">
        <v>122</v>
      </c>
      <c r="BZ73" s="4" t="s">
        <v>122</v>
      </c>
      <c r="CA73" s="4" t="s">
        <v>122</v>
      </c>
      <c r="CD73" s="4" t="s">
        <v>122</v>
      </c>
      <c r="CE73" s="4" t="s">
        <v>122</v>
      </c>
      <c r="CF73" s="3">
        <v>2</v>
      </c>
      <c r="CG73" s="4" t="s">
        <v>122</v>
      </c>
      <c r="CH73" s="3">
        <v>5</v>
      </c>
      <c r="CI73" s="4" t="s">
        <v>122</v>
      </c>
      <c r="CJ73" s="4" t="s">
        <v>122</v>
      </c>
      <c r="CK73" s="4" t="s">
        <v>122</v>
      </c>
      <c r="CL73" s="4" t="s">
        <v>122</v>
      </c>
      <c r="CM73" s="4" t="s">
        <v>122</v>
      </c>
      <c r="CN73" s="4" t="s">
        <v>122</v>
      </c>
      <c r="CO73" s="4" t="s">
        <v>125</v>
      </c>
      <c r="CP73" s="4" t="s">
        <v>122</v>
      </c>
      <c r="CQ73" s="4" t="s">
        <v>122</v>
      </c>
      <c r="CR73" s="4" t="s">
        <v>122</v>
      </c>
      <c r="CS73" s="3">
        <v>5</v>
      </c>
      <c r="CT73" s="3">
        <v>6</v>
      </c>
      <c r="CU73" s="3">
        <v>1</v>
      </c>
      <c r="CV73">
        <v>1</v>
      </c>
      <c r="CW73" cm="1">
        <f t="array" ref="CW73">_xlfn.IFS(CU73*1=1,1,CU73*1=2,1,TRUE,0)</f>
        <v>1</v>
      </c>
      <c r="CX73" s="3" t="e">
        <f>NA()</f>
        <v>#N/A</v>
      </c>
      <c r="CY73" s="3">
        <f t="shared" si="11"/>
        <v>0</v>
      </c>
      <c r="CZ73" s="3" cm="1">
        <f t="array" ref="CZ73">_xlfn.IFS(BP73&lt;&gt;"", BP73, CV73=1,  AQ73, CV73=0,  AZ73)</f>
        <v>0</v>
      </c>
      <c r="DA73" s="3" t="e">
        <f>NA()</f>
        <v>#N/A</v>
      </c>
      <c r="DB73" s="36">
        <f t="shared" si="12"/>
        <v>-4</v>
      </c>
      <c r="DC73" s="3" t="e">
        <f t="shared" si="13"/>
        <v>#N/A</v>
      </c>
      <c r="DD73" s="3">
        <f t="shared" si="14"/>
        <v>-4</v>
      </c>
      <c r="DE73" s="3">
        <f t="shared" si="15"/>
        <v>-4</v>
      </c>
      <c r="DF73" s="3" t="e">
        <f t="shared" si="16"/>
        <v>#N/A</v>
      </c>
      <c r="DG73" s="3" t="e">
        <f t="shared" si="17"/>
        <v>#N/A</v>
      </c>
    </row>
    <row r="74" spans="1:116" x14ac:dyDescent="0.4">
      <c r="A74" s="3">
        <v>202410</v>
      </c>
      <c r="B74" s="3">
        <v>111</v>
      </c>
      <c r="C74" s="5">
        <v>45584.542303240742</v>
      </c>
      <c r="D74" s="5">
        <v>45584.544861111113</v>
      </c>
      <c r="E74" s="3">
        <v>0</v>
      </c>
      <c r="F74" s="4" t="s">
        <v>616</v>
      </c>
      <c r="G74" s="3">
        <v>100</v>
      </c>
      <c r="H74" s="3">
        <v>221</v>
      </c>
      <c r="I74" s="3">
        <v>1</v>
      </c>
      <c r="J74" s="5">
        <v>45584.544878472225</v>
      </c>
      <c r="K74" s="4" t="s">
        <v>818</v>
      </c>
      <c r="L74" s="4" t="s">
        <v>122</v>
      </c>
      <c r="M74" s="4" t="s">
        <v>122</v>
      </c>
      <c r="N74" s="4" t="s">
        <v>122</v>
      </c>
      <c r="O74" s="4" t="s">
        <v>122</v>
      </c>
      <c r="P74" s="3">
        <v>32.250300000000003</v>
      </c>
      <c r="Q74" s="3">
        <v>-110.94499999999999</v>
      </c>
      <c r="R74" s="4" t="s">
        <v>129</v>
      </c>
      <c r="S74" s="4" t="s">
        <v>124</v>
      </c>
      <c r="T74" s="4" t="s">
        <v>819</v>
      </c>
      <c r="U74" s="3">
        <v>1</v>
      </c>
      <c r="V74" s="3">
        <v>1</v>
      </c>
      <c r="W74" s="3">
        <v>1</v>
      </c>
      <c r="X74" s="3">
        <v>1</v>
      </c>
      <c r="Y74" s="3">
        <v>2</v>
      </c>
      <c r="Z74" s="3">
        <v>2</v>
      </c>
      <c r="AA74" s="3">
        <v>2</v>
      </c>
      <c r="AG74" s="3">
        <v>2</v>
      </c>
      <c r="AH74" s="3">
        <v>5</v>
      </c>
      <c r="AI74" s="3">
        <v>3</v>
      </c>
      <c r="AJ74" s="3">
        <v>7</v>
      </c>
      <c r="AK74" s="3">
        <v>8</v>
      </c>
      <c r="AL74" s="3">
        <v>8</v>
      </c>
      <c r="AM74" s="3">
        <v>6</v>
      </c>
      <c r="AN74" s="3">
        <v>5</v>
      </c>
      <c r="AO74" s="3">
        <v>4</v>
      </c>
      <c r="AP74" s="3">
        <v>3</v>
      </c>
      <c r="AQ74" s="4" t="s">
        <v>122</v>
      </c>
      <c r="AR74" s="4" t="s">
        <v>122</v>
      </c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 t="s">
        <v>122</v>
      </c>
      <c r="BD74" s="4" t="s">
        <v>122</v>
      </c>
      <c r="BE74" s="4" t="s">
        <v>122</v>
      </c>
      <c r="BF74" s="4" t="s">
        <v>122</v>
      </c>
      <c r="BG74" s="4" t="s">
        <v>122</v>
      </c>
      <c r="BH74" s="4"/>
      <c r="BI74" s="4" t="s">
        <v>122</v>
      </c>
      <c r="BJ74" s="4" t="s">
        <v>122</v>
      </c>
      <c r="BK74" s="4" t="s">
        <v>122</v>
      </c>
      <c r="BL74" s="4" t="s">
        <v>122</v>
      </c>
      <c r="BM74" s="4" t="s">
        <v>122</v>
      </c>
      <c r="BN74" s="4" t="s">
        <v>122</v>
      </c>
      <c r="BO74" s="4"/>
      <c r="BP74" s="3">
        <v>6</v>
      </c>
      <c r="BQ74" s="3">
        <v>3</v>
      </c>
      <c r="BR74" s="4" t="s">
        <v>125</v>
      </c>
      <c r="BS74" s="4" t="s">
        <v>122</v>
      </c>
      <c r="BT74" s="4" t="s">
        <v>122</v>
      </c>
      <c r="BU74" s="4"/>
      <c r="BV74" s="4" t="s">
        <v>122</v>
      </c>
      <c r="BW74" s="4" t="s">
        <v>122</v>
      </c>
      <c r="BX74" s="4" t="s">
        <v>122</v>
      </c>
      <c r="BY74" s="4" t="s">
        <v>122</v>
      </c>
      <c r="BZ74" s="4" t="s">
        <v>122</v>
      </c>
      <c r="CA74" s="3">
        <v>1</v>
      </c>
      <c r="CD74" s="3">
        <v>6</v>
      </c>
      <c r="CE74" s="3">
        <v>3</v>
      </c>
      <c r="CF74" s="3">
        <v>2</v>
      </c>
      <c r="CG74" s="4" t="s">
        <v>122</v>
      </c>
      <c r="CH74" s="3">
        <v>5</v>
      </c>
      <c r="CI74" s="4" t="s">
        <v>122</v>
      </c>
      <c r="CJ74" s="4" t="s">
        <v>122</v>
      </c>
      <c r="CK74" s="4" t="s">
        <v>122</v>
      </c>
      <c r="CL74" s="4" t="s">
        <v>122</v>
      </c>
      <c r="CM74" s="4" t="s">
        <v>122</v>
      </c>
      <c r="CN74" s="4" t="s">
        <v>122</v>
      </c>
      <c r="CO74" s="4" t="s">
        <v>125</v>
      </c>
      <c r="CP74" s="4" t="s">
        <v>122</v>
      </c>
      <c r="CQ74" s="4" t="s">
        <v>122</v>
      </c>
      <c r="CR74" s="4" t="s">
        <v>122</v>
      </c>
      <c r="CS74" s="3">
        <v>5</v>
      </c>
      <c r="CT74" s="3">
        <v>6</v>
      </c>
      <c r="CU74" s="3">
        <v>0</v>
      </c>
      <c r="CV74">
        <v>1</v>
      </c>
      <c r="CW74" cm="1">
        <f t="array" ref="CW74">_xlfn.IFS(CU74*1=1,1,CU74*1=2,1,TRUE,0)</f>
        <v>0</v>
      </c>
      <c r="CX74" s="3" t="e">
        <f>NA()</f>
        <v>#N/A</v>
      </c>
      <c r="CY74" s="3">
        <f t="shared" si="11"/>
        <v>6</v>
      </c>
      <c r="CZ74" s="3" cm="1">
        <f t="array" ref="CZ74">_xlfn.IFS(BP74&lt;&gt;"", BP74, CV74=1,  AQ74, CV74=0,  AZ74)</f>
        <v>6</v>
      </c>
      <c r="DA74" s="3" t="e">
        <f>NA()</f>
        <v>#N/A</v>
      </c>
      <c r="DB74" s="36">
        <f t="shared" si="12"/>
        <v>1</v>
      </c>
      <c r="DC74" s="3" t="e">
        <f t="shared" si="13"/>
        <v>#N/A</v>
      </c>
      <c r="DD74" s="3">
        <f t="shared" si="14"/>
        <v>1</v>
      </c>
      <c r="DE74" s="3">
        <f t="shared" si="15"/>
        <v>1</v>
      </c>
      <c r="DF74" s="3" t="e">
        <f t="shared" si="16"/>
        <v>#N/A</v>
      </c>
      <c r="DG74" s="3" t="e">
        <f t="shared" si="17"/>
        <v>#N/A</v>
      </c>
    </row>
    <row r="75" spans="1:116" x14ac:dyDescent="0.4">
      <c r="A75" s="3">
        <v>202410</v>
      </c>
      <c r="B75" s="3">
        <v>111</v>
      </c>
      <c r="C75" s="5">
        <v>45584.544710648152</v>
      </c>
      <c r="D75" s="5">
        <v>45584.550138888888</v>
      </c>
      <c r="E75" s="3">
        <v>0</v>
      </c>
      <c r="F75" s="4" t="s">
        <v>826</v>
      </c>
      <c r="G75" s="3">
        <v>100</v>
      </c>
      <c r="H75" s="3">
        <v>468</v>
      </c>
      <c r="I75" s="3">
        <v>1</v>
      </c>
      <c r="J75" s="5">
        <v>45584.550152268515</v>
      </c>
      <c r="K75" s="4" t="s">
        <v>827</v>
      </c>
      <c r="L75" s="4" t="s">
        <v>122</v>
      </c>
      <c r="M75" s="4" t="s">
        <v>122</v>
      </c>
      <c r="N75" s="4" t="s">
        <v>122</v>
      </c>
      <c r="O75" s="4" t="s">
        <v>122</v>
      </c>
      <c r="P75" s="3">
        <v>36.0383</v>
      </c>
      <c r="Q75" s="3">
        <v>-115.1446</v>
      </c>
      <c r="R75" s="4" t="s">
        <v>129</v>
      </c>
      <c r="S75" s="4" t="s">
        <v>124</v>
      </c>
      <c r="T75" s="4" t="s">
        <v>828</v>
      </c>
      <c r="U75" s="3">
        <v>1</v>
      </c>
      <c r="V75" s="3">
        <v>1</v>
      </c>
      <c r="W75" s="3">
        <v>1</v>
      </c>
      <c r="X75" s="3">
        <v>2</v>
      </c>
      <c r="Y75" s="3">
        <v>3</v>
      </c>
      <c r="Z75" s="3">
        <v>3</v>
      </c>
      <c r="AA75" s="3">
        <v>3</v>
      </c>
      <c r="AG75" s="3">
        <v>2</v>
      </c>
      <c r="AH75" s="3">
        <v>5</v>
      </c>
      <c r="AI75" s="3">
        <v>3</v>
      </c>
      <c r="AJ75" s="3">
        <v>4</v>
      </c>
      <c r="AK75" s="3">
        <v>6</v>
      </c>
      <c r="AL75" s="3">
        <v>5</v>
      </c>
      <c r="AM75" s="3">
        <v>4</v>
      </c>
      <c r="AN75" s="3">
        <v>6</v>
      </c>
      <c r="AO75" s="3">
        <v>2</v>
      </c>
      <c r="AP75" s="3">
        <v>4</v>
      </c>
      <c r="AQ75" s="4" t="s">
        <v>122</v>
      </c>
      <c r="AR75" s="4" t="s">
        <v>122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 t="s">
        <v>122</v>
      </c>
      <c r="BD75" s="4" t="s">
        <v>122</v>
      </c>
      <c r="BE75" s="4" t="s">
        <v>122</v>
      </c>
      <c r="BF75" s="4" t="s">
        <v>122</v>
      </c>
      <c r="BG75" s="4" t="s">
        <v>122</v>
      </c>
      <c r="BH75" s="4"/>
      <c r="BI75" s="4" t="s">
        <v>122</v>
      </c>
      <c r="BJ75" s="4" t="s">
        <v>122</v>
      </c>
      <c r="BK75" s="4" t="s">
        <v>122</v>
      </c>
      <c r="BL75" s="4" t="s">
        <v>122</v>
      </c>
      <c r="BM75" s="4" t="s">
        <v>122</v>
      </c>
      <c r="BN75" s="4" t="s">
        <v>122</v>
      </c>
      <c r="BO75" s="4"/>
      <c r="BP75" s="3">
        <v>5</v>
      </c>
      <c r="BQ75" s="3">
        <v>3</v>
      </c>
      <c r="BR75" s="4" t="s">
        <v>125</v>
      </c>
      <c r="BS75" s="4" t="s">
        <v>122</v>
      </c>
      <c r="BT75" s="4" t="s">
        <v>122</v>
      </c>
      <c r="BU75" s="4"/>
      <c r="BV75" s="4" t="s">
        <v>125</v>
      </c>
      <c r="BW75" s="4" t="s">
        <v>122</v>
      </c>
      <c r="BX75" s="4" t="s">
        <v>122</v>
      </c>
      <c r="BY75" s="4" t="s">
        <v>122</v>
      </c>
      <c r="BZ75" s="4" t="s">
        <v>122</v>
      </c>
      <c r="CA75" s="3">
        <v>4</v>
      </c>
      <c r="CD75" s="3">
        <v>6</v>
      </c>
      <c r="CE75" s="3">
        <v>3</v>
      </c>
      <c r="CF75" s="3">
        <v>2</v>
      </c>
      <c r="CG75" s="4" t="s">
        <v>122</v>
      </c>
      <c r="CH75" s="3">
        <v>7</v>
      </c>
      <c r="CI75" s="4" t="s">
        <v>122</v>
      </c>
      <c r="CJ75" s="4" t="s">
        <v>122</v>
      </c>
      <c r="CK75" s="4" t="s">
        <v>122</v>
      </c>
      <c r="CL75" s="4" t="s">
        <v>122</v>
      </c>
      <c r="CM75" s="4" t="s">
        <v>122</v>
      </c>
      <c r="CN75" s="4" t="s">
        <v>122</v>
      </c>
      <c r="CO75" s="4" t="s">
        <v>125</v>
      </c>
      <c r="CP75" s="4" t="s">
        <v>122</v>
      </c>
      <c r="CQ75" s="4" t="s">
        <v>122</v>
      </c>
      <c r="CR75" s="4" t="s">
        <v>122</v>
      </c>
      <c r="CS75" s="3">
        <v>4</v>
      </c>
      <c r="CT75" s="3">
        <v>3</v>
      </c>
      <c r="CU75" s="3">
        <v>0</v>
      </c>
      <c r="CV75">
        <v>1</v>
      </c>
      <c r="CW75" cm="1">
        <f t="array" ref="CW75">_xlfn.IFS(CU75*1=1,1,CU75*1=2,1,TRUE,0)</f>
        <v>0</v>
      </c>
      <c r="CX75" s="3" t="e">
        <f>NA()</f>
        <v>#N/A</v>
      </c>
      <c r="CY75" s="3">
        <f t="shared" si="11"/>
        <v>6</v>
      </c>
      <c r="CZ75" s="3" cm="1">
        <f t="array" ref="CZ75">_xlfn.IFS(BP75&lt;&gt;"", BP75, CV75=1,  AQ75, CV75=0,  AZ75)</f>
        <v>5</v>
      </c>
      <c r="DA75" s="3" t="e">
        <f>NA()</f>
        <v>#N/A</v>
      </c>
      <c r="DB75" s="36">
        <f t="shared" si="12"/>
        <v>1</v>
      </c>
      <c r="DC75" s="3" t="e">
        <f t="shared" si="13"/>
        <v>#N/A</v>
      </c>
      <c r="DD75" s="3">
        <f t="shared" si="14"/>
        <v>1</v>
      </c>
      <c r="DE75" s="3">
        <f t="shared" si="15"/>
        <v>0</v>
      </c>
      <c r="DF75" s="3" t="e">
        <f t="shared" si="16"/>
        <v>#N/A</v>
      </c>
      <c r="DG75" s="3" t="e">
        <f t="shared" si="17"/>
        <v>#N/A</v>
      </c>
    </row>
    <row r="76" spans="1:116" x14ac:dyDescent="0.4">
      <c r="A76" s="3">
        <v>202410</v>
      </c>
      <c r="B76" s="3">
        <v>111</v>
      </c>
      <c r="C76" s="5">
        <v>45584.54650462963</v>
      </c>
      <c r="D76" s="5">
        <v>45584.549317129633</v>
      </c>
      <c r="E76" s="3">
        <v>0</v>
      </c>
      <c r="F76" s="4" t="s">
        <v>820</v>
      </c>
      <c r="G76" s="3">
        <v>100</v>
      </c>
      <c r="H76" s="3">
        <v>243</v>
      </c>
      <c r="I76" s="3">
        <v>1</v>
      </c>
      <c r="J76" s="5">
        <v>45584.54933587963</v>
      </c>
      <c r="K76" s="4" t="s">
        <v>821</v>
      </c>
      <c r="L76" s="4" t="s">
        <v>122</v>
      </c>
      <c r="M76" s="4" t="s">
        <v>122</v>
      </c>
      <c r="N76" s="4" t="s">
        <v>122</v>
      </c>
      <c r="O76" s="4" t="s">
        <v>122</v>
      </c>
      <c r="P76" s="3">
        <v>36.115000000000002</v>
      </c>
      <c r="Q76" s="3">
        <v>-115.2165</v>
      </c>
      <c r="R76" s="4" t="s">
        <v>129</v>
      </c>
      <c r="S76" s="4" t="s">
        <v>124</v>
      </c>
      <c r="T76" s="4" t="s">
        <v>822</v>
      </c>
      <c r="U76" s="3">
        <v>1</v>
      </c>
      <c r="V76" s="3">
        <v>2</v>
      </c>
      <c r="W76" s="3">
        <v>1</v>
      </c>
      <c r="X76" s="3">
        <v>2</v>
      </c>
      <c r="Y76" s="3">
        <v>3</v>
      </c>
      <c r="Z76" s="3">
        <v>2</v>
      </c>
      <c r="AA76" s="3">
        <v>1</v>
      </c>
      <c r="AG76" s="3">
        <v>2</v>
      </c>
      <c r="AH76" s="3">
        <v>4.5</v>
      </c>
      <c r="AI76" s="3">
        <v>3</v>
      </c>
      <c r="AJ76" s="3">
        <v>4</v>
      </c>
      <c r="AK76" s="3">
        <v>7</v>
      </c>
      <c r="AL76" s="3">
        <v>7</v>
      </c>
      <c r="AM76" s="3">
        <v>4</v>
      </c>
      <c r="AN76" s="3">
        <v>6</v>
      </c>
      <c r="AO76" s="3">
        <v>4</v>
      </c>
      <c r="AP76" s="3">
        <v>4</v>
      </c>
      <c r="AQ76" s="3">
        <v>4.5</v>
      </c>
      <c r="AR76" s="3">
        <v>3</v>
      </c>
      <c r="BC76" s="3">
        <v>5</v>
      </c>
      <c r="BD76" s="3">
        <v>2</v>
      </c>
      <c r="BE76" s="4" t="s">
        <v>122</v>
      </c>
      <c r="BF76" s="4" t="s">
        <v>125</v>
      </c>
      <c r="BG76" s="4" t="s">
        <v>122</v>
      </c>
      <c r="BH76" s="4"/>
      <c r="BI76" s="4" t="s">
        <v>122</v>
      </c>
      <c r="BJ76" s="4" t="s">
        <v>122</v>
      </c>
      <c r="BK76" s="4" t="s">
        <v>122</v>
      </c>
      <c r="BL76" s="4" t="s">
        <v>122</v>
      </c>
      <c r="BM76" s="4" t="s">
        <v>122</v>
      </c>
      <c r="BN76" s="3">
        <v>2</v>
      </c>
      <c r="BP76" s="4" t="s">
        <v>122</v>
      </c>
      <c r="BQ76" s="4" t="s">
        <v>122</v>
      </c>
      <c r="BR76" s="4" t="s">
        <v>122</v>
      </c>
      <c r="BS76" s="4" t="s">
        <v>122</v>
      </c>
      <c r="BT76" s="4" t="s">
        <v>122</v>
      </c>
      <c r="BU76" s="4"/>
      <c r="BV76" s="4" t="s">
        <v>122</v>
      </c>
      <c r="BW76" s="4" t="s">
        <v>122</v>
      </c>
      <c r="BX76" s="4" t="s">
        <v>122</v>
      </c>
      <c r="BY76" s="4" t="s">
        <v>122</v>
      </c>
      <c r="BZ76" s="4" t="s">
        <v>122</v>
      </c>
      <c r="CA76" s="4" t="s">
        <v>122</v>
      </c>
      <c r="CD76" s="4" t="s">
        <v>122</v>
      </c>
      <c r="CE76" s="4" t="s">
        <v>122</v>
      </c>
      <c r="CF76" s="3">
        <v>2</v>
      </c>
      <c r="CG76" s="4" t="s">
        <v>122</v>
      </c>
      <c r="CH76" s="3">
        <v>1</v>
      </c>
      <c r="CI76" s="4" t="s">
        <v>122</v>
      </c>
      <c r="CJ76" s="4" t="s">
        <v>122</v>
      </c>
      <c r="CK76" s="4" t="s">
        <v>122</v>
      </c>
      <c r="CL76" s="4" t="s">
        <v>122</v>
      </c>
      <c r="CM76" s="4" t="s">
        <v>122</v>
      </c>
      <c r="CN76" s="4" t="s">
        <v>122</v>
      </c>
      <c r="CO76" s="4" t="s">
        <v>125</v>
      </c>
      <c r="CP76" s="4" t="s">
        <v>122</v>
      </c>
      <c r="CQ76" s="4" t="s">
        <v>122</v>
      </c>
      <c r="CR76" s="4" t="s">
        <v>122</v>
      </c>
      <c r="CS76" s="3">
        <v>2</v>
      </c>
      <c r="CT76" s="3">
        <v>1</v>
      </c>
      <c r="CU76" s="3">
        <v>1</v>
      </c>
      <c r="CV76">
        <v>1</v>
      </c>
      <c r="CW76" cm="1">
        <f t="array" ref="CW76">_xlfn.IFS(CU76*1=1,1,CU76*1=2,1,TRUE,0)</f>
        <v>1</v>
      </c>
      <c r="CX76" s="3" t="e">
        <f>NA()</f>
        <v>#N/A</v>
      </c>
      <c r="CY76" s="3">
        <f t="shared" si="11"/>
        <v>5</v>
      </c>
      <c r="CZ76" s="3" cm="1">
        <f t="array" ref="CZ76">_xlfn.IFS(BP76&lt;&gt;"", BP76, CV76=1,  AQ76, CV76=0,  AZ76)</f>
        <v>4.5</v>
      </c>
      <c r="DA76" s="3" t="e">
        <f>NA()</f>
        <v>#N/A</v>
      </c>
      <c r="DB76" s="36">
        <f t="shared" si="12"/>
        <v>0.5</v>
      </c>
      <c r="DC76" s="3" t="e">
        <f t="shared" si="13"/>
        <v>#N/A</v>
      </c>
      <c r="DD76" s="3">
        <f t="shared" si="14"/>
        <v>0</v>
      </c>
      <c r="DE76" s="3">
        <f t="shared" si="15"/>
        <v>0.5</v>
      </c>
      <c r="DF76" s="3" t="e">
        <f t="shared" si="16"/>
        <v>#N/A</v>
      </c>
      <c r="DG76" s="3" t="e">
        <f t="shared" si="17"/>
        <v>#N/A</v>
      </c>
    </row>
    <row r="77" spans="1:116" x14ac:dyDescent="0.4">
      <c r="A77" s="3">
        <v>202410</v>
      </c>
      <c r="B77" s="3">
        <v>111</v>
      </c>
      <c r="C77" s="5">
        <v>45584.547500000001</v>
      </c>
      <c r="D77" s="5">
        <v>45584.549571759257</v>
      </c>
      <c r="E77" s="3">
        <v>0</v>
      </c>
      <c r="F77" s="4" t="s">
        <v>823</v>
      </c>
      <c r="G77" s="3">
        <v>100</v>
      </c>
      <c r="H77" s="3">
        <v>178</v>
      </c>
      <c r="I77" s="3">
        <v>1</v>
      </c>
      <c r="J77" s="5">
        <v>45584.549584236112</v>
      </c>
      <c r="K77" s="4" t="s">
        <v>824</v>
      </c>
      <c r="L77" s="4" t="s">
        <v>122</v>
      </c>
      <c r="M77" s="4" t="s">
        <v>122</v>
      </c>
      <c r="N77" s="4" t="s">
        <v>122</v>
      </c>
      <c r="O77" s="4" t="s">
        <v>122</v>
      </c>
      <c r="P77" s="3">
        <v>40.576000000000001</v>
      </c>
      <c r="Q77" s="3">
        <v>-111.8788</v>
      </c>
      <c r="R77" s="4" t="s">
        <v>129</v>
      </c>
      <c r="S77" s="4" t="s">
        <v>124</v>
      </c>
      <c r="T77" s="4" t="s">
        <v>825</v>
      </c>
      <c r="U77" s="3">
        <v>1</v>
      </c>
      <c r="V77" s="3">
        <v>2</v>
      </c>
      <c r="W77" s="3">
        <v>2</v>
      </c>
      <c r="X77" s="3">
        <v>1</v>
      </c>
      <c r="Y77" s="3">
        <v>2</v>
      </c>
      <c r="Z77" s="3">
        <v>2</v>
      </c>
      <c r="AA77" s="3">
        <v>1</v>
      </c>
      <c r="AG77" s="3">
        <v>3</v>
      </c>
      <c r="AH77" s="3">
        <v>5</v>
      </c>
      <c r="AI77" s="3">
        <v>3</v>
      </c>
      <c r="AJ77" s="3">
        <v>6</v>
      </c>
      <c r="AK77" s="3">
        <v>9</v>
      </c>
      <c r="AL77" s="3">
        <v>7</v>
      </c>
      <c r="AM77" s="3">
        <v>7</v>
      </c>
      <c r="AN77" s="3">
        <v>7</v>
      </c>
      <c r="AO77" s="3">
        <v>2</v>
      </c>
      <c r="AP77" s="3">
        <v>3</v>
      </c>
      <c r="AQ77" s="3">
        <v>5</v>
      </c>
      <c r="AR77" s="3">
        <v>3</v>
      </c>
      <c r="BC77" s="3">
        <v>6</v>
      </c>
      <c r="BD77" s="3">
        <v>3</v>
      </c>
      <c r="BE77" s="4" t="s">
        <v>125</v>
      </c>
      <c r="BF77" s="4" t="s">
        <v>122</v>
      </c>
      <c r="BG77" s="4" t="s">
        <v>122</v>
      </c>
      <c r="BH77" s="4"/>
      <c r="BI77" s="4" t="s">
        <v>122</v>
      </c>
      <c r="BJ77" s="4" t="s">
        <v>122</v>
      </c>
      <c r="BK77" s="4" t="s">
        <v>122</v>
      </c>
      <c r="BL77" s="4" t="s">
        <v>122</v>
      </c>
      <c r="BM77" s="4" t="s">
        <v>122</v>
      </c>
      <c r="BN77" s="3">
        <v>1</v>
      </c>
      <c r="BP77" s="4" t="s">
        <v>122</v>
      </c>
      <c r="BQ77" s="4" t="s">
        <v>122</v>
      </c>
      <c r="BR77" s="4" t="s">
        <v>122</v>
      </c>
      <c r="BS77" s="4" t="s">
        <v>122</v>
      </c>
      <c r="BT77" s="4" t="s">
        <v>122</v>
      </c>
      <c r="BU77" s="4"/>
      <c r="BV77" s="4" t="s">
        <v>122</v>
      </c>
      <c r="BW77" s="4" t="s">
        <v>122</v>
      </c>
      <c r="BX77" s="4" t="s">
        <v>122</v>
      </c>
      <c r="BY77" s="4" t="s">
        <v>122</v>
      </c>
      <c r="BZ77" s="4" t="s">
        <v>122</v>
      </c>
      <c r="CA77" s="4" t="s">
        <v>122</v>
      </c>
      <c r="CD77" s="4" t="s">
        <v>122</v>
      </c>
      <c r="CE77" s="4" t="s">
        <v>122</v>
      </c>
      <c r="CF77" s="3">
        <v>2</v>
      </c>
      <c r="CG77" s="4" t="s">
        <v>122</v>
      </c>
      <c r="CH77" s="3">
        <v>2</v>
      </c>
      <c r="CI77" s="4" t="s">
        <v>125</v>
      </c>
      <c r="CJ77" s="4" t="s">
        <v>122</v>
      </c>
      <c r="CK77" s="4" t="s">
        <v>122</v>
      </c>
      <c r="CL77" s="4" t="s">
        <v>122</v>
      </c>
      <c r="CM77" s="4" t="s">
        <v>122</v>
      </c>
      <c r="CN77" s="4" t="s">
        <v>122</v>
      </c>
      <c r="CO77" s="4" t="s">
        <v>125</v>
      </c>
      <c r="CP77" s="4" t="s">
        <v>122</v>
      </c>
      <c r="CQ77" s="4" t="s">
        <v>122</v>
      </c>
      <c r="CR77" s="4" t="s">
        <v>122</v>
      </c>
      <c r="CS77" s="3">
        <v>4</v>
      </c>
      <c r="CT77" s="3">
        <v>2</v>
      </c>
      <c r="CU77" s="3">
        <v>1</v>
      </c>
      <c r="CV77">
        <v>1</v>
      </c>
      <c r="CW77" cm="1">
        <f t="array" ref="CW77">_xlfn.IFS(CU77*1=1,1,CU77*1=2,1,TRUE,0)</f>
        <v>1</v>
      </c>
      <c r="CX77" s="3" t="e">
        <f>NA()</f>
        <v>#N/A</v>
      </c>
      <c r="CY77" s="3">
        <f t="shared" si="11"/>
        <v>6</v>
      </c>
      <c r="CZ77" s="3" cm="1">
        <f t="array" ref="CZ77">_xlfn.IFS(BP77&lt;&gt;"", BP77, CV77=1,  AQ77, CV77=0,  AZ77)</f>
        <v>5</v>
      </c>
      <c r="DA77" s="3" t="e">
        <f>NA()</f>
        <v>#N/A</v>
      </c>
      <c r="DB77" s="36">
        <f t="shared" si="12"/>
        <v>1</v>
      </c>
      <c r="DC77" s="3" t="e">
        <f t="shared" si="13"/>
        <v>#N/A</v>
      </c>
      <c r="DD77" s="3">
        <f t="shared" si="14"/>
        <v>0</v>
      </c>
      <c r="DE77" s="3">
        <f t="shared" si="15"/>
        <v>1</v>
      </c>
      <c r="DF77" s="3" t="e">
        <f t="shared" si="16"/>
        <v>#N/A</v>
      </c>
      <c r="DG77" s="3" t="e">
        <f t="shared" si="17"/>
        <v>#N/A</v>
      </c>
    </row>
    <row r="78" spans="1:116" x14ac:dyDescent="0.4">
      <c r="A78" s="3">
        <v>202410</v>
      </c>
      <c r="B78" s="3">
        <v>111</v>
      </c>
      <c r="C78" s="5">
        <v>45584.550162037034</v>
      </c>
      <c r="D78" s="5">
        <v>45584.554571759261</v>
      </c>
      <c r="E78" s="3">
        <v>0</v>
      </c>
      <c r="F78" s="4" t="s">
        <v>832</v>
      </c>
      <c r="G78" s="3">
        <v>100</v>
      </c>
      <c r="H78" s="3">
        <v>380</v>
      </c>
      <c r="I78" s="3">
        <v>1</v>
      </c>
      <c r="J78" s="5">
        <v>45584.554585011574</v>
      </c>
      <c r="K78" s="4" t="s">
        <v>833</v>
      </c>
      <c r="L78" s="4" t="s">
        <v>122</v>
      </c>
      <c r="M78" s="4" t="s">
        <v>122</v>
      </c>
      <c r="N78" s="4" t="s">
        <v>122</v>
      </c>
      <c r="O78" s="4" t="s">
        <v>122</v>
      </c>
      <c r="P78" s="3">
        <v>33.465600000000002</v>
      </c>
      <c r="Q78" s="3">
        <v>-111.9956</v>
      </c>
      <c r="R78" s="4" t="s">
        <v>129</v>
      </c>
      <c r="S78" s="4" t="s">
        <v>124</v>
      </c>
      <c r="T78" s="4" t="s">
        <v>834</v>
      </c>
      <c r="U78" s="3">
        <v>1</v>
      </c>
      <c r="V78" s="3">
        <v>2</v>
      </c>
      <c r="W78" s="3">
        <v>2</v>
      </c>
      <c r="X78" s="3">
        <v>1</v>
      </c>
      <c r="Y78" s="3">
        <v>4</v>
      </c>
      <c r="Z78" s="3">
        <v>4</v>
      </c>
      <c r="AA78" s="3">
        <v>2</v>
      </c>
      <c r="AG78" s="3">
        <v>2</v>
      </c>
      <c r="AH78" s="3">
        <v>4</v>
      </c>
      <c r="AI78" s="3">
        <v>3</v>
      </c>
      <c r="AJ78" s="3">
        <v>4</v>
      </c>
      <c r="AK78" s="3">
        <v>8</v>
      </c>
      <c r="AL78" s="3">
        <v>7</v>
      </c>
      <c r="AM78" s="3">
        <v>6</v>
      </c>
      <c r="AN78" s="3">
        <v>7</v>
      </c>
      <c r="AO78" s="3">
        <v>2</v>
      </c>
      <c r="AP78" s="3">
        <v>2</v>
      </c>
      <c r="AQ78" s="3">
        <v>4</v>
      </c>
      <c r="AR78" s="3">
        <v>2</v>
      </c>
      <c r="BC78" s="3">
        <v>4</v>
      </c>
      <c r="BD78" s="3">
        <v>2</v>
      </c>
      <c r="BE78" s="4" t="s">
        <v>125</v>
      </c>
      <c r="BF78" s="4" t="s">
        <v>122</v>
      </c>
      <c r="BG78" s="4" t="s">
        <v>122</v>
      </c>
      <c r="BH78" s="4"/>
      <c r="BI78" s="4" t="s">
        <v>122</v>
      </c>
      <c r="BJ78" s="4" t="s">
        <v>122</v>
      </c>
      <c r="BK78" s="4" t="s">
        <v>122</v>
      </c>
      <c r="BL78" s="4" t="s">
        <v>122</v>
      </c>
      <c r="BM78" s="4" t="s">
        <v>122</v>
      </c>
      <c r="BN78" s="3">
        <v>1</v>
      </c>
      <c r="BP78" s="4" t="s">
        <v>122</v>
      </c>
      <c r="BQ78" s="4" t="s">
        <v>122</v>
      </c>
      <c r="BR78" s="4" t="s">
        <v>122</v>
      </c>
      <c r="BS78" s="4" t="s">
        <v>122</v>
      </c>
      <c r="BT78" s="4" t="s">
        <v>122</v>
      </c>
      <c r="BU78" s="4"/>
      <c r="BV78" s="4" t="s">
        <v>122</v>
      </c>
      <c r="BW78" s="4" t="s">
        <v>122</v>
      </c>
      <c r="BX78" s="4" t="s">
        <v>122</v>
      </c>
      <c r="BY78" s="4" t="s">
        <v>122</v>
      </c>
      <c r="BZ78" s="4" t="s">
        <v>122</v>
      </c>
      <c r="CA78" s="4" t="s">
        <v>122</v>
      </c>
      <c r="CD78" s="4" t="s">
        <v>122</v>
      </c>
      <c r="CE78" s="4" t="s">
        <v>122</v>
      </c>
      <c r="CF78" s="3">
        <v>2</v>
      </c>
      <c r="CG78" s="4" t="s">
        <v>122</v>
      </c>
      <c r="CH78" s="3">
        <v>2</v>
      </c>
      <c r="CI78" s="4" t="s">
        <v>122</v>
      </c>
      <c r="CJ78" s="4" t="s">
        <v>122</v>
      </c>
      <c r="CK78" s="4" t="s">
        <v>122</v>
      </c>
      <c r="CL78" s="4" t="s">
        <v>125</v>
      </c>
      <c r="CM78" s="4" t="s">
        <v>122</v>
      </c>
      <c r="CN78" s="4" t="s">
        <v>122</v>
      </c>
      <c r="CO78" s="4" t="s">
        <v>122</v>
      </c>
      <c r="CP78" s="4" t="s">
        <v>122</v>
      </c>
      <c r="CQ78" s="4" t="s">
        <v>122</v>
      </c>
      <c r="CR78" s="4" t="s">
        <v>122</v>
      </c>
      <c r="CS78" s="3">
        <v>3</v>
      </c>
      <c r="CT78" s="3">
        <v>1</v>
      </c>
      <c r="CU78" s="3">
        <v>1</v>
      </c>
      <c r="CV78">
        <v>1</v>
      </c>
      <c r="CW78" cm="1">
        <f t="array" ref="CW78">_xlfn.IFS(CU78*1=1,1,CU78*1=2,1,TRUE,0)</f>
        <v>1</v>
      </c>
      <c r="CX78" s="3" t="e">
        <f>NA()</f>
        <v>#N/A</v>
      </c>
      <c r="CY78" s="3">
        <f t="shared" si="11"/>
        <v>4</v>
      </c>
      <c r="CZ78" s="3" cm="1">
        <f t="array" ref="CZ78">_xlfn.IFS(BP78&lt;&gt;"", BP78, CV78=1,  AQ78, CV78=0,  AZ78)</f>
        <v>4</v>
      </c>
      <c r="DA78" s="3" t="e">
        <f>NA()</f>
        <v>#N/A</v>
      </c>
      <c r="DB78" s="36">
        <f t="shared" si="12"/>
        <v>0</v>
      </c>
      <c r="DC78" s="3" t="e">
        <f t="shared" si="13"/>
        <v>#N/A</v>
      </c>
      <c r="DD78" s="3">
        <f t="shared" si="14"/>
        <v>0</v>
      </c>
      <c r="DE78" s="3">
        <f t="shared" si="15"/>
        <v>0</v>
      </c>
      <c r="DF78" s="3" t="e">
        <f t="shared" si="16"/>
        <v>#N/A</v>
      </c>
      <c r="DG78" s="3" t="e">
        <f t="shared" si="17"/>
        <v>#N/A</v>
      </c>
    </row>
    <row r="79" spans="1:116" x14ac:dyDescent="0.4">
      <c r="A79" s="3">
        <v>202410</v>
      </c>
      <c r="B79" s="3">
        <v>111</v>
      </c>
      <c r="C79" s="5">
        <v>45584.551226851851</v>
      </c>
      <c r="D79" s="5">
        <v>45584.554027777776</v>
      </c>
      <c r="E79" s="3">
        <v>0</v>
      </c>
      <c r="F79" s="4" t="s">
        <v>829</v>
      </c>
      <c r="G79" s="3">
        <v>100</v>
      </c>
      <c r="H79" s="3">
        <v>242</v>
      </c>
      <c r="I79" s="3">
        <v>1</v>
      </c>
      <c r="J79" s="5">
        <v>45584.554051770836</v>
      </c>
      <c r="K79" s="4" t="s">
        <v>830</v>
      </c>
      <c r="L79" s="4" t="s">
        <v>122</v>
      </c>
      <c r="M79" s="4" t="s">
        <v>122</v>
      </c>
      <c r="N79" s="4" t="s">
        <v>122</v>
      </c>
      <c r="O79" s="4" t="s">
        <v>122</v>
      </c>
      <c r="P79" s="3">
        <v>32.250300000000003</v>
      </c>
      <c r="Q79" s="3">
        <v>-110.94499999999999</v>
      </c>
      <c r="R79" s="4" t="s">
        <v>123</v>
      </c>
      <c r="S79" s="4" t="s">
        <v>124</v>
      </c>
      <c r="T79" s="4" t="s">
        <v>831</v>
      </c>
      <c r="U79" s="3">
        <v>1</v>
      </c>
      <c r="V79" s="3">
        <v>1</v>
      </c>
      <c r="W79" s="3">
        <v>2</v>
      </c>
      <c r="X79" s="3">
        <v>1</v>
      </c>
      <c r="Y79" s="3">
        <v>2</v>
      </c>
      <c r="Z79" s="3">
        <v>2</v>
      </c>
      <c r="AA79" s="3">
        <v>1</v>
      </c>
      <c r="AG79" s="3">
        <v>2</v>
      </c>
      <c r="AH79" s="3">
        <v>4.5</v>
      </c>
      <c r="AI79" s="3">
        <v>2</v>
      </c>
      <c r="AJ79" s="3">
        <v>2</v>
      </c>
      <c r="AK79" s="3">
        <v>7</v>
      </c>
      <c r="AL79" s="3">
        <v>7</v>
      </c>
      <c r="AM79" s="3">
        <v>2</v>
      </c>
      <c r="AN79" s="3">
        <v>7</v>
      </c>
      <c r="AO79" s="3">
        <v>4</v>
      </c>
      <c r="AP79" s="3">
        <v>4</v>
      </c>
      <c r="AQ79" s="4" t="s">
        <v>122</v>
      </c>
      <c r="AR79" s="4" t="s">
        <v>122</v>
      </c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 t="s">
        <v>122</v>
      </c>
      <c r="BD79" s="4" t="s">
        <v>122</v>
      </c>
      <c r="BE79" s="4" t="s">
        <v>122</v>
      </c>
      <c r="BF79" s="4" t="s">
        <v>122</v>
      </c>
      <c r="BG79" s="4" t="s">
        <v>122</v>
      </c>
      <c r="BH79" s="4"/>
      <c r="BI79" s="4" t="s">
        <v>122</v>
      </c>
      <c r="BJ79" s="4" t="s">
        <v>122</v>
      </c>
      <c r="BK79" s="4" t="s">
        <v>122</v>
      </c>
      <c r="BL79" s="4" t="s">
        <v>122</v>
      </c>
      <c r="BM79" s="4" t="s">
        <v>122</v>
      </c>
      <c r="BN79" s="4" t="s">
        <v>122</v>
      </c>
      <c r="BO79" s="4"/>
      <c r="BP79" s="3">
        <v>4</v>
      </c>
      <c r="BQ79" s="3">
        <v>2</v>
      </c>
      <c r="BR79" s="4" t="s">
        <v>125</v>
      </c>
      <c r="BS79" s="4" t="s">
        <v>122</v>
      </c>
      <c r="BT79" s="4" t="s">
        <v>122</v>
      </c>
      <c r="BU79" s="4"/>
      <c r="BV79" s="4" t="s">
        <v>125</v>
      </c>
      <c r="BW79" s="4" t="s">
        <v>122</v>
      </c>
      <c r="BX79" s="4" t="s">
        <v>122</v>
      </c>
      <c r="BY79" s="4" t="s">
        <v>122</v>
      </c>
      <c r="BZ79" s="4" t="s">
        <v>122</v>
      </c>
      <c r="CA79" s="3">
        <v>4</v>
      </c>
      <c r="CD79" s="3">
        <v>4</v>
      </c>
      <c r="CE79" s="3">
        <v>3</v>
      </c>
      <c r="CF79" s="3">
        <v>2</v>
      </c>
      <c r="CG79" s="4" t="s">
        <v>122</v>
      </c>
      <c r="CH79" s="3">
        <v>5</v>
      </c>
      <c r="CI79" s="4" t="s">
        <v>122</v>
      </c>
      <c r="CJ79" s="4" t="s">
        <v>122</v>
      </c>
      <c r="CK79" s="4" t="s">
        <v>122</v>
      </c>
      <c r="CL79" s="4" t="s">
        <v>125</v>
      </c>
      <c r="CM79" s="4" t="s">
        <v>122</v>
      </c>
      <c r="CN79" s="4" t="s">
        <v>122</v>
      </c>
      <c r="CO79" s="4" t="s">
        <v>122</v>
      </c>
      <c r="CP79" s="4" t="s">
        <v>122</v>
      </c>
      <c r="CQ79" s="4" t="s">
        <v>122</v>
      </c>
      <c r="CR79" s="4" t="s">
        <v>122</v>
      </c>
      <c r="CS79" s="3">
        <v>5</v>
      </c>
      <c r="CT79" s="3">
        <v>3</v>
      </c>
      <c r="CU79" s="3">
        <v>0</v>
      </c>
      <c r="CV79">
        <v>1</v>
      </c>
      <c r="CW79" cm="1">
        <f t="array" ref="CW79">_xlfn.IFS(CU79*1=1,1,CU79*1=2,1,TRUE,0)</f>
        <v>0</v>
      </c>
      <c r="CX79" s="3" t="e">
        <f>NA()</f>
        <v>#N/A</v>
      </c>
      <c r="CY79" s="3">
        <f t="shared" si="11"/>
        <v>4</v>
      </c>
      <c r="CZ79" s="3" cm="1">
        <f t="array" ref="CZ79">_xlfn.IFS(BP79&lt;&gt;"", BP79, CV79=1,  AQ79, CV79=0,  AZ79)</f>
        <v>4</v>
      </c>
      <c r="DA79" s="3" t="e">
        <f>NA()</f>
        <v>#N/A</v>
      </c>
      <c r="DB79" s="36">
        <f t="shared" si="12"/>
        <v>-0.5</v>
      </c>
      <c r="DC79" s="3" t="e">
        <f t="shared" si="13"/>
        <v>#N/A</v>
      </c>
      <c r="DD79" s="3">
        <f t="shared" si="14"/>
        <v>-0.5</v>
      </c>
      <c r="DE79" s="3">
        <f t="shared" si="15"/>
        <v>-0.5</v>
      </c>
      <c r="DF79" s="3" t="e">
        <f t="shared" si="16"/>
        <v>#N/A</v>
      </c>
      <c r="DG79" s="3" t="e">
        <f t="shared" si="17"/>
        <v>#N/A</v>
      </c>
    </row>
    <row r="80" spans="1:116" x14ac:dyDescent="0.4">
      <c r="A80" s="3">
        <v>202410</v>
      </c>
      <c r="B80" s="3">
        <v>111</v>
      </c>
      <c r="C80" s="5">
        <v>45584.553784722222</v>
      </c>
      <c r="D80" s="5">
        <v>45584.556435185186</v>
      </c>
      <c r="E80" s="3">
        <v>0</v>
      </c>
      <c r="F80" s="4" t="s">
        <v>736</v>
      </c>
      <c r="G80" s="3">
        <v>100</v>
      </c>
      <c r="H80" s="3">
        <v>228</v>
      </c>
      <c r="I80" s="3">
        <v>1</v>
      </c>
      <c r="J80" s="5">
        <v>45584.556450254633</v>
      </c>
      <c r="K80" s="4" t="s">
        <v>838</v>
      </c>
      <c r="L80" s="4" t="s">
        <v>122</v>
      </c>
      <c r="M80" s="4" t="s">
        <v>122</v>
      </c>
      <c r="N80" s="4" t="s">
        <v>122</v>
      </c>
      <c r="O80" s="4" t="s">
        <v>122</v>
      </c>
      <c r="P80" s="3">
        <v>32.250300000000003</v>
      </c>
      <c r="Q80" s="3">
        <v>-110.94499999999999</v>
      </c>
      <c r="R80" s="4" t="s">
        <v>129</v>
      </c>
      <c r="S80" s="4" t="s">
        <v>124</v>
      </c>
      <c r="T80" s="4" t="s">
        <v>839</v>
      </c>
      <c r="U80" s="3">
        <v>0</v>
      </c>
      <c r="V80" s="3">
        <v>1</v>
      </c>
      <c r="W80" s="3">
        <v>1</v>
      </c>
      <c r="X80" s="3">
        <v>1</v>
      </c>
      <c r="Y80" s="3">
        <v>2</v>
      </c>
      <c r="Z80" s="3">
        <v>1</v>
      </c>
      <c r="AA80" s="3">
        <v>1</v>
      </c>
      <c r="AG80" s="3">
        <v>3</v>
      </c>
      <c r="AH80" s="3">
        <v>5.5</v>
      </c>
      <c r="AI80" s="3">
        <v>2</v>
      </c>
      <c r="AJ80" s="3">
        <v>6</v>
      </c>
      <c r="AK80" s="3">
        <v>7</v>
      </c>
      <c r="AL80" s="3">
        <v>6</v>
      </c>
      <c r="AM80" s="3">
        <v>6</v>
      </c>
      <c r="AN80" s="3">
        <v>6</v>
      </c>
      <c r="AO80" s="3">
        <v>3</v>
      </c>
      <c r="AP80" s="3">
        <v>3</v>
      </c>
      <c r="AQ80" s="3">
        <v>5.5</v>
      </c>
      <c r="AR80" s="3">
        <v>2</v>
      </c>
      <c r="BC80" s="3">
        <v>5.5</v>
      </c>
      <c r="BD80" s="3">
        <v>2</v>
      </c>
      <c r="BE80" s="4" t="s">
        <v>125</v>
      </c>
      <c r="BF80" s="4" t="s">
        <v>125</v>
      </c>
      <c r="BG80" s="4" t="s">
        <v>122</v>
      </c>
      <c r="BH80" s="4"/>
      <c r="BI80" s="4" t="s">
        <v>122</v>
      </c>
      <c r="BJ80" s="4" t="s">
        <v>122</v>
      </c>
      <c r="BK80" s="4" t="s">
        <v>122</v>
      </c>
      <c r="BL80" s="4" t="s">
        <v>122</v>
      </c>
      <c r="BM80" s="4" t="s">
        <v>122</v>
      </c>
      <c r="BN80" s="3">
        <v>1</v>
      </c>
      <c r="BP80" s="4" t="s">
        <v>122</v>
      </c>
      <c r="BQ80" s="4" t="s">
        <v>122</v>
      </c>
      <c r="BR80" s="4" t="s">
        <v>122</v>
      </c>
      <c r="BS80" s="4" t="s">
        <v>122</v>
      </c>
      <c r="BT80" s="4" t="s">
        <v>122</v>
      </c>
      <c r="BU80" s="4"/>
      <c r="BV80" s="4" t="s">
        <v>122</v>
      </c>
      <c r="BW80" s="4" t="s">
        <v>122</v>
      </c>
      <c r="BX80" s="4" t="s">
        <v>122</v>
      </c>
      <c r="BY80" s="4" t="s">
        <v>122</v>
      </c>
      <c r="BZ80" s="4" t="s">
        <v>122</v>
      </c>
      <c r="CA80" s="4" t="s">
        <v>122</v>
      </c>
      <c r="CD80" s="4" t="s">
        <v>122</v>
      </c>
      <c r="CE80" s="4" t="s">
        <v>122</v>
      </c>
      <c r="CF80" s="3">
        <v>1</v>
      </c>
      <c r="CG80" s="4" t="s">
        <v>122</v>
      </c>
      <c r="CH80" s="3">
        <v>2</v>
      </c>
      <c r="CI80" s="4" t="s">
        <v>122</v>
      </c>
      <c r="CJ80" s="4" t="s">
        <v>122</v>
      </c>
      <c r="CK80" s="4" t="s">
        <v>122</v>
      </c>
      <c r="CL80" s="4" t="s">
        <v>122</v>
      </c>
      <c r="CM80" s="4" t="s">
        <v>122</v>
      </c>
      <c r="CN80" s="4" t="s">
        <v>122</v>
      </c>
      <c r="CO80" s="4" t="s">
        <v>125</v>
      </c>
      <c r="CP80" s="4" t="s">
        <v>122</v>
      </c>
      <c r="CQ80" s="4" t="s">
        <v>122</v>
      </c>
      <c r="CR80" s="4" t="s">
        <v>122</v>
      </c>
      <c r="CS80" s="3">
        <v>5</v>
      </c>
      <c r="CT80" s="3">
        <v>4</v>
      </c>
      <c r="CU80" s="3">
        <v>1</v>
      </c>
      <c r="CV80">
        <v>1</v>
      </c>
      <c r="CW80" cm="1">
        <f t="array" ref="CW80">_xlfn.IFS(CU80*1=1,1,CU80*1=2,1,TRUE,0)</f>
        <v>1</v>
      </c>
      <c r="CX80" s="3" t="e">
        <f>NA()</f>
        <v>#N/A</v>
      </c>
      <c r="CY80" s="3">
        <f t="shared" si="11"/>
        <v>5.5</v>
      </c>
      <c r="CZ80" s="3" cm="1">
        <f t="array" ref="CZ80">_xlfn.IFS(BP80&lt;&gt;"", BP80, CV80=1,  AQ80, CV80=0,  AZ80)</f>
        <v>5.5</v>
      </c>
      <c r="DA80" s="3" t="e">
        <f>NA()</f>
        <v>#N/A</v>
      </c>
      <c r="DB80" s="36">
        <f t="shared" si="12"/>
        <v>0</v>
      </c>
      <c r="DC80" s="3" t="e">
        <f t="shared" si="13"/>
        <v>#N/A</v>
      </c>
      <c r="DD80" s="3">
        <f t="shared" si="14"/>
        <v>0</v>
      </c>
      <c r="DE80" s="3">
        <f t="shared" si="15"/>
        <v>0</v>
      </c>
      <c r="DF80" s="3" t="e">
        <f t="shared" si="16"/>
        <v>#N/A</v>
      </c>
      <c r="DG80" s="3" t="e">
        <f t="shared" si="17"/>
        <v>#N/A</v>
      </c>
    </row>
    <row r="81" spans="1:111" x14ac:dyDescent="0.4">
      <c r="A81" s="3">
        <v>202410</v>
      </c>
      <c r="B81" s="3">
        <v>111</v>
      </c>
      <c r="C81" s="5">
        <v>45584.553865740738</v>
      </c>
      <c r="D81" s="5">
        <v>45584.556192129632</v>
      </c>
      <c r="E81" s="3">
        <v>0</v>
      </c>
      <c r="F81" s="4" t="s">
        <v>835</v>
      </c>
      <c r="G81" s="3">
        <v>100</v>
      </c>
      <c r="H81" s="3">
        <v>201</v>
      </c>
      <c r="I81" s="3">
        <v>1</v>
      </c>
      <c r="J81" s="5">
        <v>45584.556214131946</v>
      </c>
      <c r="K81" s="4" t="s">
        <v>836</v>
      </c>
      <c r="L81" s="4" t="s">
        <v>122</v>
      </c>
      <c r="M81" s="4" t="s">
        <v>122</v>
      </c>
      <c r="N81" s="4" t="s">
        <v>122</v>
      </c>
      <c r="O81" s="4" t="s">
        <v>122</v>
      </c>
      <c r="P81" s="3">
        <v>33.6325</v>
      </c>
      <c r="Q81" s="3">
        <v>-112.1277</v>
      </c>
      <c r="R81" s="4" t="s">
        <v>129</v>
      </c>
      <c r="S81" s="4" t="s">
        <v>124</v>
      </c>
      <c r="T81" s="4" t="s">
        <v>837</v>
      </c>
      <c r="U81" s="3">
        <v>1</v>
      </c>
      <c r="V81" s="3">
        <v>5</v>
      </c>
      <c r="W81" s="3">
        <v>3</v>
      </c>
      <c r="X81" s="3">
        <v>1</v>
      </c>
      <c r="Y81" s="3">
        <v>1</v>
      </c>
      <c r="Z81" s="3">
        <v>1</v>
      </c>
      <c r="AA81" s="3">
        <v>1</v>
      </c>
      <c r="AG81" s="3">
        <v>2</v>
      </c>
      <c r="AH81" s="3">
        <v>6</v>
      </c>
      <c r="AI81" s="3">
        <v>3</v>
      </c>
      <c r="AJ81" s="3">
        <v>9</v>
      </c>
      <c r="AK81" s="3">
        <v>9</v>
      </c>
      <c r="AL81" s="3">
        <v>9</v>
      </c>
      <c r="AM81" s="3">
        <v>9</v>
      </c>
      <c r="AN81" s="3">
        <v>9</v>
      </c>
      <c r="AO81" s="3">
        <v>3</v>
      </c>
      <c r="AP81" s="3">
        <v>3</v>
      </c>
      <c r="AQ81" s="4" t="s">
        <v>122</v>
      </c>
      <c r="AR81" s="4" t="s">
        <v>122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 t="s">
        <v>122</v>
      </c>
      <c r="BD81" s="4" t="s">
        <v>122</v>
      </c>
      <c r="BE81" s="4" t="s">
        <v>122</v>
      </c>
      <c r="BF81" s="4" t="s">
        <v>122</v>
      </c>
      <c r="BG81" s="4" t="s">
        <v>122</v>
      </c>
      <c r="BH81" s="4"/>
      <c r="BI81" s="4" t="s">
        <v>122</v>
      </c>
      <c r="BJ81" s="4" t="s">
        <v>122</v>
      </c>
      <c r="BK81" s="4" t="s">
        <v>122</v>
      </c>
      <c r="BL81" s="4" t="s">
        <v>122</v>
      </c>
      <c r="BM81" s="4" t="s">
        <v>122</v>
      </c>
      <c r="BN81" s="4" t="s">
        <v>122</v>
      </c>
      <c r="BO81" s="4"/>
      <c r="BP81" s="3">
        <v>6</v>
      </c>
      <c r="BQ81" s="3">
        <v>3</v>
      </c>
      <c r="BR81" s="4" t="s">
        <v>125</v>
      </c>
      <c r="BS81" s="4" t="s">
        <v>122</v>
      </c>
      <c r="BT81" s="4" t="s">
        <v>122</v>
      </c>
      <c r="BU81" s="4"/>
      <c r="BV81" s="4" t="s">
        <v>122</v>
      </c>
      <c r="BW81" s="4" t="s">
        <v>122</v>
      </c>
      <c r="BX81" s="4" t="s">
        <v>122</v>
      </c>
      <c r="BY81" s="4" t="s">
        <v>122</v>
      </c>
      <c r="BZ81" s="4" t="s">
        <v>122</v>
      </c>
      <c r="CA81" s="3">
        <v>1</v>
      </c>
      <c r="CD81" s="3">
        <v>6.5</v>
      </c>
      <c r="CE81" s="3">
        <v>3</v>
      </c>
      <c r="CF81" s="3">
        <v>1</v>
      </c>
      <c r="CG81" s="4" t="s">
        <v>122</v>
      </c>
      <c r="CH81" s="3">
        <v>2</v>
      </c>
      <c r="CI81" s="4" t="s">
        <v>122</v>
      </c>
      <c r="CJ81" s="4" t="s">
        <v>122</v>
      </c>
      <c r="CK81" s="4" t="s">
        <v>122</v>
      </c>
      <c r="CL81" s="4" t="s">
        <v>122</v>
      </c>
      <c r="CM81" s="4" t="s">
        <v>122</v>
      </c>
      <c r="CN81" s="4" t="s">
        <v>122</v>
      </c>
      <c r="CO81" s="4" t="s">
        <v>125</v>
      </c>
      <c r="CP81" s="4" t="s">
        <v>122</v>
      </c>
      <c r="CQ81" s="4" t="s">
        <v>122</v>
      </c>
      <c r="CR81" s="4" t="s">
        <v>122</v>
      </c>
      <c r="CS81" s="3">
        <v>4</v>
      </c>
      <c r="CT81" s="3">
        <v>6</v>
      </c>
      <c r="CU81" s="3">
        <v>0</v>
      </c>
      <c r="CV81">
        <v>1</v>
      </c>
      <c r="CW81" cm="1">
        <f t="array" ref="CW81">_xlfn.IFS(CU81*1=1,1,CU81*1=2,1,TRUE,0)</f>
        <v>0</v>
      </c>
      <c r="CX81" s="3" t="e">
        <f>NA()</f>
        <v>#N/A</v>
      </c>
      <c r="CY81" s="3">
        <f t="shared" si="11"/>
        <v>6.5</v>
      </c>
      <c r="CZ81" s="3" cm="1">
        <f t="array" ref="CZ81">_xlfn.IFS(BP81&lt;&gt;"", BP81, CV81=1,  AQ81, CV81=0,  AZ81)</f>
        <v>6</v>
      </c>
      <c r="DA81" s="3" t="e">
        <f>NA()</f>
        <v>#N/A</v>
      </c>
      <c r="DB81" s="36">
        <f t="shared" si="12"/>
        <v>0.5</v>
      </c>
      <c r="DC81" s="3" t="e">
        <f t="shared" si="13"/>
        <v>#N/A</v>
      </c>
      <c r="DD81" s="3">
        <f t="shared" si="14"/>
        <v>0.5</v>
      </c>
      <c r="DE81" s="3">
        <f t="shared" si="15"/>
        <v>0</v>
      </c>
      <c r="DF81" s="3" t="e">
        <f t="shared" si="16"/>
        <v>#N/A</v>
      </c>
      <c r="DG81" s="3" t="e">
        <f t="shared" si="17"/>
        <v>#N/A</v>
      </c>
    </row>
    <row r="82" spans="1:111" x14ac:dyDescent="0.4">
      <c r="A82" s="3">
        <v>202410</v>
      </c>
      <c r="B82" s="3">
        <v>111</v>
      </c>
      <c r="C82" s="5">
        <v>45584.558229166665</v>
      </c>
      <c r="D82" s="5">
        <v>45584.56082175926</v>
      </c>
      <c r="E82" s="3">
        <v>0</v>
      </c>
      <c r="F82" s="4" t="s">
        <v>736</v>
      </c>
      <c r="G82" s="3">
        <v>100</v>
      </c>
      <c r="H82" s="3">
        <v>224</v>
      </c>
      <c r="I82" s="3">
        <v>1</v>
      </c>
      <c r="J82" s="5">
        <v>45584.560848240741</v>
      </c>
      <c r="K82" s="4" t="s">
        <v>840</v>
      </c>
      <c r="L82" s="4" t="s">
        <v>122</v>
      </c>
      <c r="M82" s="4" t="s">
        <v>122</v>
      </c>
      <c r="N82" s="4" t="s">
        <v>122</v>
      </c>
      <c r="O82" s="4" t="s">
        <v>122</v>
      </c>
      <c r="P82" s="3">
        <v>32.250300000000003</v>
      </c>
      <c r="Q82" s="3">
        <v>-110.94499999999999</v>
      </c>
      <c r="R82" s="4" t="s">
        <v>129</v>
      </c>
      <c r="S82" s="4" t="s">
        <v>124</v>
      </c>
      <c r="T82" s="4" t="s">
        <v>841</v>
      </c>
      <c r="U82" s="3">
        <v>1</v>
      </c>
      <c r="V82" s="3">
        <v>2</v>
      </c>
      <c r="W82" s="3">
        <v>3</v>
      </c>
      <c r="X82" s="3">
        <v>1</v>
      </c>
      <c r="Y82" s="3">
        <v>2</v>
      </c>
      <c r="Z82" s="3">
        <v>2</v>
      </c>
      <c r="AA82" s="3">
        <v>1</v>
      </c>
      <c r="AG82" s="3">
        <v>5</v>
      </c>
      <c r="AH82" s="3">
        <v>5</v>
      </c>
      <c r="AI82" s="3">
        <v>3</v>
      </c>
      <c r="AJ82" s="3">
        <v>7</v>
      </c>
      <c r="AK82" s="3">
        <v>8</v>
      </c>
      <c r="AL82" s="3">
        <v>6</v>
      </c>
      <c r="AM82" s="3">
        <v>7</v>
      </c>
      <c r="AN82" s="3">
        <v>8</v>
      </c>
      <c r="AO82" s="3">
        <v>3</v>
      </c>
      <c r="AP82" s="3">
        <v>3</v>
      </c>
      <c r="AQ82" s="4" t="s">
        <v>122</v>
      </c>
      <c r="AR82" s="4" t="s">
        <v>122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 t="s">
        <v>122</v>
      </c>
      <c r="BD82" s="4" t="s">
        <v>122</v>
      </c>
      <c r="BE82" s="4" t="s">
        <v>122</v>
      </c>
      <c r="BF82" s="4" t="s">
        <v>122</v>
      </c>
      <c r="BG82" s="4" t="s">
        <v>122</v>
      </c>
      <c r="BH82" s="4"/>
      <c r="BI82" s="4" t="s">
        <v>122</v>
      </c>
      <c r="BJ82" s="4" t="s">
        <v>122</v>
      </c>
      <c r="BK82" s="4" t="s">
        <v>122</v>
      </c>
      <c r="BL82" s="4" t="s">
        <v>122</v>
      </c>
      <c r="BM82" s="4" t="s">
        <v>122</v>
      </c>
      <c r="BN82" s="4" t="s">
        <v>122</v>
      </c>
      <c r="BO82" s="4"/>
      <c r="BP82" s="3">
        <v>4.5</v>
      </c>
      <c r="BQ82" s="3">
        <v>3</v>
      </c>
      <c r="BR82" s="4" t="s">
        <v>125</v>
      </c>
      <c r="BS82" s="4" t="s">
        <v>122</v>
      </c>
      <c r="BT82" s="4" t="s">
        <v>122</v>
      </c>
      <c r="BU82" s="4"/>
      <c r="BV82" s="4" t="s">
        <v>125</v>
      </c>
      <c r="BW82" s="4" t="s">
        <v>122</v>
      </c>
      <c r="BX82" s="4" t="s">
        <v>122</v>
      </c>
      <c r="BY82" s="4" t="s">
        <v>122</v>
      </c>
      <c r="BZ82" s="4" t="s">
        <v>122</v>
      </c>
      <c r="CA82" s="3">
        <v>1</v>
      </c>
      <c r="CD82" s="3">
        <v>4.5</v>
      </c>
      <c r="CE82" s="3">
        <v>3</v>
      </c>
      <c r="CF82" s="3">
        <v>2</v>
      </c>
      <c r="CG82" s="4" t="s">
        <v>122</v>
      </c>
      <c r="CH82" s="3">
        <v>1</v>
      </c>
      <c r="CI82" s="4" t="s">
        <v>122</v>
      </c>
      <c r="CJ82" s="4" t="s">
        <v>122</v>
      </c>
      <c r="CK82" s="4" t="s">
        <v>122</v>
      </c>
      <c r="CL82" s="4" t="s">
        <v>122</v>
      </c>
      <c r="CM82" s="4" t="s">
        <v>122</v>
      </c>
      <c r="CN82" s="4" t="s">
        <v>122</v>
      </c>
      <c r="CO82" s="4" t="s">
        <v>125</v>
      </c>
      <c r="CP82" s="4" t="s">
        <v>122</v>
      </c>
      <c r="CQ82" s="4" t="s">
        <v>122</v>
      </c>
      <c r="CR82" s="4" t="s">
        <v>122</v>
      </c>
      <c r="CS82" s="3">
        <v>2</v>
      </c>
      <c r="CT82" s="3">
        <v>1</v>
      </c>
      <c r="CU82" s="3">
        <v>0</v>
      </c>
      <c r="CV82">
        <v>1</v>
      </c>
      <c r="CW82" cm="1">
        <f t="array" ref="CW82">_xlfn.IFS(CU82*1=1,1,CU82*1=2,1,TRUE,0)</f>
        <v>0</v>
      </c>
      <c r="CX82" s="3" t="e">
        <f>NA()</f>
        <v>#N/A</v>
      </c>
      <c r="CY82" s="3">
        <f t="shared" si="11"/>
        <v>4.5</v>
      </c>
      <c r="CZ82" s="3" cm="1">
        <f t="array" ref="CZ82">_xlfn.IFS(BP82&lt;&gt;"", BP82, CV82=1,  AQ82, CV82=0,  AZ82)</f>
        <v>4.5</v>
      </c>
      <c r="DA82" s="3" t="e">
        <f>NA()</f>
        <v>#N/A</v>
      </c>
      <c r="DB82" s="36">
        <f t="shared" si="12"/>
        <v>-0.5</v>
      </c>
      <c r="DC82" s="3" t="e">
        <f t="shared" si="13"/>
        <v>#N/A</v>
      </c>
      <c r="DD82" s="3">
        <f t="shared" si="14"/>
        <v>-0.5</v>
      </c>
      <c r="DE82" s="3">
        <f t="shared" si="15"/>
        <v>-0.5</v>
      </c>
      <c r="DF82" s="3" t="e">
        <f t="shared" si="16"/>
        <v>#N/A</v>
      </c>
      <c r="DG82" s="3" t="e">
        <f t="shared" si="17"/>
        <v>#N/A</v>
      </c>
    </row>
    <row r="83" spans="1:111" x14ac:dyDescent="0.4">
      <c r="A83" s="3">
        <v>202410</v>
      </c>
      <c r="B83" s="3">
        <v>111</v>
      </c>
      <c r="C83" s="5">
        <v>45584.559131944443</v>
      </c>
      <c r="D83" s="5">
        <v>45584.56287037037</v>
      </c>
      <c r="E83" s="3">
        <v>0</v>
      </c>
      <c r="F83" s="4" t="s">
        <v>845</v>
      </c>
      <c r="G83" s="3">
        <v>100</v>
      </c>
      <c r="H83" s="3">
        <v>322</v>
      </c>
      <c r="I83" s="3">
        <v>1</v>
      </c>
      <c r="J83" s="5">
        <v>45584.562883449071</v>
      </c>
      <c r="K83" s="4" t="s">
        <v>846</v>
      </c>
      <c r="L83" s="4" t="s">
        <v>122</v>
      </c>
      <c r="M83" s="4" t="s">
        <v>122</v>
      </c>
      <c r="N83" s="4" t="s">
        <v>122</v>
      </c>
      <c r="O83" s="4" t="s">
        <v>122</v>
      </c>
      <c r="P83" s="3">
        <v>32.309800000000003</v>
      </c>
      <c r="Q83" s="3">
        <v>-110.91500000000001</v>
      </c>
      <c r="R83" s="4" t="s">
        <v>129</v>
      </c>
      <c r="S83" s="4" t="s">
        <v>124</v>
      </c>
      <c r="T83" s="4" t="s">
        <v>847</v>
      </c>
      <c r="U83" s="3">
        <v>1</v>
      </c>
      <c r="V83" s="3">
        <v>3</v>
      </c>
      <c r="W83" s="3">
        <v>1</v>
      </c>
      <c r="X83" s="3">
        <v>1</v>
      </c>
      <c r="Y83" s="3">
        <v>3</v>
      </c>
      <c r="Z83" s="3">
        <v>4</v>
      </c>
      <c r="AA83" s="3">
        <v>1</v>
      </c>
      <c r="AG83" s="3">
        <v>2</v>
      </c>
      <c r="AH83" s="3">
        <v>4.5</v>
      </c>
      <c r="AI83" s="3">
        <v>3</v>
      </c>
      <c r="AJ83" s="3">
        <v>6</v>
      </c>
      <c r="AK83" s="3">
        <v>8</v>
      </c>
      <c r="AL83" s="3">
        <v>8</v>
      </c>
      <c r="AM83" s="3">
        <v>6</v>
      </c>
      <c r="AN83" s="3">
        <v>8</v>
      </c>
      <c r="AO83" s="3">
        <v>3</v>
      </c>
      <c r="AP83" s="3">
        <v>2</v>
      </c>
      <c r="AQ83" s="3">
        <v>4.5</v>
      </c>
      <c r="AR83" s="3">
        <v>3</v>
      </c>
      <c r="BC83" s="3">
        <v>4.5</v>
      </c>
      <c r="BD83" s="3">
        <v>3</v>
      </c>
      <c r="BE83" s="4" t="s">
        <v>125</v>
      </c>
      <c r="BF83" s="4" t="s">
        <v>122</v>
      </c>
      <c r="BG83" s="4" t="s">
        <v>122</v>
      </c>
      <c r="BH83" s="4"/>
      <c r="BI83" s="4" t="s">
        <v>122</v>
      </c>
      <c r="BJ83" s="4" t="s">
        <v>122</v>
      </c>
      <c r="BK83" s="4" t="s">
        <v>122</v>
      </c>
      <c r="BL83" s="4" t="s">
        <v>122</v>
      </c>
      <c r="BM83" s="4" t="s">
        <v>122</v>
      </c>
      <c r="BN83" s="3">
        <v>1</v>
      </c>
      <c r="BP83" s="4" t="s">
        <v>122</v>
      </c>
      <c r="BQ83" s="4" t="s">
        <v>122</v>
      </c>
      <c r="BR83" s="4" t="s">
        <v>122</v>
      </c>
      <c r="BS83" s="4" t="s">
        <v>122</v>
      </c>
      <c r="BT83" s="4" t="s">
        <v>122</v>
      </c>
      <c r="BU83" s="4"/>
      <c r="BV83" s="4" t="s">
        <v>122</v>
      </c>
      <c r="BW83" s="4" t="s">
        <v>122</v>
      </c>
      <c r="BX83" s="4" t="s">
        <v>122</v>
      </c>
      <c r="BY83" s="4" t="s">
        <v>122</v>
      </c>
      <c r="BZ83" s="4" t="s">
        <v>122</v>
      </c>
      <c r="CA83" s="4" t="s">
        <v>122</v>
      </c>
      <c r="CD83" s="4" t="s">
        <v>122</v>
      </c>
      <c r="CE83" s="4" t="s">
        <v>122</v>
      </c>
      <c r="CF83" s="3">
        <v>2</v>
      </c>
      <c r="CG83" s="4" t="s">
        <v>122</v>
      </c>
      <c r="CH83" s="3">
        <v>4</v>
      </c>
      <c r="CI83" s="4" t="s">
        <v>122</v>
      </c>
      <c r="CJ83" s="4" t="s">
        <v>122</v>
      </c>
      <c r="CK83" s="4" t="s">
        <v>125</v>
      </c>
      <c r="CL83" s="4" t="s">
        <v>122</v>
      </c>
      <c r="CM83" s="4" t="s">
        <v>122</v>
      </c>
      <c r="CN83" s="4" t="s">
        <v>122</v>
      </c>
      <c r="CO83" s="4" t="s">
        <v>122</v>
      </c>
      <c r="CP83" s="4" t="s">
        <v>122</v>
      </c>
      <c r="CQ83" s="4" t="s">
        <v>122</v>
      </c>
      <c r="CR83" s="4" t="s">
        <v>122</v>
      </c>
      <c r="CS83" s="3">
        <v>5</v>
      </c>
      <c r="CT83" s="3">
        <v>6</v>
      </c>
      <c r="CU83" s="3">
        <v>1</v>
      </c>
      <c r="CV83">
        <v>1</v>
      </c>
      <c r="CW83" cm="1">
        <f t="array" ref="CW83">_xlfn.IFS(CU83*1=1,1,CU83*1=2,1,TRUE,0)</f>
        <v>1</v>
      </c>
      <c r="CX83" s="3" t="e">
        <f>NA()</f>
        <v>#N/A</v>
      </c>
      <c r="CY83" s="3">
        <f t="shared" si="11"/>
        <v>4.5</v>
      </c>
      <c r="CZ83" s="3" cm="1">
        <f t="array" ref="CZ83">_xlfn.IFS(BP83&lt;&gt;"", BP83, CV83=1,  AQ83, CV83=0,  AZ83)</f>
        <v>4.5</v>
      </c>
      <c r="DA83" s="3" t="e">
        <f>NA()</f>
        <v>#N/A</v>
      </c>
      <c r="DB83" s="36">
        <f t="shared" si="12"/>
        <v>0</v>
      </c>
      <c r="DC83" s="3" t="e">
        <f t="shared" si="13"/>
        <v>#N/A</v>
      </c>
      <c r="DD83" s="3">
        <f t="shared" si="14"/>
        <v>0</v>
      </c>
      <c r="DE83" s="3">
        <f t="shared" si="15"/>
        <v>0</v>
      </c>
      <c r="DF83" s="3" t="e">
        <f t="shared" si="16"/>
        <v>#N/A</v>
      </c>
      <c r="DG83" s="3" t="e">
        <f t="shared" si="17"/>
        <v>#N/A</v>
      </c>
    </row>
    <row r="84" spans="1:111" x14ac:dyDescent="0.4">
      <c r="A84" s="3">
        <v>202410</v>
      </c>
      <c r="B84" s="3">
        <v>111</v>
      </c>
      <c r="C84" s="5">
        <v>45584.559166666666</v>
      </c>
      <c r="D84" s="5">
        <v>45584.561967592592</v>
      </c>
      <c r="E84" s="3">
        <v>0</v>
      </c>
      <c r="F84" s="4" t="s">
        <v>842</v>
      </c>
      <c r="G84" s="3">
        <v>100</v>
      </c>
      <c r="H84" s="3">
        <v>242</v>
      </c>
      <c r="I84" s="3">
        <v>1</v>
      </c>
      <c r="J84" s="5">
        <v>45584.561987245368</v>
      </c>
      <c r="K84" s="4" t="s">
        <v>843</v>
      </c>
      <c r="L84" s="4" t="s">
        <v>122</v>
      </c>
      <c r="M84" s="4" t="s">
        <v>122</v>
      </c>
      <c r="N84" s="4" t="s">
        <v>122</v>
      </c>
      <c r="O84" s="4" t="s">
        <v>122</v>
      </c>
      <c r="P84" s="3">
        <v>36.168500000000002</v>
      </c>
      <c r="Q84" s="3">
        <v>-115.1164</v>
      </c>
      <c r="R84" s="4" t="s">
        <v>129</v>
      </c>
      <c r="S84" s="4" t="s">
        <v>124</v>
      </c>
      <c r="T84" s="4" t="s">
        <v>844</v>
      </c>
      <c r="U84" s="3">
        <v>0</v>
      </c>
      <c r="V84" s="3">
        <v>1</v>
      </c>
      <c r="W84" s="3">
        <v>1</v>
      </c>
      <c r="X84" s="3">
        <v>2</v>
      </c>
      <c r="Y84" s="3">
        <v>3</v>
      </c>
      <c r="Z84" s="3">
        <v>2</v>
      </c>
      <c r="AA84" s="3">
        <v>2</v>
      </c>
      <c r="AG84" s="3">
        <v>2</v>
      </c>
      <c r="AH84" s="3">
        <v>4.5</v>
      </c>
      <c r="AI84" s="3">
        <v>2</v>
      </c>
      <c r="AJ84" s="3">
        <v>4</v>
      </c>
      <c r="AK84" s="3">
        <v>8</v>
      </c>
      <c r="AL84" s="3">
        <v>7</v>
      </c>
      <c r="AM84" s="3">
        <v>4</v>
      </c>
      <c r="AN84" s="3">
        <v>7</v>
      </c>
      <c r="AO84" s="3">
        <v>4</v>
      </c>
      <c r="AP84" s="3">
        <v>5</v>
      </c>
      <c r="AQ84" s="3">
        <v>0</v>
      </c>
      <c r="AR84" s="4" t="s">
        <v>122</v>
      </c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">
        <v>4.5</v>
      </c>
      <c r="BD84" s="3">
        <v>2</v>
      </c>
      <c r="BE84" s="4" t="s">
        <v>122</v>
      </c>
      <c r="BF84" s="4" t="s">
        <v>122</v>
      </c>
      <c r="BG84" s="4" t="s">
        <v>122</v>
      </c>
      <c r="BH84" s="4"/>
      <c r="BI84" s="4" t="s">
        <v>122</v>
      </c>
      <c r="BJ84" s="4" t="s">
        <v>122</v>
      </c>
      <c r="BK84" s="4" t="s">
        <v>122</v>
      </c>
      <c r="BL84" s="4" t="s">
        <v>122</v>
      </c>
      <c r="BM84" s="4" t="s">
        <v>125</v>
      </c>
      <c r="BN84" s="4" t="s">
        <v>122</v>
      </c>
      <c r="BO84" s="4"/>
      <c r="BP84" s="4" t="s">
        <v>122</v>
      </c>
      <c r="BQ84" s="4" t="s">
        <v>122</v>
      </c>
      <c r="BR84" s="4" t="s">
        <v>122</v>
      </c>
      <c r="BS84" s="4" t="s">
        <v>122</v>
      </c>
      <c r="BT84" s="4" t="s">
        <v>122</v>
      </c>
      <c r="BU84" s="4"/>
      <c r="BV84" s="4" t="s">
        <v>122</v>
      </c>
      <c r="BW84" s="4" t="s">
        <v>122</v>
      </c>
      <c r="BX84" s="4" t="s">
        <v>122</v>
      </c>
      <c r="BY84" s="4" t="s">
        <v>122</v>
      </c>
      <c r="BZ84" s="4" t="s">
        <v>122</v>
      </c>
      <c r="CA84" s="4" t="s">
        <v>122</v>
      </c>
      <c r="CD84" s="4" t="s">
        <v>122</v>
      </c>
      <c r="CE84" s="4" t="s">
        <v>122</v>
      </c>
      <c r="CF84" s="3">
        <v>1</v>
      </c>
      <c r="CG84" s="4" t="s">
        <v>122</v>
      </c>
      <c r="CH84" s="3">
        <v>4</v>
      </c>
      <c r="CI84" s="4" t="s">
        <v>122</v>
      </c>
      <c r="CJ84" s="4" t="s">
        <v>122</v>
      </c>
      <c r="CK84" s="4" t="s">
        <v>122</v>
      </c>
      <c r="CL84" s="4" t="s">
        <v>122</v>
      </c>
      <c r="CM84" s="4" t="s">
        <v>122</v>
      </c>
      <c r="CN84" s="4" t="s">
        <v>122</v>
      </c>
      <c r="CO84" s="4" t="s">
        <v>125</v>
      </c>
      <c r="CP84" s="4" t="s">
        <v>122</v>
      </c>
      <c r="CQ84" s="4" t="s">
        <v>122</v>
      </c>
      <c r="CR84" s="4" t="s">
        <v>122</v>
      </c>
      <c r="CS84" s="3">
        <v>5</v>
      </c>
      <c r="CT84" s="3">
        <v>6</v>
      </c>
      <c r="CU84" s="3">
        <v>1</v>
      </c>
      <c r="CV84">
        <v>1</v>
      </c>
      <c r="CW84" cm="1">
        <f t="array" ref="CW84">_xlfn.IFS(CU84*1=1,1,CU84*1=2,1,TRUE,0)</f>
        <v>1</v>
      </c>
      <c r="CX84" s="3" t="e">
        <f>NA()</f>
        <v>#N/A</v>
      </c>
      <c r="CY84" s="3">
        <f t="shared" si="11"/>
        <v>4.5</v>
      </c>
      <c r="CZ84" s="3" cm="1">
        <f t="array" ref="CZ84">_xlfn.IFS(BP84&lt;&gt;"", BP84, CV84=1,  AQ84, CV84=0,  AZ84)</f>
        <v>0</v>
      </c>
      <c r="DA84" s="3" t="e">
        <f>NA()</f>
        <v>#N/A</v>
      </c>
      <c r="DB84" s="36">
        <f t="shared" si="12"/>
        <v>0</v>
      </c>
      <c r="DC84" s="3" t="e">
        <f t="shared" si="13"/>
        <v>#N/A</v>
      </c>
      <c r="DD84" s="3">
        <f t="shared" si="14"/>
        <v>-4.5</v>
      </c>
      <c r="DE84" s="3">
        <f t="shared" si="15"/>
        <v>0</v>
      </c>
      <c r="DF84" s="3" t="e">
        <f t="shared" si="16"/>
        <v>#N/A</v>
      </c>
      <c r="DG84" s="3" t="e">
        <f t="shared" si="17"/>
        <v>#N/A</v>
      </c>
    </row>
    <row r="85" spans="1:111" x14ac:dyDescent="0.4">
      <c r="A85" s="3">
        <v>202410</v>
      </c>
      <c r="B85" s="3">
        <v>111</v>
      </c>
      <c r="C85" s="5">
        <v>45584.560034722221</v>
      </c>
      <c r="D85" s="5">
        <v>45584.563842592594</v>
      </c>
      <c r="E85" s="3">
        <v>0</v>
      </c>
      <c r="F85" s="4" t="s">
        <v>848</v>
      </c>
      <c r="G85" s="3">
        <v>100</v>
      </c>
      <c r="H85" s="3">
        <v>328</v>
      </c>
      <c r="I85" s="3">
        <v>1</v>
      </c>
      <c r="J85" s="5">
        <v>45584.563862268522</v>
      </c>
      <c r="K85" s="4" t="s">
        <v>849</v>
      </c>
      <c r="L85" s="4" t="s">
        <v>122</v>
      </c>
      <c r="M85" s="4" t="s">
        <v>122</v>
      </c>
      <c r="N85" s="4" t="s">
        <v>122</v>
      </c>
      <c r="O85" s="4" t="s">
        <v>122</v>
      </c>
      <c r="P85" s="3">
        <v>32.309800000000003</v>
      </c>
      <c r="Q85" s="3">
        <v>-110.91500000000001</v>
      </c>
      <c r="R85" s="4" t="s">
        <v>129</v>
      </c>
      <c r="S85" s="4" t="s">
        <v>124</v>
      </c>
      <c r="T85" s="4" t="s">
        <v>850</v>
      </c>
      <c r="U85" s="3">
        <v>0</v>
      </c>
      <c r="V85" s="3">
        <v>1</v>
      </c>
      <c r="W85" s="3">
        <v>1</v>
      </c>
      <c r="X85" s="3">
        <v>2</v>
      </c>
      <c r="Y85" s="3">
        <v>1</v>
      </c>
      <c r="Z85" s="3">
        <v>1</v>
      </c>
      <c r="AA85" s="3">
        <v>1</v>
      </c>
      <c r="AG85" s="3">
        <v>4</v>
      </c>
      <c r="AH85" s="3">
        <v>5.5</v>
      </c>
      <c r="AI85" s="3">
        <v>2</v>
      </c>
      <c r="AJ85" s="3">
        <v>3</v>
      </c>
      <c r="AK85" s="3">
        <v>7</v>
      </c>
      <c r="AL85" s="3">
        <v>5</v>
      </c>
      <c r="AM85" s="3">
        <v>2</v>
      </c>
      <c r="AN85" s="3">
        <v>8</v>
      </c>
      <c r="AO85" s="3">
        <v>4</v>
      </c>
      <c r="AP85" s="3">
        <v>3</v>
      </c>
      <c r="AQ85" s="3">
        <v>0</v>
      </c>
      <c r="AR85" s="4" t="s">
        <v>122</v>
      </c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">
        <v>0</v>
      </c>
      <c r="BD85" s="4" t="s">
        <v>122</v>
      </c>
      <c r="BE85" s="4" t="s">
        <v>122</v>
      </c>
      <c r="BF85" s="4" t="s">
        <v>122</v>
      </c>
      <c r="BG85" s="4" t="s">
        <v>122</v>
      </c>
      <c r="BH85" s="4"/>
      <c r="BI85" s="4" t="s">
        <v>125</v>
      </c>
      <c r="BJ85" s="4" t="s">
        <v>125</v>
      </c>
      <c r="BK85" s="4" t="s">
        <v>125</v>
      </c>
      <c r="BL85" s="4" t="s">
        <v>122</v>
      </c>
      <c r="BM85" s="4" t="s">
        <v>122</v>
      </c>
      <c r="BN85" s="3">
        <v>4</v>
      </c>
      <c r="BO85" s="4"/>
      <c r="BP85" s="4" t="s">
        <v>122</v>
      </c>
      <c r="BQ85" s="4" t="s">
        <v>122</v>
      </c>
      <c r="BR85" s="4" t="s">
        <v>122</v>
      </c>
      <c r="BS85" s="4" t="s">
        <v>122</v>
      </c>
      <c r="BT85" s="4" t="s">
        <v>122</v>
      </c>
      <c r="BU85" s="4"/>
      <c r="BV85" s="4" t="s">
        <v>122</v>
      </c>
      <c r="BW85" s="4" t="s">
        <v>122</v>
      </c>
      <c r="BX85" s="4" t="s">
        <v>122</v>
      </c>
      <c r="BY85" s="4" t="s">
        <v>122</v>
      </c>
      <c r="BZ85" s="4" t="s">
        <v>122</v>
      </c>
      <c r="CA85" s="4" t="s">
        <v>122</v>
      </c>
      <c r="CD85" s="4" t="s">
        <v>122</v>
      </c>
      <c r="CE85" s="4" t="s">
        <v>122</v>
      </c>
      <c r="CF85" s="3">
        <v>1</v>
      </c>
      <c r="CG85" s="4" t="s">
        <v>122</v>
      </c>
      <c r="CH85" s="3">
        <v>1</v>
      </c>
      <c r="CI85" s="4" t="s">
        <v>122</v>
      </c>
      <c r="CJ85" s="4" t="s">
        <v>122</v>
      </c>
      <c r="CK85" s="4" t="s">
        <v>125</v>
      </c>
      <c r="CL85" s="4" t="s">
        <v>122</v>
      </c>
      <c r="CM85" s="4" t="s">
        <v>122</v>
      </c>
      <c r="CN85" s="4" t="s">
        <v>122</v>
      </c>
      <c r="CO85" s="4" t="s">
        <v>125</v>
      </c>
      <c r="CP85" s="4" t="s">
        <v>122</v>
      </c>
      <c r="CQ85" s="4" t="s">
        <v>122</v>
      </c>
      <c r="CR85" s="4" t="s">
        <v>122</v>
      </c>
      <c r="CS85" s="3">
        <v>1</v>
      </c>
      <c r="CT85" s="3">
        <v>6</v>
      </c>
      <c r="CU85" s="3">
        <v>1</v>
      </c>
      <c r="CV85">
        <v>1</v>
      </c>
      <c r="CW85" cm="1">
        <f t="array" ref="CW85">_xlfn.IFS(CU85*1=1,1,CU85*1=2,1,TRUE,0)</f>
        <v>1</v>
      </c>
      <c r="CX85" s="3" t="e">
        <f>NA()</f>
        <v>#N/A</v>
      </c>
      <c r="CY85" s="3">
        <f t="shared" si="11"/>
        <v>0</v>
      </c>
      <c r="CZ85" s="3" cm="1">
        <f t="array" ref="CZ85">_xlfn.IFS(BP85&lt;&gt;"", BP85, CV85=1,  AQ85, CV85=0,  AZ85)</f>
        <v>0</v>
      </c>
      <c r="DA85" s="3" t="e">
        <f>NA()</f>
        <v>#N/A</v>
      </c>
      <c r="DB85" s="36">
        <f t="shared" si="12"/>
        <v>-5.5</v>
      </c>
      <c r="DC85" s="3" t="e">
        <f t="shared" si="13"/>
        <v>#N/A</v>
      </c>
      <c r="DD85" s="3">
        <f t="shared" si="14"/>
        <v>-5.5</v>
      </c>
      <c r="DE85" s="3">
        <f t="shared" si="15"/>
        <v>-5.5</v>
      </c>
      <c r="DF85" s="3" t="e">
        <f t="shared" si="16"/>
        <v>#N/A</v>
      </c>
      <c r="DG85" s="3" t="e">
        <f t="shared" si="17"/>
        <v>#N/A</v>
      </c>
    </row>
    <row r="86" spans="1:111" x14ac:dyDescent="0.4">
      <c r="A86" s="3">
        <v>202410</v>
      </c>
      <c r="B86" s="3">
        <v>111</v>
      </c>
      <c r="C86" s="5">
        <v>45584.564282407409</v>
      </c>
      <c r="D86" s="5">
        <v>45584.56689814815</v>
      </c>
      <c r="E86" s="3">
        <v>0</v>
      </c>
      <c r="F86" s="4" t="s">
        <v>851</v>
      </c>
      <c r="G86" s="3">
        <v>100</v>
      </c>
      <c r="H86" s="3">
        <v>226</v>
      </c>
      <c r="I86" s="3">
        <v>1</v>
      </c>
      <c r="J86" s="5">
        <v>45584.566917349533</v>
      </c>
      <c r="K86" s="4" t="s">
        <v>852</v>
      </c>
      <c r="L86" s="4" t="s">
        <v>122</v>
      </c>
      <c r="M86" s="4" t="s">
        <v>122</v>
      </c>
      <c r="N86" s="4" t="s">
        <v>122</v>
      </c>
      <c r="O86" s="4" t="s">
        <v>122</v>
      </c>
      <c r="P86" s="3">
        <v>32.194299999999998</v>
      </c>
      <c r="Q86" s="3">
        <v>-110.97669999999999</v>
      </c>
      <c r="R86" s="4" t="s">
        <v>129</v>
      </c>
      <c r="S86" s="4" t="s">
        <v>124</v>
      </c>
      <c r="T86" s="4" t="s">
        <v>853</v>
      </c>
      <c r="U86" s="3">
        <v>1</v>
      </c>
      <c r="V86" s="3">
        <v>3</v>
      </c>
      <c r="W86" s="3">
        <v>2</v>
      </c>
      <c r="X86" s="3">
        <v>1</v>
      </c>
      <c r="Y86" s="3">
        <v>1</v>
      </c>
      <c r="Z86" s="3">
        <v>1</v>
      </c>
      <c r="AA86" s="3">
        <v>1</v>
      </c>
      <c r="AG86" s="3">
        <v>2</v>
      </c>
      <c r="AH86" s="3">
        <v>5</v>
      </c>
      <c r="AI86" s="3">
        <v>2</v>
      </c>
      <c r="AJ86" s="3">
        <v>7</v>
      </c>
      <c r="AK86" s="3">
        <v>8</v>
      </c>
      <c r="AL86" s="3">
        <v>6</v>
      </c>
      <c r="AM86" s="3">
        <v>8</v>
      </c>
      <c r="AN86" s="3">
        <v>8</v>
      </c>
      <c r="AO86" s="3">
        <v>3</v>
      </c>
      <c r="AP86" s="3">
        <v>3</v>
      </c>
      <c r="AQ86" s="4" t="s">
        <v>122</v>
      </c>
      <c r="AR86" s="4" t="s">
        <v>122</v>
      </c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 t="s">
        <v>122</v>
      </c>
      <c r="BD86" s="4" t="s">
        <v>122</v>
      </c>
      <c r="BE86" s="4" t="s">
        <v>122</v>
      </c>
      <c r="BF86" s="4" t="s">
        <v>122</v>
      </c>
      <c r="BG86" s="4" t="s">
        <v>122</v>
      </c>
      <c r="BH86" s="4"/>
      <c r="BI86" s="4" t="s">
        <v>122</v>
      </c>
      <c r="BJ86" s="4" t="s">
        <v>122</v>
      </c>
      <c r="BK86" s="4" t="s">
        <v>122</v>
      </c>
      <c r="BL86" s="4" t="s">
        <v>122</v>
      </c>
      <c r="BM86" s="4" t="s">
        <v>122</v>
      </c>
      <c r="BN86" s="4" t="s">
        <v>122</v>
      </c>
      <c r="BO86" s="4"/>
      <c r="BP86" s="3">
        <v>5.5</v>
      </c>
      <c r="BQ86" s="3">
        <v>2</v>
      </c>
      <c r="BR86" s="4" t="s">
        <v>125</v>
      </c>
      <c r="BS86" s="4" t="s">
        <v>122</v>
      </c>
      <c r="BT86" s="4" t="s">
        <v>125</v>
      </c>
      <c r="BU86" s="4"/>
      <c r="BV86" s="4" t="s">
        <v>125</v>
      </c>
      <c r="BW86" s="4" t="s">
        <v>122</v>
      </c>
      <c r="BX86" s="4" t="s">
        <v>122</v>
      </c>
      <c r="BY86" s="4" t="s">
        <v>122</v>
      </c>
      <c r="BZ86" s="4" t="s">
        <v>122</v>
      </c>
      <c r="CA86" s="3">
        <v>1</v>
      </c>
      <c r="CD86" s="3">
        <v>6</v>
      </c>
      <c r="CE86" s="3">
        <v>3</v>
      </c>
      <c r="CF86" s="3">
        <v>1</v>
      </c>
      <c r="CG86" s="4" t="s">
        <v>122</v>
      </c>
      <c r="CH86" s="3">
        <v>4</v>
      </c>
      <c r="CI86" s="4" t="s">
        <v>122</v>
      </c>
      <c r="CJ86" s="4" t="s">
        <v>122</v>
      </c>
      <c r="CK86" s="4" t="s">
        <v>122</v>
      </c>
      <c r="CL86" s="4" t="s">
        <v>122</v>
      </c>
      <c r="CM86" s="4" t="s">
        <v>122</v>
      </c>
      <c r="CN86" s="4" t="s">
        <v>122</v>
      </c>
      <c r="CO86" s="4" t="s">
        <v>125</v>
      </c>
      <c r="CP86" s="4" t="s">
        <v>122</v>
      </c>
      <c r="CQ86" s="4" t="s">
        <v>122</v>
      </c>
      <c r="CR86" s="4" t="s">
        <v>122</v>
      </c>
      <c r="CS86" s="3">
        <v>4</v>
      </c>
      <c r="CT86" s="3">
        <v>5</v>
      </c>
      <c r="CU86" s="3">
        <v>0</v>
      </c>
      <c r="CV86">
        <v>1</v>
      </c>
      <c r="CW86" cm="1">
        <f t="array" ref="CW86">_xlfn.IFS(CU86*1=1,1,CU86*1=2,1,TRUE,0)</f>
        <v>0</v>
      </c>
      <c r="CX86" s="3" t="e">
        <f>NA()</f>
        <v>#N/A</v>
      </c>
      <c r="CY86" s="3">
        <f t="shared" si="11"/>
        <v>6</v>
      </c>
      <c r="CZ86" s="3" cm="1">
        <f t="array" ref="CZ86">_xlfn.IFS(BP86&lt;&gt;"", BP86, CV86=1,  AQ86, CV86=0,  AZ86)</f>
        <v>5.5</v>
      </c>
      <c r="DA86" s="3" t="e">
        <f>NA()</f>
        <v>#N/A</v>
      </c>
      <c r="DB86" s="36">
        <f t="shared" si="12"/>
        <v>1</v>
      </c>
      <c r="DC86" s="3" t="e">
        <f t="shared" si="13"/>
        <v>#N/A</v>
      </c>
      <c r="DD86" s="3">
        <f t="shared" si="14"/>
        <v>1</v>
      </c>
      <c r="DE86" s="3">
        <f t="shared" si="15"/>
        <v>0.5</v>
      </c>
      <c r="DF86" s="3" t="e">
        <f t="shared" si="16"/>
        <v>#N/A</v>
      </c>
      <c r="DG86" s="3" t="e">
        <f t="shared" si="17"/>
        <v>#N/A</v>
      </c>
    </row>
    <row r="87" spans="1:111" x14ac:dyDescent="0.4">
      <c r="A87" s="3">
        <v>202410</v>
      </c>
      <c r="B87" s="3">
        <v>111</v>
      </c>
      <c r="C87" s="5">
        <v>45584.564351851855</v>
      </c>
      <c r="D87" s="5">
        <v>45584.56795138889</v>
      </c>
      <c r="E87" s="3">
        <v>0</v>
      </c>
      <c r="F87" s="4" t="s">
        <v>854</v>
      </c>
      <c r="G87" s="3">
        <v>100</v>
      </c>
      <c r="H87" s="3">
        <v>310</v>
      </c>
      <c r="I87" s="3">
        <v>1</v>
      </c>
      <c r="J87" s="5">
        <v>45584.567966168979</v>
      </c>
      <c r="K87" s="4" t="s">
        <v>855</v>
      </c>
      <c r="L87" s="4" t="s">
        <v>122</v>
      </c>
      <c r="M87" s="4" t="s">
        <v>122</v>
      </c>
      <c r="N87" s="4" t="s">
        <v>122</v>
      </c>
      <c r="O87" s="4" t="s">
        <v>122</v>
      </c>
      <c r="P87" s="3">
        <v>36.147199999999998</v>
      </c>
      <c r="Q87" s="3">
        <v>-115.11750000000001</v>
      </c>
      <c r="R87" s="4" t="s">
        <v>129</v>
      </c>
      <c r="S87" s="4" t="s">
        <v>124</v>
      </c>
      <c r="T87" s="4" t="s">
        <v>856</v>
      </c>
      <c r="U87" s="3">
        <v>1</v>
      </c>
      <c r="V87" s="3">
        <v>1</v>
      </c>
      <c r="W87" s="3">
        <v>1</v>
      </c>
      <c r="X87" s="3">
        <v>1</v>
      </c>
      <c r="Y87" s="3">
        <v>3</v>
      </c>
      <c r="Z87" s="3">
        <v>3</v>
      </c>
      <c r="AA87" s="3">
        <v>2</v>
      </c>
      <c r="AG87" s="3">
        <v>3</v>
      </c>
      <c r="AH87" s="3">
        <v>0</v>
      </c>
      <c r="AI87" s="4" t="s">
        <v>122</v>
      </c>
      <c r="AJ87" s="3">
        <v>6</v>
      </c>
      <c r="AK87" s="3">
        <v>8</v>
      </c>
      <c r="AL87" s="3">
        <v>9</v>
      </c>
      <c r="AM87" s="3">
        <v>5</v>
      </c>
      <c r="AN87" s="3">
        <v>8</v>
      </c>
      <c r="AO87" s="3">
        <v>4</v>
      </c>
      <c r="AP87" s="3">
        <v>3</v>
      </c>
      <c r="AQ87" s="3">
        <v>6</v>
      </c>
      <c r="AR87" s="3">
        <v>3</v>
      </c>
      <c r="BC87" s="3">
        <v>6</v>
      </c>
      <c r="BD87" s="3">
        <v>3</v>
      </c>
      <c r="BE87" s="4" t="s">
        <v>125</v>
      </c>
      <c r="BF87" s="4" t="s">
        <v>122</v>
      </c>
      <c r="BG87" s="4" t="s">
        <v>122</v>
      </c>
      <c r="BH87" s="4"/>
      <c r="BI87" s="4" t="s">
        <v>122</v>
      </c>
      <c r="BJ87" s="4" t="s">
        <v>122</v>
      </c>
      <c r="BK87" s="4" t="s">
        <v>122</v>
      </c>
      <c r="BL87" s="4" t="s">
        <v>122</v>
      </c>
      <c r="BM87" s="4" t="s">
        <v>122</v>
      </c>
      <c r="BN87" s="3">
        <v>1</v>
      </c>
      <c r="BP87" s="4" t="s">
        <v>122</v>
      </c>
      <c r="BQ87" s="4" t="s">
        <v>122</v>
      </c>
      <c r="BR87" s="4" t="s">
        <v>122</v>
      </c>
      <c r="BS87" s="4" t="s">
        <v>122</v>
      </c>
      <c r="BT87" s="4" t="s">
        <v>122</v>
      </c>
      <c r="BU87" s="4"/>
      <c r="BV87" s="4" t="s">
        <v>122</v>
      </c>
      <c r="BW87" s="4" t="s">
        <v>122</v>
      </c>
      <c r="BX87" s="4" t="s">
        <v>122</v>
      </c>
      <c r="BY87" s="4" t="s">
        <v>122</v>
      </c>
      <c r="BZ87" s="4" t="s">
        <v>122</v>
      </c>
      <c r="CA87" s="4" t="s">
        <v>122</v>
      </c>
      <c r="CD87" s="4" t="s">
        <v>122</v>
      </c>
      <c r="CE87" s="4" t="s">
        <v>122</v>
      </c>
      <c r="CF87" s="3">
        <v>2</v>
      </c>
      <c r="CG87" s="4" t="s">
        <v>122</v>
      </c>
      <c r="CH87" s="3">
        <v>4</v>
      </c>
      <c r="CI87" s="4" t="s">
        <v>122</v>
      </c>
      <c r="CJ87" s="4" t="s">
        <v>122</v>
      </c>
      <c r="CK87" s="4" t="s">
        <v>122</v>
      </c>
      <c r="CL87" s="4" t="s">
        <v>122</v>
      </c>
      <c r="CM87" s="4" t="s">
        <v>122</v>
      </c>
      <c r="CN87" s="4" t="s">
        <v>122</v>
      </c>
      <c r="CO87" s="4" t="s">
        <v>125</v>
      </c>
      <c r="CP87" s="4" t="s">
        <v>122</v>
      </c>
      <c r="CQ87" s="4" t="s">
        <v>122</v>
      </c>
      <c r="CR87" s="4" t="s">
        <v>122</v>
      </c>
      <c r="CS87" s="3">
        <v>5</v>
      </c>
      <c r="CT87" s="3">
        <v>5</v>
      </c>
      <c r="CU87" s="3">
        <v>1</v>
      </c>
      <c r="CV87">
        <v>1</v>
      </c>
      <c r="CW87" cm="1">
        <f t="array" ref="CW87">_xlfn.IFS(CU87*1=1,1,CU87*1=2,1,TRUE,0)</f>
        <v>1</v>
      </c>
      <c r="CX87" s="3" t="e">
        <f>NA()</f>
        <v>#N/A</v>
      </c>
      <c r="CY87" s="3">
        <f t="shared" si="11"/>
        <v>6</v>
      </c>
      <c r="CZ87" s="3" cm="1">
        <f t="array" ref="CZ87">_xlfn.IFS(BP87&lt;&gt;"", BP87, CV87=1,  AQ87, CV87=0,  AZ87)</f>
        <v>6</v>
      </c>
      <c r="DA87" s="3" t="e">
        <f>NA()</f>
        <v>#N/A</v>
      </c>
      <c r="DB87" s="36">
        <f t="shared" si="12"/>
        <v>6</v>
      </c>
      <c r="DC87" s="3" t="e">
        <f t="shared" si="13"/>
        <v>#N/A</v>
      </c>
      <c r="DD87" s="3">
        <f t="shared" si="14"/>
        <v>6</v>
      </c>
      <c r="DE87" s="3">
        <f t="shared" si="15"/>
        <v>6</v>
      </c>
      <c r="DF87" s="3" t="e">
        <f t="shared" si="16"/>
        <v>#N/A</v>
      </c>
      <c r="DG87" s="3" t="e">
        <f t="shared" si="17"/>
        <v>#N/A</v>
      </c>
    </row>
    <row r="88" spans="1:111" x14ac:dyDescent="0.4">
      <c r="A88" s="3">
        <v>202410</v>
      </c>
      <c r="B88" s="3">
        <v>111</v>
      </c>
      <c r="C88" s="5">
        <v>45584.568414351852</v>
      </c>
      <c r="D88" s="5">
        <v>45584.572187500002</v>
      </c>
      <c r="E88" s="3">
        <v>0</v>
      </c>
      <c r="F88" s="4" t="s">
        <v>829</v>
      </c>
      <c r="G88" s="3">
        <v>100</v>
      </c>
      <c r="H88" s="3">
        <v>326</v>
      </c>
      <c r="I88" s="3">
        <v>1</v>
      </c>
      <c r="J88" s="5">
        <v>45584.57220815972</v>
      </c>
      <c r="K88" s="4" t="s">
        <v>857</v>
      </c>
      <c r="L88" s="4" t="s">
        <v>122</v>
      </c>
      <c r="M88" s="4" t="s">
        <v>122</v>
      </c>
      <c r="N88" s="4" t="s">
        <v>122</v>
      </c>
      <c r="O88" s="4" t="s">
        <v>122</v>
      </c>
      <c r="P88" s="3">
        <v>32.250300000000003</v>
      </c>
      <c r="Q88" s="3">
        <v>-110.94499999999999</v>
      </c>
      <c r="R88" s="4" t="s">
        <v>123</v>
      </c>
      <c r="S88" s="4" t="s">
        <v>124</v>
      </c>
      <c r="T88" s="4" t="s">
        <v>858</v>
      </c>
      <c r="U88" s="3">
        <v>1</v>
      </c>
      <c r="V88" s="3">
        <v>5</v>
      </c>
      <c r="W88" s="3">
        <v>4</v>
      </c>
      <c r="X88" s="3">
        <v>1</v>
      </c>
      <c r="Y88" s="3">
        <v>2</v>
      </c>
      <c r="Z88" s="3">
        <v>2</v>
      </c>
      <c r="AA88" s="3">
        <v>2</v>
      </c>
      <c r="AG88" s="3">
        <v>2</v>
      </c>
      <c r="AH88" s="3">
        <v>4.5</v>
      </c>
      <c r="AI88" s="3">
        <v>2</v>
      </c>
      <c r="AJ88" s="3">
        <v>7</v>
      </c>
      <c r="AK88" s="3">
        <v>8</v>
      </c>
      <c r="AL88" s="3">
        <v>8</v>
      </c>
      <c r="AM88" s="3">
        <v>7</v>
      </c>
      <c r="AN88" s="3">
        <v>7</v>
      </c>
      <c r="AO88" s="3">
        <v>3</v>
      </c>
      <c r="AP88" s="3">
        <v>3</v>
      </c>
      <c r="AQ88" s="4" t="s">
        <v>122</v>
      </c>
      <c r="AR88" s="4" t="s">
        <v>122</v>
      </c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 t="s">
        <v>122</v>
      </c>
      <c r="BD88" s="4" t="s">
        <v>122</v>
      </c>
      <c r="BE88" s="4" t="s">
        <v>122</v>
      </c>
      <c r="BF88" s="4" t="s">
        <v>122</v>
      </c>
      <c r="BG88" s="4" t="s">
        <v>122</v>
      </c>
      <c r="BH88" s="4"/>
      <c r="BI88" s="4" t="s">
        <v>122</v>
      </c>
      <c r="BJ88" s="4" t="s">
        <v>122</v>
      </c>
      <c r="BK88" s="4" t="s">
        <v>122</v>
      </c>
      <c r="BL88" s="4" t="s">
        <v>122</v>
      </c>
      <c r="BM88" s="4" t="s">
        <v>122</v>
      </c>
      <c r="BN88" s="4" t="s">
        <v>122</v>
      </c>
      <c r="BO88" s="4"/>
      <c r="BP88" s="3">
        <v>4.5</v>
      </c>
      <c r="BQ88" s="3">
        <v>2</v>
      </c>
      <c r="BR88" s="4" t="s">
        <v>122</v>
      </c>
      <c r="BS88" s="4" t="s">
        <v>122</v>
      </c>
      <c r="BT88" s="4" t="s">
        <v>122</v>
      </c>
      <c r="BU88" s="4"/>
      <c r="BV88" s="4" t="s">
        <v>122</v>
      </c>
      <c r="BW88" s="4" t="s">
        <v>122</v>
      </c>
      <c r="BX88" s="4" t="s">
        <v>122</v>
      </c>
      <c r="BY88" s="4" t="s">
        <v>122</v>
      </c>
      <c r="BZ88" s="4" t="s">
        <v>125</v>
      </c>
      <c r="CA88" s="4" t="s">
        <v>122</v>
      </c>
      <c r="CD88" s="3">
        <v>4.5</v>
      </c>
      <c r="CE88" s="3">
        <v>2</v>
      </c>
      <c r="CF88" s="3">
        <v>2</v>
      </c>
      <c r="CG88" s="4" t="s">
        <v>122</v>
      </c>
      <c r="CH88" s="3">
        <v>5</v>
      </c>
      <c r="CI88" s="4" t="s">
        <v>122</v>
      </c>
      <c r="CJ88" s="4" t="s">
        <v>122</v>
      </c>
      <c r="CK88" s="4" t="s">
        <v>122</v>
      </c>
      <c r="CL88" s="4" t="s">
        <v>122</v>
      </c>
      <c r="CM88" s="4" t="s">
        <v>122</v>
      </c>
      <c r="CN88" s="4" t="s">
        <v>122</v>
      </c>
      <c r="CO88" s="4" t="s">
        <v>125</v>
      </c>
      <c r="CP88" s="4" t="s">
        <v>122</v>
      </c>
      <c r="CQ88" s="4" t="s">
        <v>122</v>
      </c>
      <c r="CR88" s="4" t="s">
        <v>122</v>
      </c>
      <c r="CS88" s="3">
        <v>5</v>
      </c>
      <c r="CT88" s="3">
        <v>5</v>
      </c>
      <c r="CU88" s="3">
        <v>0</v>
      </c>
      <c r="CV88">
        <v>1</v>
      </c>
      <c r="CW88" cm="1">
        <f t="array" ref="CW88">_xlfn.IFS(CU88*1=1,1,CU88*1=2,1,TRUE,0)</f>
        <v>0</v>
      </c>
      <c r="CX88" s="3" t="e">
        <f>NA()</f>
        <v>#N/A</v>
      </c>
      <c r="CY88" s="3">
        <f t="shared" si="11"/>
        <v>4.5</v>
      </c>
      <c r="CZ88" s="3" cm="1">
        <f t="array" ref="CZ88">_xlfn.IFS(BP88&lt;&gt;"", BP88, CV88=1,  AQ88, CV88=0,  AZ88)</f>
        <v>4.5</v>
      </c>
      <c r="DA88" s="3" t="e">
        <f>NA()</f>
        <v>#N/A</v>
      </c>
      <c r="DB88" s="36">
        <f t="shared" si="12"/>
        <v>0</v>
      </c>
      <c r="DC88" s="3" t="e">
        <f t="shared" si="13"/>
        <v>#N/A</v>
      </c>
      <c r="DD88" s="3">
        <f t="shared" si="14"/>
        <v>0</v>
      </c>
      <c r="DE88" s="3">
        <f t="shared" si="15"/>
        <v>0</v>
      </c>
      <c r="DF88" s="3" t="e">
        <f t="shared" si="16"/>
        <v>#N/A</v>
      </c>
      <c r="DG88" s="3" t="e">
        <f t="shared" si="17"/>
        <v>#N/A</v>
      </c>
    </row>
    <row r="89" spans="1:111" x14ac:dyDescent="0.4">
      <c r="A89" s="3">
        <v>202410</v>
      </c>
      <c r="B89" s="3">
        <v>111</v>
      </c>
      <c r="C89" s="5">
        <v>45584.569965277777</v>
      </c>
      <c r="D89" s="5">
        <v>45584.572534722225</v>
      </c>
      <c r="E89" s="3">
        <v>0</v>
      </c>
      <c r="F89" s="4" t="s">
        <v>736</v>
      </c>
      <c r="G89" s="3">
        <v>100</v>
      </c>
      <c r="H89" s="3">
        <v>221</v>
      </c>
      <c r="I89" s="3">
        <v>1</v>
      </c>
      <c r="J89" s="5">
        <v>45584.572553703707</v>
      </c>
      <c r="K89" s="4" t="s">
        <v>862</v>
      </c>
      <c r="L89" s="4" t="s">
        <v>122</v>
      </c>
      <c r="M89" s="4" t="s">
        <v>122</v>
      </c>
      <c r="N89" s="4" t="s">
        <v>122</v>
      </c>
      <c r="O89" s="4" t="s">
        <v>122</v>
      </c>
      <c r="P89" s="3">
        <v>32.250300000000003</v>
      </c>
      <c r="Q89" s="3">
        <v>-110.94499999999999</v>
      </c>
      <c r="R89" s="4" t="s">
        <v>129</v>
      </c>
      <c r="S89" s="4" t="s">
        <v>124</v>
      </c>
      <c r="T89" s="4" t="s">
        <v>863</v>
      </c>
      <c r="U89" s="3">
        <v>1</v>
      </c>
      <c r="V89" s="3">
        <v>3</v>
      </c>
      <c r="W89" s="3">
        <v>5</v>
      </c>
      <c r="X89" s="3">
        <v>1</v>
      </c>
      <c r="Y89" s="3">
        <v>1</v>
      </c>
      <c r="Z89" s="3">
        <v>1</v>
      </c>
      <c r="AA89" s="3">
        <v>1</v>
      </c>
      <c r="AG89" s="3">
        <v>2</v>
      </c>
      <c r="AH89" s="3">
        <v>0</v>
      </c>
      <c r="AI89" s="4" t="s">
        <v>122</v>
      </c>
      <c r="AJ89" s="3">
        <v>9</v>
      </c>
      <c r="AK89" s="3">
        <v>9</v>
      </c>
      <c r="AL89" s="3">
        <v>9</v>
      </c>
      <c r="AM89" s="3">
        <v>9</v>
      </c>
      <c r="AN89" s="3">
        <v>9</v>
      </c>
      <c r="AO89" s="3">
        <v>4</v>
      </c>
      <c r="AP89" s="3">
        <v>5</v>
      </c>
      <c r="AQ89" s="3">
        <v>0</v>
      </c>
      <c r="AR89" s="4" t="s">
        <v>122</v>
      </c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">
        <v>0</v>
      </c>
      <c r="BD89" s="4" t="s">
        <v>122</v>
      </c>
      <c r="BE89" s="4" t="s">
        <v>125</v>
      </c>
      <c r="BF89" s="4" t="s">
        <v>122</v>
      </c>
      <c r="BG89" s="4" t="s">
        <v>122</v>
      </c>
      <c r="BH89" s="4"/>
      <c r="BI89" s="4" t="s">
        <v>122</v>
      </c>
      <c r="BJ89" s="4" t="s">
        <v>122</v>
      </c>
      <c r="BK89" s="4" t="s">
        <v>122</v>
      </c>
      <c r="BL89" s="4" t="s">
        <v>122</v>
      </c>
      <c r="BM89" s="4" t="s">
        <v>122</v>
      </c>
      <c r="BN89" s="3">
        <v>1</v>
      </c>
      <c r="BO89" s="4"/>
      <c r="BP89" s="4" t="s">
        <v>122</v>
      </c>
      <c r="BQ89" s="4" t="s">
        <v>122</v>
      </c>
      <c r="BR89" s="4" t="s">
        <v>122</v>
      </c>
      <c r="BS89" s="4" t="s">
        <v>122</v>
      </c>
      <c r="BT89" s="4" t="s">
        <v>122</v>
      </c>
      <c r="BU89" s="4"/>
      <c r="BV89" s="4" t="s">
        <v>122</v>
      </c>
      <c r="BW89" s="4" t="s">
        <v>122</v>
      </c>
      <c r="BX89" s="4" t="s">
        <v>122</v>
      </c>
      <c r="BY89" s="4" t="s">
        <v>122</v>
      </c>
      <c r="BZ89" s="4" t="s">
        <v>122</v>
      </c>
      <c r="CA89" s="4" t="s">
        <v>122</v>
      </c>
      <c r="CD89" s="4" t="s">
        <v>122</v>
      </c>
      <c r="CE89" s="4" t="s">
        <v>122</v>
      </c>
      <c r="CF89" s="3">
        <v>1</v>
      </c>
      <c r="CG89" s="4" t="s">
        <v>122</v>
      </c>
      <c r="CH89" s="3">
        <v>2</v>
      </c>
      <c r="CI89" s="4" t="s">
        <v>122</v>
      </c>
      <c r="CJ89" s="4" t="s">
        <v>125</v>
      </c>
      <c r="CK89" s="4" t="s">
        <v>122</v>
      </c>
      <c r="CL89" s="4" t="s">
        <v>122</v>
      </c>
      <c r="CM89" s="4" t="s">
        <v>122</v>
      </c>
      <c r="CN89" s="4" t="s">
        <v>122</v>
      </c>
      <c r="CO89" s="4" t="s">
        <v>122</v>
      </c>
      <c r="CP89" s="4" t="s">
        <v>122</v>
      </c>
      <c r="CQ89" s="4" t="s">
        <v>122</v>
      </c>
      <c r="CR89" s="4" t="s">
        <v>122</v>
      </c>
      <c r="CS89" s="3">
        <v>4</v>
      </c>
      <c r="CT89" s="3">
        <v>2</v>
      </c>
      <c r="CU89" s="3">
        <v>1</v>
      </c>
      <c r="CV89">
        <v>1</v>
      </c>
      <c r="CW89" cm="1">
        <f t="array" ref="CW89">_xlfn.IFS(CU89*1=1,1,CU89*1=2,1,TRUE,0)</f>
        <v>1</v>
      </c>
      <c r="CX89" s="3" t="e">
        <f>NA()</f>
        <v>#N/A</v>
      </c>
      <c r="CY89" s="3">
        <f t="shared" si="11"/>
        <v>0</v>
      </c>
      <c r="CZ89" s="3" cm="1">
        <f t="array" ref="CZ89">_xlfn.IFS(BP89&lt;&gt;"", BP89, CV89=1,  AQ89, CV89=0,  AZ89)</f>
        <v>0</v>
      </c>
      <c r="DA89" s="3" t="e">
        <f>NA()</f>
        <v>#N/A</v>
      </c>
      <c r="DB89" s="36">
        <f t="shared" si="12"/>
        <v>0</v>
      </c>
      <c r="DC89" s="3" t="e">
        <f t="shared" si="13"/>
        <v>#N/A</v>
      </c>
      <c r="DD89" s="3">
        <f t="shared" si="14"/>
        <v>0</v>
      </c>
      <c r="DE89" s="3">
        <f t="shared" si="15"/>
        <v>0</v>
      </c>
      <c r="DF89" s="3" t="e">
        <f t="shared" si="16"/>
        <v>#N/A</v>
      </c>
      <c r="DG89" s="3" t="e">
        <f t="shared" si="17"/>
        <v>#N/A</v>
      </c>
    </row>
    <row r="90" spans="1:111" x14ac:dyDescent="0.4">
      <c r="A90" s="3">
        <v>202410</v>
      </c>
      <c r="B90" s="3">
        <v>111</v>
      </c>
      <c r="C90" s="5">
        <v>45584.570115740738</v>
      </c>
      <c r="D90" s="5">
        <v>45584.572395833333</v>
      </c>
      <c r="E90" s="3">
        <v>0</v>
      </c>
      <c r="F90" s="4" t="s">
        <v>859</v>
      </c>
      <c r="G90" s="3">
        <v>100</v>
      </c>
      <c r="H90" s="3">
        <v>197</v>
      </c>
      <c r="I90" s="3">
        <v>1</v>
      </c>
      <c r="J90" s="5">
        <v>45584.572418148149</v>
      </c>
      <c r="K90" s="4" t="s">
        <v>860</v>
      </c>
      <c r="L90" s="4" t="s">
        <v>122</v>
      </c>
      <c r="M90" s="4" t="s">
        <v>122</v>
      </c>
      <c r="N90" s="4" t="s">
        <v>122</v>
      </c>
      <c r="O90" s="4" t="s">
        <v>122</v>
      </c>
      <c r="P90" s="3">
        <v>33.4602</v>
      </c>
      <c r="Q90" s="3">
        <v>-112.13339999999999</v>
      </c>
      <c r="R90" s="4" t="s">
        <v>129</v>
      </c>
      <c r="S90" s="4" t="s">
        <v>124</v>
      </c>
      <c r="T90" s="4" t="s">
        <v>861</v>
      </c>
      <c r="U90" s="3">
        <v>1</v>
      </c>
      <c r="V90" s="3">
        <v>2</v>
      </c>
      <c r="W90" s="3">
        <v>1</v>
      </c>
      <c r="X90" s="3">
        <v>2</v>
      </c>
      <c r="Y90" s="3">
        <v>3</v>
      </c>
      <c r="Z90" s="3">
        <v>1</v>
      </c>
      <c r="AA90" s="3">
        <v>1</v>
      </c>
      <c r="AG90" s="3">
        <v>2</v>
      </c>
      <c r="AH90" s="3">
        <v>5</v>
      </c>
      <c r="AI90" s="3">
        <v>3</v>
      </c>
      <c r="AJ90" s="3">
        <v>7</v>
      </c>
      <c r="AK90" s="3">
        <v>8</v>
      </c>
      <c r="AL90" s="3">
        <v>6</v>
      </c>
      <c r="AM90" s="3">
        <v>7</v>
      </c>
      <c r="AN90" s="3">
        <v>8</v>
      </c>
      <c r="AO90" s="3">
        <v>2</v>
      </c>
      <c r="AP90" s="3">
        <v>2</v>
      </c>
      <c r="AQ90" s="4" t="s">
        <v>122</v>
      </c>
      <c r="AR90" s="4" t="s">
        <v>122</v>
      </c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 t="s">
        <v>122</v>
      </c>
      <c r="BD90" s="4" t="s">
        <v>122</v>
      </c>
      <c r="BE90" s="4" t="s">
        <v>122</v>
      </c>
      <c r="BF90" s="4" t="s">
        <v>122</v>
      </c>
      <c r="BG90" s="4" t="s">
        <v>122</v>
      </c>
      <c r="BH90" s="4"/>
      <c r="BI90" s="4" t="s">
        <v>122</v>
      </c>
      <c r="BJ90" s="4" t="s">
        <v>122</v>
      </c>
      <c r="BK90" s="4" t="s">
        <v>122</v>
      </c>
      <c r="BL90" s="4" t="s">
        <v>122</v>
      </c>
      <c r="BM90" s="4" t="s">
        <v>122</v>
      </c>
      <c r="BN90" s="4" t="s">
        <v>122</v>
      </c>
      <c r="BO90" s="4"/>
      <c r="BP90" s="3">
        <v>5</v>
      </c>
      <c r="BQ90" s="3">
        <v>3</v>
      </c>
      <c r="BR90" s="4" t="s">
        <v>125</v>
      </c>
      <c r="BS90" s="4" t="s">
        <v>122</v>
      </c>
      <c r="BT90" s="4" t="s">
        <v>122</v>
      </c>
      <c r="BU90" s="4"/>
      <c r="BV90" s="4" t="s">
        <v>122</v>
      </c>
      <c r="BW90" s="4" t="s">
        <v>122</v>
      </c>
      <c r="BX90" s="4" t="s">
        <v>122</v>
      </c>
      <c r="BY90" s="4" t="s">
        <v>122</v>
      </c>
      <c r="BZ90" s="4" t="s">
        <v>122</v>
      </c>
      <c r="CA90" s="3">
        <v>1</v>
      </c>
      <c r="CD90" s="3">
        <v>6.5</v>
      </c>
      <c r="CE90" s="3">
        <v>3</v>
      </c>
      <c r="CF90" s="3">
        <v>1</v>
      </c>
      <c r="CG90" s="4" t="s">
        <v>122</v>
      </c>
      <c r="CH90" s="3">
        <v>2</v>
      </c>
      <c r="CI90" s="4" t="s">
        <v>122</v>
      </c>
      <c r="CJ90" s="4" t="s">
        <v>122</v>
      </c>
      <c r="CK90" s="4" t="s">
        <v>122</v>
      </c>
      <c r="CL90" s="4" t="s">
        <v>122</v>
      </c>
      <c r="CM90" s="4" t="s">
        <v>122</v>
      </c>
      <c r="CN90" s="4" t="s">
        <v>122</v>
      </c>
      <c r="CO90" s="4" t="s">
        <v>125</v>
      </c>
      <c r="CP90" s="4" t="s">
        <v>122</v>
      </c>
      <c r="CQ90" s="4" t="s">
        <v>122</v>
      </c>
      <c r="CR90" s="4" t="s">
        <v>122</v>
      </c>
      <c r="CS90" s="3">
        <v>4</v>
      </c>
      <c r="CT90" s="3">
        <v>2</v>
      </c>
      <c r="CU90" s="3">
        <v>0</v>
      </c>
      <c r="CV90">
        <v>1</v>
      </c>
      <c r="CW90" cm="1">
        <f t="array" ref="CW90">_xlfn.IFS(CU90*1=1,1,CU90*1=2,1,TRUE,0)</f>
        <v>0</v>
      </c>
      <c r="CX90" s="3" t="e">
        <f>NA()</f>
        <v>#N/A</v>
      </c>
      <c r="CY90" s="3">
        <f t="shared" si="11"/>
        <v>6.5</v>
      </c>
      <c r="CZ90" s="3" cm="1">
        <f t="array" ref="CZ90">_xlfn.IFS(BP90&lt;&gt;"", BP90, CV90=1,  AQ90, CV90=0,  AZ90)</f>
        <v>5</v>
      </c>
      <c r="DA90" s="3" t="e">
        <f>NA()</f>
        <v>#N/A</v>
      </c>
      <c r="DB90" s="36">
        <f t="shared" si="12"/>
        <v>1.5</v>
      </c>
      <c r="DC90" s="3" t="e">
        <f t="shared" si="13"/>
        <v>#N/A</v>
      </c>
      <c r="DD90" s="3">
        <f t="shared" si="14"/>
        <v>1.5</v>
      </c>
      <c r="DE90" s="3">
        <f t="shared" si="15"/>
        <v>0</v>
      </c>
      <c r="DF90" s="3" t="e">
        <f t="shared" si="16"/>
        <v>#N/A</v>
      </c>
      <c r="DG90" s="3" t="e">
        <f t="shared" si="17"/>
        <v>#N/A</v>
      </c>
    </row>
    <row r="91" spans="1:111" x14ac:dyDescent="0.4">
      <c r="A91" s="3">
        <v>202410</v>
      </c>
      <c r="B91" s="3">
        <v>111</v>
      </c>
      <c r="C91" s="5">
        <v>45584.576932870368</v>
      </c>
      <c r="D91" s="5">
        <v>45584.579583333332</v>
      </c>
      <c r="E91" s="3">
        <v>0</v>
      </c>
      <c r="F91" s="4" t="s">
        <v>867</v>
      </c>
      <c r="G91" s="3">
        <v>100</v>
      </c>
      <c r="H91" s="3">
        <v>228</v>
      </c>
      <c r="I91" s="3">
        <v>1</v>
      </c>
      <c r="J91" s="5">
        <v>45584.579593888891</v>
      </c>
      <c r="K91" s="4" t="s">
        <v>868</v>
      </c>
      <c r="L91" s="4" t="s">
        <v>122</v>
      </c>
      <c r="M91" s="4" t="s">
        <v>122</v>
      </c>
      <c r="N91" s="4" t="s">
        <v>122</v>
      </c>
      <c r="O91" s="4" t="s">
        <v>122</v>
      </c>
      <c r="P91" s="3">
        <v>33.447499999999998</v>
      </c>
      <c r="Q91" s="3">
        <v>-112.0866</v>
      </c>
      <c r="R91" s="4" t="s">
        <v>129</v>
      </c>
      <c r="S91" s="4" t="s">
        <v>124</v>
      </c>
      <c r="T91" s="4" t="s">
        <v>869</v>
      </c>
      <c r="U91" s="3">
        <v>1</v>
      </c>
      <c r="V91" s="3">
        <v>5</v>
      </c>
      <c r="W91" s="3">
        <v>5</v>
      </c>
      <c r="X91" s="3">
        <v>2</v>
      </c>
      <c r="Y91" s="3">
        <v>1</v>
      </c>
      <c r="Z91" s="3">
        <v>1</v>
      </c>
      <c r="AA91" s="3">
        <v>1</v>
      </c>
      <c r="AG91" s="3">
        <v>4</v>
      </c>
      <c r="AH91" s="3">
        <v>4</v>
      </c>
      <c r="AI91" s="3">
        <v>1</v>
      </c>
      <c r="AJ91" s="3">
        <v>6</v>
      </c>
      <c r="AK91" s="3">
        <v>9</v>
      </c>
      <c r="AL91" s="3">
        <v>5</v>
      </c>
      <c r="AM91" s="3">
        <v>6</v>
      </c>
      <c r="AN91" s="3">
        <v>4</v>
      </c>
      <c r="AO91" s="3">
        <v>1</v>
      </c>
      <c r="AP91" s="3">
        <v>2</v>
      </c>
      <c r="AQ91" s="3">
        <v>4</v>
      </c>
      <c r="AR91" s="3">
        <v>1</v>
      </c>
      <c r="BC91" s="3">
        <v>4</v>
      </c>
      <c r="BD91" s="3">
        <v>1</v>
      </c>
      <c r="BE91" s="4" t="s">
        <v>125</v>
      </c>
      <c r="BF91" s="4" t="s">
        <v>122</v>
      </c>
      <c r="BG91" s="4" t="s">
        <v>122</v>
      </c>
      <c r="BH91" s="4"/>
      <c r="BI91" s="4" t="s">
        <v>122</v>
      </c>
      <c r="BJ91" s="4" t="s">
        <v>122</v>
      </c>
      <c r="BK91" s="4" t="s">
        <v>122</v>
      </c>
      <c r="BL91" s="4" t="s">
        <v>122</v>
      </c>
      <c r="BM91" s="4" t="s">
        <v>122</v>
      </c>
      <c r="BN91" s="3">
        <v>1</v>
      </c>
      <c r="BP91" s="4" t="s">
        <v>122</v>
      </c>
      <c r="BQ91" s="4" t="s">
        <v>122</v>
      </c>
      <c r="BR91" s="4" t="s">
        <v>122</v>
      </c>
      <c r="BS91" s="4" t="s">
        <v>122</v>
      </c>
      <c r="BT91" s="4" t="s">
        <v>122</v>
      </c>
      <c r="BU91" s="4"/>
      <c r="BV91" s="4" t="s">
        <v>122</v>
      </c>
      <c r="BW91" s="4" t="s">
        <v>122</v>
      </c>
      <c r="BX91" s="4" t="s">
        <v>122</v>
      </c>
      <c r="BY91" s="4" t="s">
        <v>122</v>
      </c>
      <c r="BZ91" s="4" t="s">
        <v>122</v>
      </c>
      <c r="CA91" s="4" t="s">
        <v>122</v>
      </c>
      <c r="CD91" s="4" t="s">
        <v>122</v>
      </c>
      <c r="CE91" s="4" t="s">
        <v>122</v>
      </c>
      <c r="CF91" s="3">
        <v>1</v>
      </c>
      <c r="CG91" s="4" t="s">
        <v>122</v>
      </c>
      <c r="CH91" s="3">
        <v>2</v>
      </c>
      <c r="CI91" s="4" t="s">
        <v>122</v>
      </c>
      <c r="CJ91" s="4" t="s">
        <v>122</v>
      </c>
      <c r="CK91" s="4" t="s">
        <v>122</v>
      </c>
      <c r="CL91" s="4" t="s">
        <v>122</v>
      </c>
      <c r="CM91" s="4" t="s">
        <v>122</v>
      </c>
      <c r="CN91" s="4" t="s">
        <v>122</v>
      </c>
      <c r="CO91" s="4" t="s">
        <v>125</v>
      </c>
      <c r="CP91" s="4" t="s">
        <v>122</v>
      </c>
      <c r="CQ91" s="4" t="s">
        <v>122</v>
      </c>
      <c r="CR91" s="4" t="s">
        <v>122</v>
      </c>
      <c r="CS91" s="3">
        <v>4</v>
      </c>
      <c r="CT91" s="3">
        <v>4</v>
      </c>
      <c r="CU91" s="3">
        <v>1</v>
      </c>
      <c r="CV91">
        <v>1</v>
      </c>
      <c r="CW91" cm="1">
        <f t="array" ref="CW91">_xlfn.IFS(CU91*1=1,1,CU91*1=2,1,TRUE,0)</f>
        <v>1</v>
      </c>
      <c r="CX91" s="3" t="e">
        <f>NA()</f>
        <v>#N/A</v>
      </c>
      <c r="CY91" s="3">
        <f t="shared" si="11"/>
        <v>4</v>
      </c>
      <c r="CZ91" s="3" cm="1">
        <f t="array" ref="CZ91">_xlfn.IFS(BP91&lt;&gt;"", BP91, CV91=1,  AQ91, CV91=0,  AZ91)</f>
        <v>4</v>
      </c>
      <c r="DA91" s="3" t="e">
        <f>NA()</f>
        <v>#N/A</v>
      </c>
      <c r="DB91" s="36">
        <f t="shared" si="12"/>
        <v>0</v>
      </c>
      <c r="DC91" s="3" t="e">
        <f t="shared" si="13"/>
        <v>#N/A</v>
      </c>
      <c r="DD91" s="3">
        <f t="shared" si="14"/>
        <v>0</v>
      </c>
      <c r="DE91" s="3">
        <f t="shared" si="15"/>
        <v>0</v>
      </c>
      <c r="DF91" s="3" t="e">
        <f t="shared" si="16"/>
        <v>#N/A</v>
      </c>
      <c r="DG91" s="3" t="e">
        <f t="shared" si="17"/>
        <v>#N/A</v>
      </c>
    </row>
    <row r="92" spans="1:111" x14ac:dyDescent="0.4">
      <c r="A92" s="3">
        <v>202410</v>
      </c>
      <c r="B92" s="3">
        <v>111</v>
      </c>
      <c r="C92" s="5">
        <v>45584.577303240738</v>
      </c>
      <c r="D92" s="5">
        <v>45584.579421296294</v>
      </c>
      <c r="E92" s="3">
        <v>0</v>
      </c>
      <c r="F92" s="4" t="s">
        <v>864</v>
      </c>
      <c r="G92" s="3">
        <v>100</v>
      </c>
      <c r="H92" s="3">
        <v>182</v>
      </c>
      <c r="I92" s="3">
        <v>1</v>
      </c>
      <c r="J92" s="5">
        <v>45584.579434444444</v>
      </c>
      <c r="K92" s="4" t="s">
        <v>865</v>
      </c>
      <c r="L92" s="4" t="s">
        <v>122</v>
      </c>
      <c r="M92" s="4" t="s">
        <v>122</v>
      </c>
      <c r="N92" s="4" t="s">
        <v>122</v>
      </c>
      <c r="O92" s="4" t="s">
        <v>122</v>
      </c>
      <c r="P92" s="3">
        <v>33.447499999999998</v>
      </c>
      <c r="Q92" s="3">
        <v>-112.0866</v>
      </c>
      <c r="R92" s="4" t="s">
        <v>129</v>
      </c>
      <c r="S92" s="4" t="s">
        <v>124</v>
      </c>
      <c r="T92" s="4" t="s">
        <v>866</v>
      </c>
      <c r="U92" s="3">
        <v>1</v>
      </c>
      <c r="V92" s="3">
        <v>2</v>
      </c>
      <c r="W92" s="3">
        <v>3</v>
      </c>
      <c r="X92" s="3">
        <v>1</v>
      </c>
      <c r="Y92" s="3">
        <v>1</v>
      </c>
      <c r="Z92" s="3">
        <v>1</v>
      </c>
      <c r="AA92" s="3">
        <v>1</v>
      </c>
      <c r="AG92" s="3">
        <v>3</v>
      </c>
      <c r="AH92" s="3">
        <v>4</v>
      </c>
      <c r="AI92" s="3">
        <v>3</v>
      </c>
      <c r="AJ92" s="3">
        <v>2</v>
      </c>
      <c r="AK92" s="3">
        <v>4</v>
      </c>
      <c r="AL92" s="3">
        <v>8</v>
      </c>
      <c r="AM92" s="3">
        <v>3</v>
      </c>
      <c r="AN92" s="3">
        <v>5</v>
      </c>
      <c r="AO92" s="3">
        <v>4</v>
      </c>
      <c r="AP92" s="3">
        <v>4</v>
      </c>
      <c r="AQ92" s="4" t="s">
        <v>122</v>
      </c>
      <c r="AR92" s="4" t="s">
        <v>122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 t="s">
        <v>122</v>
      </c>
      <c r="BD92" s="4" t="s">
        <v>122</v>
      </c>
      <c r="BE92" s="4" t="s">
        <v>122</v>
      </c>
      <c r="BF92" s="4" t="s">
        <v>122</v>
      </c>
      <c r="BG92" s="4" t="s">
        <v>122</v>
      </c>
      <c r="BH92" s="4"/>
      <c r="BI92" s="4" t="s">
        <v>122</v>
      </c>
      <c r="BJ92" s="4" t="s">
        <v>122</v>
      </c>
      <c r="BK92" s="4" t="s">
        <v>122</v>
      </c>
      <c r="BL92" s="4" t="s">
        <v>122</v>
      </c>
      <c r="BM92" s="4" t="s">
        <v>122</v>
      </c>
      <c r="BN92" s="4" t="s">
        <v>122</v>
      </c>
      <c r="BO92" s="4"/>
      <c r="BP92" s="3">
        <v>4</v>
      </c>
      <c r="BQ92" s="3">
        <v>3</v>
      </c>
      <c r="BR92" s="4" t="s">
        <v>125</v>
      </c>
      <c r="BS92" s="4" t="s">
        <v>122</v>
      </c>
      <c r="BT92" s="4" t="s">
        <v>122</v>
      </c>
      <c r="BU92" s="4"/>
      <c r="BV92" s="4" t="s">
        <v>122</v>
      </c>
      <c r="BW92" s="4" t="s">
        <v>122</v>
      </c>
      <c r="BX92" s="4" t="s">
        <v>122</v>
      </c>
      <c r="BY92" s="4" t="s">
        <v>122</v>
      </c>
      <c r="BZ92" s="4" t="s">
        <v>122</v>
      </c>
      <c r="CA92" s="3">
        <v>1</v>
      </c>
      <c r="CD92" s="3">
        <v>0</v>
      </c>
      <c r="CE92" s="4" t="s">
        <v>122</v>
      </c>
      <c r="CF92" s="3">
        <v>2</v>
      </c>
      <c r="CG92" s="4" t="s">
        <v>122</v>
      </c>
      <c r="CH92" s="3">
        <v>2</v>
      </c>
      <c r="CI92" s="4" t="s">
        <v>122</v>
      </c>
      <c r="CJ92" s="4" t="s">
        <v>122</v>
      </c>
      <c r="CK92" s="4" t="s">
        <v>122</v>
      </c>
      <c r="CL92" s="4" t="s">
        <v>122</v>
      </c>
      <c r="CM92" s="4" t="s">
        <v>122</v>
      </c>
      <c r="CN92" s="4" t="s">
        <v>122</v>
      </c>
      <c r="CO92" s="4" t="s">
        <v>125</v>
      </c>
      <c r="CP92" s="4" t="s">
        <v>122</v>
      </c>
      <c r="CQ92" s="4" t="s">
        <v>122</v>
      </c>
      <c r="CR92" s="4" t="s">
        <v>122</v>
      </c>
      <c r="CS92" s="3">
        <v>3</v>
      </c>
      <c r="CT92" s="3">
        <v>2</v>
      </c>
      <c r="CU92" s="3">
        <v>0</v>
      </c>
      <c r="CV92">
        <v>1</v>
      </c>
      <c r="CW92" cm="1">
        <f t="array" ref="CW92">_xlfn.IFS(CU92*1=1,1,CU92*1=2,1,TRUE,0)</f>
        <v>0</v>
      </c>
      <c r="CX92" s="3" t="e">
        <f>NA()</f>
        <v>#N/A</v>
      </c>
      <c r="CY92" s="3">
        <f t="shared" si="11"/>
        <v>0</v>
      </c>
      <c r="CZ92" s="3" cm="1">
        <f t="array" ref="CZ92">_xlfn.IFS(BP92&lt;&gt;"", BP92, CV92=1,  AQ92, CV92=0,  AZ92)</f>
        <v>4</v>
      </c>
      <c r="DA92" s="3" t="e">
        <f>NA()</f>
        <v>#N/A</v>
      </c>
      <c r="DB92" s="36">
        <f t="shared" si="12"/>
        <v>-4</v>
      </c>
      <c r="DC92" s="3" t="e">
        <f t="shared" si="13"/>
        <v>#N/A</v>
      </c>
      <c r="DD92" s="3">
        <f t="shared" si="14"/>
        <v>-4</v>
      </c>
      <c r="DE92" s="3">
        <f t="shared" si="15"/>
        <v>0</v>
      </c>
      <c r="DF92" s="3" t="e">
        <f t="shared" si="16"/>
        <v>#N/A</v>
      </c>
      <c r="DG92" s="3" t="e">
        <f t="shared" si="17"/>
        <v>#N/A</v>
      </c>
    </row>
    <row r="93" spans="1:111" x14ac:dyDescent="0.4">
      <c r="A93" s="3">
        <v>202410</v>
      </c>
      <c r="B93" s="3">
        <v>111</v>
      </c>
      <c r="C93" s="5">
        <v>45584.584027777775</v>
      </c>
      <c r="D93" s="5">
        <v>45584.586689814816</v>
      </c>
      <c r="E93" s="3">
        <v>0</v>
      </c>
      <c r="F93" s="4" t="s">
        <v>870</v>
      </c>
      <c r="G93" s="3">
        <v>100</v>
      </c>
      <c r="H93" s="3">
        <v>229</v>
      </c>
      <c r="I93" s="3">
        <v>1</v>
      </c>
      <c r="J93" s="5">
        <v>45584.586704050926</v>
      </c>
      <c r="K93" s="4" t="s">
        <v>871</v>
      </c>
      <c r="L93" s="4" t="s">
        <v>122</v>
      </c>
      <c r="M93" s="4" t="s">
        <v>122</v>
      </c>
      <c r="N93" s="4" t="s">
        <v>122</v>
      </c>
      <c r="O93" s="4" t="s">
        <v>122</v>
      </c>
      <c r="P93" s="3">
        <v>32.250300000000003</v>
      </c>
      <c r="Q93" s="3">
        <v>-110.94499999999999</v>
      </c>
      <c r="R93" s="4" t="s">
        <v>129</v>
      </c>
      <c r="S93" s="4" t="s">
        <v>124</v>
      </c>
      <c r="T93" s="4" t="s">
        <v>872</v>
      </c>
      <c r="U93" s="3">
        <v>1</v>
      </c>
      <c r="V93" s="3">
        <v>3</v>
      </c>
      <c r="W93" s="3">
        <v>5</v>
      </c>
      <c r="X93" s="3">
        <v>3</v>
      </c>
      <c r="Y93" s="3">
        <v>2</v>
      </c>
      <c r="Z93" s="3">
        <v>2</v>
      </c>
      <c r="AA93" s="3">
        <v>2</v>
      </c>
      <c r="AG93" s="3">
        <v>3</v>
      </c>
      <c r="AH93" s="3">
        <v>4</v>
      </c>
      <c r="AI93" s="3">
        <v>2</v>
      </c>
      <c r="AJ93" s="3">
        <v>6</v>
      </c>
      <c r="AK93" s="3">
        <v>6</v>
      </c>
      <c r="AL93" s="3">
        <v>6</v>
      </c>
      <c r="AM93" s="3">
        <v>6</v>
      </c>
      <c r="AN93" s="3">
        <v>6</v>
      </c>
      <c r="AO93" s="3">
        <v>2</v>
      </c>
      <c r="AP93" s="3">
        <v>4</v>
      </c>
      <c r="AQ93" s="3">
        <v>0</v>
      </c>
      <c r="AR93" s="4" t="s">
        <v>122</v>
      </c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">
        <v>4</v>
      </c>
      <c r="BD93" s="3">
        <v>2</v>
      </c>
      <c r="BE93" s="4" t="s">
        <v>125</v>
      </c>
      <c r="BF93" s="4" t="s">
        <v>125</v>
      </c>
      <c r="BG93" s="4" t="s">
        <v>125</v>
      </c>
      <c r="BH93" s="4"/>
      <c r="BI93" s="4" t="s">
        <v>122</v>
      </c>
      <c r="BJ93" s="4" t="s">
        <v>125</v>
      </c>
      <c r="BK93" s="4" t="s">
        <v>122</v>
      </c>
      <c r="BL93" s="4" t="s">
        <v>122</v>
      </c>
      <c r="BM93" s="4" t="s">
        <v>122</v>
      </c>
      <c r="BN93" s="3">
        <v>3</v>
      </c>
      <c r="BO93" s="4"/>
      <c r="BP93" s="4" t="s">
        <v>122</v>
      </c>
      <c r="BQ93" s="4" t="s">
        <v>122</v>
      </c>
      <c r="BR93" s="4" t="s">
        <v>122</v>
      </c>
      <c r="BS93" s="4" t="s">
        <v>122</v>
      </c>
      <c r="BT93" s="4" t="s">
        <v>122</v>
      </c>
      <c r="BU93" s="4"/>
      <c r="BV93" s="4" t="s">
        <v>122</v>
      </c>
      <c r="BW93" s="4" t="s">
        <v>122</v>
      </c>
      <c r="BX93" s="4" t="s">
        <v>122</v>
      </c>
      <c r="BY93" s="4" t="s">
        <v>122</v>
      </c>
      <c r="BZ93" s="4" t="s">
        <v>122</v>
      </c>
      <c r="CA93" s="4" t="s">
        <v>122</v>
      </c>
      <c r="CD93" s="4" t="s">
        <v>122</v>
      </c>
      <c r="CE93" s="4" t="s">
        <v>122</v>
      </c>
      <c r="CF93" s="3">
        <v>2</v>
      </c>
      <c r="CG93" s="4" t="s">
        <v>122</v>
      </c>
      <c r="CH93" s="3">
        <v>3</v>
      </c>
      <c r="CI93" s="4" t="s">
        <v>125</v>
      </c>
      <c r="CJ93" s="4" t="s">
        <v>122</v>
      </c>
      <c r="CK93" s="4" t="s">
        <v>122</v>
      </c>
      <c r="CL93" s="4" t="s">
        <v>122</v>
      </c>
      <c r="CM93" s="4" t="s">
        <v>122</v>
      </c>
      <c r="CN93" s="4" t="s">
        <v>122</v>
      </c>
      <c r="CO93" s="4" t="s">
        <v>122</v>
      </c>
      <c r="CP93" s="4" t="s">
        <v>122</v>
      </c>
      <c r="CQ93" s="4" t="s">
        <v>122</v>
      </c>
      <c r="CR93" s="4" t="s">
        <v>122</v>
      </c>
      <c r="CS93" s="3">
        <v>4</v>
      </c>
      <c r="CT93" s="3">
        <v>2</v>
      </c>
      <c r="CU93" s="3">
        <v>1</v>
      </c>
      <c r="CV93">
        <v>1</v>
      </c>
      <c r="CW93" cm="1">
        <f t="array" ref="CW93">_xlfn.IFS(CU93*1=1,1,CU93*1=2,1,TRUE,0)</f>
        <v>1</v>
      </c>
      <c r="CX93" s="3" t="e">
        <f>NA()</f>
        <v>#N/A</v>
      </c>
      <c r="CY93" s="3">
        <f t="shared" si="11"/>
        <v>4</v>
      </c>
      <c r="CZ93" s="3" cm="1">
        <f t="array" ref="CZ93">_xlfn.IFS(BP93&lt;&gt;"", BP93, CV93=1,  AQ93, CV93=0,  AZ93)</f>
        <v>0</v>
      </c>
      <c r="DA93" s="3" t="e">
        <f>NA()</f>
        <v>#N/A</v>
      </c>
      <c r="DB93" s="36">
        <f t="shared" si="12"/>
        <v>0</v>
      </c>
      <c r="DC93" s="3" t="e">
        <f t="shared" si="13"/>
        <v>#N/A</v>
      </c>
      <c r="DD93" s="3">
        <f t="shared" si="14"/>
        <v>-4</v>
      </c>
      <c r="DE93" s="3">
        <f t="shared" si="15"/>
        <v>0</v>
      </c>
      <c r="DF93" s="3" t="e">
        <f t="shared" si="16"/>
        <v>#N/A</v>
      </c>
      <c r="DG93" s="3" t="e">
        <f t="shared" si="17"/>
        <v>#N/A</v>
      </c>
    </row>
    <row r="94" spans="1:111" x14ac:dyDescent="0.4">
      <c r="A94" s="3">
        <v>202410</v>
      </c>
      <c r="B94" s="3">
        <v>111</v>
      </c>
      <c r="C94" s="5">
        <v>45584.588784722226</v>
      </c>
      <c r="D94" s="5">
        <v>45584.591157407405</v>
      </c>
      <c r="E94" s="3">
        <v>0</v>
      </c>
      <c r="F94" s="4" t="s">
        <v>736</v>
      </c>
      <c r="G94" s="3">
        <v>100</v>
      </c>
      <c r="H94" s="3">
        <v>205</v>
      </c>
      <c r="I94" s="3">
        <v>1</v>
      </c>
      <c r="J94" s="5">
        <v>45584.591175011577</v>
      </c>
      <c r="K94" s="4" t="s">
        <v>873</v>
      </c>
      <c r="L94" s="4" t="s">
        <v>122</v>
      </c>
      <c r="M94" s="4" t="s">
        <v>122</v>
      </c>
      <c r="N94" s="4" t="s">
        <v>122</v>
      </c>
      <c r="O94" s="4" t="s">
        <v>122</v>
      </c>
      <c r="P94" s="3">
        <v>32.250300000000003</v>
      </c>
      <c r="Q94" s="3">
        <v>-110.94499999999999</v>
      </c>
      <c r="R94" s="4" t="s">
        <v>129</v>
      </c>
      <c r="S94" s="4" t="s">
        <v>124</v>
      </c>
      <c r="T94" s="4" t="s">
        <v>874</v>
      </c>
      <c r="U94" s="3">
        <v>0</v>
      </c>
      <c r="V94" s="3">
        <v>1</v>
      </c>
      <c r="W94" s="3">
        <v>1</v>
      </c>
      <c r="X94" s="3">
        <v>2</v>
      </c>
      <c r="Y94" s="3">
        <v>4</v>
      </c>
      <c r="Z94" s="3">
        <v>3</v>
      </c>
      <c r="AA94" s="3">
        <v>2</v>
      </c>
      <c r="AG94" s="3">
        <v>3</v>
      </c>
      <c r="AH94" s="3">
        <v>6.5</v>
      </c>
      <c r="AI94" s="3">
        <v>3</v>
      </c>
      <c r="AJ94" s="3">
        <v>8</v>
      </c>
      <c r="AK94" s="3">
        <v>8</v>
      </c>
      <c r="AL94" s="3">
        <v>8</v>
      </c>
      <c r="AM94" s="3">
        <v>8</v>
      </c>
      <c r="AN94" s="3">
        <v>8</v>
      </c>
      <c r="AO94" s="3">
        <v>3</v>
      </c>
      <c r="AP94" s="3">
        <v>4</v>
      </c>
      <c r="AQ94" s="3">
        <v>7</v>
      </c>
      <c r="AR94" s="3">
        <v>3</v>
      </c>
      <c r="BC94" s="3">
        <v>6.5</v>
      </c>
      <c r="BD94" s="3">
        <v>2</v>
      </c>
      <c r="BE94" s="4" t="s">
        <v>125</v>
      </c>
      <c r="BF94" s="4" t="s">
        <v>122</v>
      </c>
      <c r="BG94" s="4" t="s">
        <v>122</v>
      </c>
      <c r="BH94" s="4"/>
      <c r="BI94" s="4" t="s">
        <v>125</v>
      </c>
      <c r="BJ94" s="4" t="s">
        <v>122</v>
      </c>
      <c r="BK94" s="4" t="s">
        <v>125</v>
      </c>
      <c r="BL94" s="4" t="s">
        <v>122</v>
      </c>
      <c r="BM94" s="4" t="s">
        <v>122</v>
      </c>
      <c r="BN94" s="3">
        <v>4</v>
      </c>
      <c r="BP94" s="4" t="s">
        <v>122</v>
      </c>
      <c r="BQ94" s="4" t="s">
        <v>122</v>
      </c>
      <c r="BR94" s="4" t="s">
        <v>122</v>
      </c>
      <c r="BS94" s="4" t="s">
        <v>122</v>
      </c>
      <c r="BT94" s="4" t="s">
        <v>122</v>
      </c>
      <c r="BU94" s="4"/>
      <c r="BV94" s="4" t="s">
        <v>122</v>
      </c>
      <c r="BW94" s="4" t="s">
        <v>122</v>
      </c>
      <c r="BX94" s="4" t="s">
        <v>122</v>
      </c>
      <c r="BY94" s="4" t="s">
        <v>122</v>
      </c>
      <c r="BZ94" s="4" t="s">
        <v>122</v>
      </c>
      <c r="CA94" s="4" t="s">
        <v>122</v>
      </c>
      <c r="CD94" s="4" t="s">
        <v>122</v>
      </c>
      <c r="CE94" s="4" t="s">
        <v>122</v>
      </c>
      <c r="CF94" s="3">
        <v>2</v>
      </c>
      <c r="CG94" s="4" t="s">
        <v>122</v>
      </c>
      <c r="CH94" s="3">
        <v>3</v>
      </c>
      <c r="CI94" s="4" t="s">
        <v>122</v>
      </c>
      <c r="CJ94" s="4" t="s">
        <v>122</v>
      </c>
      <c r="CK94" s="4" t="s">
        <v>125</v>
      </c>
      <c r="CL94" s="4" t="s">
        <v>122</v>
      </c>
      <c r="CM94" s="4" t="s">
        <v>122</v>
      </c>
      <c r="CN94" s="4" t="s">
        <v>122</v>
      </c>
      <c r="CO94" s="4" t="s">
        <v>122</v>
      </c>
      <c r="CP94" s="4" t="s">
        <v>122</v>
      </c>
      <c r="CQ94" s="4" t="s">
        <v>122</v>
      </c>
      <c r="CR94" s="4" t="s">
        <v>122</v>
      </c>
      <c r="CS94" s="3">
        <v>5</v>
      </c>
      <c r="CT94" s="3">
        <v>6</v>
      </c>
      <c r="CU94" s="3">
        <v>1</v>
      </c>
      <c r="CV94">
        <v>1</v>
      </c>
      <c r="CW94" cm="1">
        <f t="array" ref="CW94">_xlfn.IFS(CU94*1=1,1,CU94*1=2,1,TRUE,0)</f>
        <v>1</v>
      </c>
      <c r="CX94" s="3" t="e">
        <f>NA()</f>
        <v>#N/A</v>
      </c>
      <c r="CY94" s="3">
        <f t="shared" si="11"/>
        <v>6.5</v>
      </c>
      <c r="CZ94" s="3" cm="1">
        <f t="array" ref="CZ94">_xlfn.IFS(BP94&lt;&gt;"", BP94, CV94=1,  AQ94, CV94=0,  AZ94)</f>
        <v>7</v>
      </c>
      <c r="DA94" s="3" t="e">
        <f>NA()</f>
        <v>#N/A</v>
      </c>
      <c r="DB94" s="36">
        <f t="shared" si="12"/>
        <v>0</v>
      </c>
      <c r="DC94" s="3" t="e">
        <f t="shared" si="13"/>
        <v>#N/A</v>
      </c>
      <c r="DD94" s="3">
        <f t="shared" si="14"/>
        <v>0.5</v>
      </c>
      <c r="DE94" s="3">
        <f t="shared" si="15"/>
        <v>0</v>
      </c>
      <c r="DF94" s="3" t="e">
        <f t="shared" si="16"/>
        <v>#N/A</v>
      </c>
      <c r="DG94" s="3" t="e">
        <f t="shared" si="17"/>
        <v>#N/A</v>
      </c>
    </row>
    <row r="95" spans="1:111" x14ac:dyDescent="0.4">
      <c r="A95" s="3">
        <v>202410</v>
      </c>
      <c r="B95" s="3">
        <v>111</v>
      </c>
      <c r="C95" s="5">
        <v>45584.588912037034</v>
      </c>
      <c r="D95" s="5">
        <v>45584.591215277775</v>
      </c>
      <c r="E95" s="3">
        <v>0</v>
      </c>
      <c r="F95" s="4" t="s">
        <v>748</v>
      </c>
      <c r="G95" s="3">
        <v>100</v>
      </c>
      <c r="H95" s="3">
        <v>198</v>
      </c>
      <c r="I95" s="3">
        <v>1</v>
      </c>
      <c r="J95" s="5">
        <v>45584.591227291668</v>
      </c>
      <c r="K95" s="4" t="s">
        <v>875</v>
      </c>
      <c r="L95" s="4" t="s">
        <v>122</v>
      </c>
      <c r="M95" s="4" t="s">
        <v>122</v>
      </c>
      <c r="N95" s="4" t="s">
        <v>122</v>
      </c>
      <c r="O95" s="4" t="s">
        <v>122</v>
      </c>
      <c r="P95" s="3">
        <v>36.147199999999998</v>
      </c>
      <c r="Q95" s="3">
        <v>-115.11750000000001</v>
      </c>
      <c r="R95" s="4" t="s">
        <v>129</v>
      </c>
      <c r="S95" s="4" t="s">
        <v>124</v>
      </c>
      <c r="T95" s="4" t="s">
        <v>876</v>
      </c>
      <c r="U95" s="3">
        <v>1</v>
      </c>
      <c r="V95" s="3">
        <v>3</v>
      </c>
      <c r="W95" s="3">
        <v>3</v>
      </c>
      <c r="X95" s="3">
        <v>1</v>
      </c>
      <c r="Y95" s="3">
        <v>3</v>
      </c>
      <c r="Z95" s="3">
        <v>3</v>
      </c>
      <c r="AA95" s="3">
        <v>3</v>
      </c>
      <c r="AG95" s="3">
        <v>2</v>
      </c>
      <c r="AH95" s="3">
        <v>6.5</v>
      </c>
      <c r="AI95" s="3">
        <v>3</v>
      </c>
      <c r="AJ95" s="3">
        <v>9</v>
      </c>
      <c r="AK95" s="3">
        <v>9</v>
      </c>
      <c r="AL95" s="3">
        <v>9</v>
      </c>
      <c r="AM95" s="3">
        <v>9</v>
      </c>
      <c r="AN95" s="3">
        <v>9</v>
      </c>
      <c r="AO95" s="3">
        <v>2</v>
      </c>
      <c r="AP95" s="3">
        <v>3</v>
      </c>
      <c r="AQ95" s="4" t="s">
        <v>122</v>
      </c>
      <c r="AR95" s="4" t="s">
        <v>122</v>
      </c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 t="s">
        <v>122</v>
      </c>
      <c r="BD95" s="4" t="s">
        <v>122</v>
      </c>
      <c r="BE95" s="4" t="s">
        <v>122</v>
      </c>
      <c r="BF95" s="4" t="s">
        <v>122</v>
      </c>
      <c r="BG95" s="4" t="s">
        <v>122</v>
      </c>
      <c r="BH95" s="4"/>
      <c r="BI95" s="4" t="s">
        <v>122</v>
      </c>
      <c r="BJ95" s="4" t="s">
        <v>122</v>
      </c>
      <c r="BK95" s="4" t="s">
        <v>122</v>
      </c>
      <c r="BL95" s="4" t="s">
        <v>122</v>
      </c>
      <c r="BM95" s="4" t="s">
        <v>122</v>
      </c>
      <c r="BN95" s="4" t="s">
        <v>122</v>
      </c>
      <c r="BO95" s="4"/>
      <c r="BP95" s="3">
        <v>6.5</v>
      </c>
      <c r="BQ95" s="3">
        <v>3</v>
      </c>
      <c r="BR95" s="4" t="s">
        <v>125</v>
      </c>
      <c r="BS95" s="4" t="s">
        <v>122</v>
      </c>
      <c r="BT95" s="4" t="s">
        <v>122</v>
      </c>
      <c r="BU95" s="4"/>
      <c r="BV95" s="4" t="s">
        <v>122</v>
      </c>
      <c r="BW95" s="4" t="s">
        <v>122</v>
      </c>
      <c r="BX95" s="4" t="s">
        <v>122</v>
      </c>
      <c r="BY95" s="4" t="s">
        <v>122</v>
      </c>
      <c r="BZ95" s="4" t="s">
        <v>122</v>
      </c>
      <c r="CA95" s="3">
        <v>1</v>
      </c>
      <c r="CD95" s="3">
        <v>7</v>
      </c>
      <c r="CE95" s="3">
        <v>3</v>
      </c>
      <c r="CF95" s="3">
        <v>1</v>
      </c>
      <c r="CG95" s="4" t="s">
        <v>122</v>
      </c>
      <c r="CH95" s="3">
        <v>2</v>
      </c>
      <c r="CI95" s="4" t="s">
        <v>122</v>
      </c>
      <c r="CJ95" s="4" t="s">
        <v>122</v>
      </c>
      <c r="CK95" s="4" t="s">
        <v>122</v>
      </c>
      <c r="CL95" s="4" t="s">
        <v>122</v>
      </c>
      <c r="CM95" s="4" t="s">
        <v>122</v>
      </c>
      <c r="CN95" s="4" t="s">
        <v>122</v>
      </c>
      <c r="CO95" s="4" t="s">
        <v>125</v>
      </c>
      <c r="CP95" s="4" t="s">
        <v>122</v>
      </c>
      <c r="CQ95" s="4" t="s">
        <v>122</v>
      </c>
      <c r="CR95" s="4" t="s">
        <v>122</v>
      </c>
      <c r="CS95" s="3">
        <v>3</v>
      </c>
      <c r="CT95" s="3">
        <v>1</v>
      </c>
      <c r="CU95" s="3">
        <v>0</v>
      </c>
      <c r="CV95">
        <v>1</v>
      </c>
      <c r="CW95" cm="1">
        <f t="array" ref="CW95">_xlfn.IFS(CU95*1=1,1,CU95*1=2,1,TRUE,0)</f>
        <v>0</v>
      </c>
      <c r="CX95" s="3" t="e">
        <f>NA()</f>
        <v>#N/A</v>
      </c>
      <c r="CY95" s="3">
        <f t="shared" si="11"/>
        <v>7</v>
      </c>
      <c r="CZ95" s="3" cm="1">
        <f t="array" ref="CZ95">_xlfn.IFS(BP95&lt;&gt;"", BP95, CV95=1,  AQ95, CV95=0,  AZ95)</f>
        <v>6.5</v>
      </c>
      <c r="DA95" s="3" t="e">
        <f>NA()</f>
        <v>#N/A</v>
      </c>
      <c r="DB95" s="36">
        <f t="shared" si="12"/>
        <v>0.5</v>
      </c>
      <c r="DC95" s="3" t="e">
        <f t="shared" si="13"/>
        <v>#N/A</v>
      </c>
      <c r="DD95" s="3">
        <f t="shared" si="14"/>
        <v>0.5</v>
      </c>
      <c r="DE95" s="3">
        <f t="shared" si="15"/>
        <v>0</v>
      </c>
      <c r="DF95" s="3" t="e">
        <f t="shared" si="16"/>
        <v>#N/A</v>
      </c>
      <c r="DG95" s="3" t="e">
        <f t="shared" si="17"/>
        <v>#N/A</v>
      </c>
    </row>
    <row r="96" spans="1:111" x14ac:dyDescent="0.4">
      <c r="A96" s="3">
        <v>202410</v>
      </c>
      <c r="B96" s="3">
        <v>111</v>
      </c>
      <c r="C96" s="5">
        <v>45584.59107638889</v>
      </c>
      <c r="D96" s="5">
        <v>45584.595949074072</v>
      </c>
      <c r="E96" s="3">
        <v>0</v>
      </c>
      <c r="F96" s="4" t="s">
        <v>879</v>
      </c>
      <c r="G96" s="3">
        <v>100</v>
      </c>
      <c r="H96" s="3">
        <v>421</v>
      </c>
      <c r="I96" s="3">
        <v>1</v>
      </c>
      <c r="J96" s="5">
        <v>45584.595967476853</v>
      </c>
      <c r="K96" s="4" t="s">
        <v>880</v>
      </c>
      <c r="L96" s="4" t="s">
        <v>122</v>
      </c>
      <c r="M96" s="4" t="s">
        <v>122</v>
      </c>
      <c r="N96" s="4" t="s">
        <v>122</v>
      </c>
      <c r="O96" s="4" t="s">
        <v>122</v>
      </c>
      <c r="P96" s="3">
        <v>36.101999999999997</v>
      </c>
      <c r="Q96" s="3">
        <v>-115.1447</v>
      </c>
      <c r="R96" s="4" t="s">
        <v>129</v>
      </c>
      <c r="S96" s="4" t="s">
        <v>124</v>
      </c>
      <c r="T96" s="4" t="s">
        <v>881</v>
      </c>
      <c r="U96" s="3">
        <v>1</v>
      </c>
      <c r="V96" s="3">
        <v>2</v>
      </c>
      <c r="W96" s="3">
        <v>3</v>
      </c>
      <c r="X96" s="3">
        <v>1</v>
      </c>
      <c r="Y96" s="3">
        <v>2</v>
      </c>
      <c r="Z96" s="3">
        <v>2</v>
      </c>
      <c r="AA96" s="3">
        <v>2</v>
      </c>
      <c r="AG96" s="3">
        <v>2</v>
      </c>
      <c r="AH96" s="3">
        <v>4</v>
      </c>
      <c r="AI96" s="3">
        <v>2</v>
      </c>
      <c r="AJ96" s="3">
        <v>3</v>
      </c>
      <c r="AK96" s="3">
        <v>7</v>
      </c>
      <c r="AL96" s="3">
        <v>4</v>
      </c>
      <c r="AM96" s="3">
        <v>3</v>
      </c>
      <c r="AN96" s="3">
        <v>5</v>
      </c>
      <c r="AO96" s="3">
        <v>4</v>
      </c>
      <c r="AP96" s="3">
        <v>3</v>
      </c>
      <c r="AQ96" s="3">
        <v>5</v>
      </c>
      <c r="AR96" s="3">
        <v>2</v>
      </c>
      <c r="BC96" s="3">
        <v>5</v>
      </c>
      <c r="BD96" s="3">
        <v>2</v>
      </c>
      <c r="BE96" s="4" t="s">
        <v>125</v>
      </c>
      <c r="BF96" s="4" t="s">
        <v>122</v>
      </c>
      <c r="BG96" s="4" t="s">
        <v>122</v>
      </c>
      <c r="BH96" s="4"/>
      <c r="BI96" s="4" t="s">
        <v>122</v>
      </c>
      <c r="BJ96" s="4" t="s">
        <v>122</v>
      </c>
      <c r="BK96" s="4" t="s">
        <v>122</v>
      </c>
      <c r="BL96" s="4" t="s">
        <v>122</v>
      </c>
      <c r="BM96" s="4" t="s">
        <v>122</v>
      </c>
      <c r="BN96" s="3">
        <v>1</v>
      </c>
      <c r="BP96" s="4" t="s">
        <v>122</v>
      </c>
      <c r="BQ96" s="4" t="s">
        <v>122</v>
      </c>
      <c r="BR96" s="4" t="s">
        <v>122</v>
      </c>
      <c r="BS96" s="4" t="s">
        <v>122</v>
      </c>
      <c r="BT96" s="4" t="s">
        <v>122</v>
      </c>
      <c r="BU96" s="4"/>
      <c r="BV96" s="4" t="s">
        <v>122</v>
      </c>
      <c r="BW96" s="4" t="s">
        <v>122</v>
      </c>
      <c r="BX96" s="4" t="s">
        <v>122</v>
      </c>
      <c r="BY96" s="4" t="s">
        <v>122</v>
      </c>
      <c r="BZ96" s="4" t="s">
        <v>122</v>
      </c>
      <c r="CA96" s="4" t="s">
        <v>122</v>
      </c>
      <c r="CD96" s="4" t="s">
        <v>122</v>
      </c>
      <c r="CE96" s="4" t="s">
        <v>122</v>
      </c>
      <c r="CF96" s="3">
        <v>1</v>
      </c>
      <c r="CG96" s="4" t="s">
        <v>122</v>
      </c>
      <c r="CH96" s="3">
        <v>5</v>
      </c>
      <c r="CI96" s="4" t="s">
        <v>122</v>
      </c>
      <c r="CJ96" s="4" t="s">
        <v>122</v>
      </c>
      <c r="CK96" s="4" t="s">
        <v>122</v>
      </c>
      <c r="CL96" s="4" t="s">
        <v>122</v>
      </c>
      <c r="CM96" s="4" t="s">
        <v>122</v>
      </c>
      <c r="CN96" s="4" t="s">
        <v>122</v>
      </c>
      <c r="CO96" s="4" t="s">
        <v>125</v>
      </c>
      <c r="CP96" s="4" t="s">
        <v>122</v>
      </c>
      <c r="CQ96" s="4" t="s">
        <v>122</v>
      </c>
      <c r="CR96" s="4" t="s">
        <v>122</v>
      </c>
      <c r="CS96" s="3">
        <v>4</v>
      </c>
      <c r="CT96" s="3">
        <v>4</v>
      </c>
      <c r="CU96" s="3">
        <v>1</v>
      </c>
      <c r="CV96">
        <v>1</v>
      </c>
      <c r="CW96" cm="1">
        <f t="array" ref="CW96">_xlfn.IFS(CU96*1=1,1,CU96*1=2,1,TRUE,0)</f>
        <v>1</v>
      </c>
      <c r="CX96" s="3" t="e">
        <f>NA()</f>
        <v>#N/A</v>
      </c>
      <c r="CY96" s="3">
        <f t="shared" si="11"/>
        <v>5</v>
      </c>
      <c r="CZ96" s="3" cm="1">
        <f t="array" ref="CZ96">_xlfn.IFS(BP96&lt;&gt;"", BP96, CV96=1,  AQ96, CV96=0,  AZ96)</f>
        <v>5</v>
      </c>
      <c r="DA96" s="3" t="e">
        <f>NA()</f>
        <v>#N/A</v>
      </c>
      <c r="DB96" s="36">
        <f t="shared" si="12"/>
        <v>1</v>
      </c>
      <c r="DC96" s="3" t="e">
        <f t="shared" si="13"/>
        <v>#N/A</v>
      </c>
      <c r="DD96" s="3">
        <f t="shared" si="14"/>
        <v>1</v>
      </c>
      <c r="DE96" s="3">
        <f t="shared" si="15"/>
        <v>1</v>
      </c>
      <c r="DF96" s="3" t="e">
        <f t="shared" si="16"/>
        <v>#N/A</v>
      </c>
      <c r="DG96" s="3" t="e">
        <f t="shared" si="17"/>
        <v>#N/A</v>
      </c>
    </row>
    <row r="97" spans="1:111" x14ac:dyDescent="0.4">
      <c r="A97" s="3">
        <v>202410</v>
      </c>
      <c r="B97" s="3">
        <v>111</v>
      </c>
      <c r="C97" s="5">
        <v>45584.591435185182</v>
      </c>
      <c r="D97" s="5">
        <v>45584.596273148149</v>
      </c>
      <c r="E97" s="3">
        <v>0</v>
      </c>
      <c r="F97" s="4" t="s">
        <v>468</v>
      </c>
      <c r="G97" s="3">
        <v>100</v>
      </c>
      <c r="H97" s="3">
        <v>417</v>
      </c>
      <c r="I97" s="3">
        <v>1</v>
      </c>
      <c r="J97" s="5">
        <v>45584.596288726854</v>
      </c>
      <c r="K97" s="4" t="s">
        <v>882</v>
      </c>
      <c r="L97" s="4" t="s">
        <v>122</v>
      </c>
      <c r="M97" s="4" t="s">
        <v>122</v>
      </c>
      <c r="N97" s="4" t="s">
        <v>122</v>
      </c>
      <c r="O97" s="4" t="s">
        <v>122</v>
      </c>
      <c r="P97" s="3">
        <v>32.250300000000003</v>
      </c>
      <c r="Q97" s="3">
        <v>-110.94499999999999</v>
      </c>
      <c r="R97" s="4" t="s">
        <v>129</v>
      </c>
      <c r="S97" s="4" t="s">
        <v>124</v>
      </c>
      <c r="T97" s="4" t="s">
        <v>883</v>
      </c>
      <c r="U97" s="3">
        <v>1</v>
      </c>
      <c r="V97" s="3">
        <v>1</v>
      </c>
      <c r="W97" s="3">
        <v>1</v>
      </c>
      <c r="X97" s="3">
        <v>1</v>
      </c>
      <c r="Y97" s="3">
        <v>2</v>
      </c>
      <c r="Z97" s="3">
        <v>2</v>
      </c>
      <c r="AA97" s="3">
        <v>2</v>
      </c>
      <c r="AG97" s="3">
        <v>4</v>
      </c>
      <c r="AH97" s="3">
        <v>0</v>
      </c>
      <c r="AI97" s="4" t="s">
        <v>122</v>
      </c>
      <c r="AJ97" s="3">
        <v>8</v>
      </c>
      <c r="AK97" s="3">
        <v>7</v>
      </c>
      <c r="AL97" s="3">
        <v>6</v>
      </c>
      <c r="AM97" s="3">
        <v>7</v>
      </c>
      <c r="AN97" s="3">
        <v>7</v>
      </c>
      <c r="AO97" s="3">
        <v>3</v>
      </c>
      <c r="AP97" s="3">
        <v>3</v>
      </c>
      <c r="AQ97" s="3">
        <v>4</v>
      </c>
      <c r="AR97" s="3">
        <v>1</v>
      </c>
      <c r="BC97" s="3">
        <v>4</v>
      </c>
      <c r="BD97" s="3">
        <v>1</v>
      </c>
      <c r="BE97" s="4" t="s">
        <v>125</v>
      </c>
      <c r="BF97" s="4" t="s">
        <v>122</v>
      </c>
      <c r="BG97" s="4" t="s">
        <v>122</v>
      </c>
      <c r="BH97" s="4"/>
      <c r="BI97" s="4" t="s">
        <v>122</v>
      </c>
      <c r="BJ97" s="4" t="s">
        <v>122</v>
      </c>
      <c r="BK97" s="4" t="s">
        <v>122</v>
      </c>
      <c r="BL97" s="4" t="s">
        <v>122</v>
      </c>
      <c r="BM97" s="4" t="s">
        <v>122</v>
      </c>
      <c r="BN97" s="3">
        <v>1</v>
      </c>
      <c r="BP97" s="4" t="s">
        <v>122</v>
      </c>
      <c r="BQ97" s="4" t="s">
        <v>122</v>
      </c>
      <c r="BR97" s="4" t="s">
        <v>122</v>
      </c>
      <c r="BS97" s="4" t="s">
        <v>122</v>
      </c>
      <c r="BT97" s="4" t="s">
        <v>122</v>
      </c>
      <c r="BU97" s="4"/>
      <c r="BV97" s="4" t="s">
        <v>122</v>
      </c>
      <c r="BW97" s="4" t="s">
        <v>122</v>
      </c>
      <c r="BX97" s="4" t="s">
        <v>122</v>
      </c>
      <c r="BY97" s="4" t="s">
        <v>122</v>
      </c>
      <c r="BZ97" s="4" t="s">
        <v>122</v>
      </c>
      <c r="CA97" s="4" t="s">
        <v>122</v>
      </c>
      <c r="CD97" s="4" t="s">
        <v>122</v>
      </c>
      <c r="CE97" s="4" t="s">
        <v>122</v>
      </c>
      <c r="CF97" s="3">
        <v>2</v>
      </c>
      <c r="CG97" s="4" t="s">
        <v>122</v>
      </c>
      <c r="CH97" s="3">
        <v>4</v>
      </c>
      <c r="CI97" s="4" t="s">
        <v>122</v>
      </c>
      <c r="CJ97" s="4" t="s">
        <v>122</v>
      </c>
      <c r="CK97" s="4" t="s">
        <v>122</v>
      </c>
      <c r="CL97" s="4" t="s">
        <v>125</v>
      </c>
      <c r="CM97" s="4" t="s">
        <v>122</v>
      </c>
      <c r="CN97" s="4" t="s">
        <v>122</v>
      </c>
      <c r="CO97" s="4" t="s">
        <v>122</v>
      </c>
      <c r="CP97" s="4" t="s">
        <v>122</v>
      </c>
      <c r="CQ97" s="4" t="s">
        <v>122</v>
      </c>
      <c r="CR97" s="4" t="s">
        <v>122</v>
      </c>
      <c r="CS97" s="3">
        <v>5</v>
      </c>
      <c r="CT97" s="3">
        <v>4</v>
      </c>
      <c r="CU97" s="3">
        <v>1</v>
      </c>
      <c r="CV97">
        <v>1</v>
      </c>
      <c r="CW97" cm="1">
        <f t="array" ref="CW97">_xlfn.IFS(CU97*1=1,1,CU97*1=2,1,TRUE,0)</f>
        <v>1</v>
      </c>
      <c r="CX97" s="3" t="e">
        <f>NA()</f>
        <v>#N/A</v>
      </c>
      <c r="CY97" s="3">
        <f t="shared" si="11"/>
        <v>4</v>
      </c>
      <c r="CZ97" s="3" cm="1">
        <f t="array" ref="CZ97">_xlfn.IFS(BP97&lt;&gt;"", BP97, CV97=1,  AQ97, CV97=0,  AZ97)</f>
        <v>4</v>
      </c>
      <c r="DA97" s="3" t="e">
        <f>NA()</f>
        <v>#N/A</v>
      </c>
      <c r="DB97" s="36">
        <f t="shared" si="12"/>
        <v>4</v>
      </c>
      <c r="DC97" s="3" t="e">
        <f t="shared" si="13"/>
        <v>#N/A</v>
      </c>
      <c r="DD97" s="3">
        <f t="shared" si="14"/>
        <v>4</v>
      </c>
      <c r="DE97" s="3">
        <f t="shared" si="15"/>
        <v>4</v>
      </c>
      <c r="DF97" s="3" t="e">
        <f t="shared" si="16"/>
        <v>#N/A</v>
      </c>
      <c r="DG97" s="3" t="e">
        <f t="shared" si="17"/>
        <v>#N/A</v>
      </c>
    </row>
    <row r="98" spans="1:111" x14ac:dyDescent="0.4">
      <c r="A98" s="3">
        <v>202410</v>
      </c>
      <c r="B98" s="3">
        <v>111</v>
      </c>
      <c r="C98" s="5">
        <v>45584.591736111113</v>
      </c>
      <c r="D98" s="5">
        <v>45584.594212962962</v>
      </c>
      <c r="E98" s="3">
        <v>0</v>
      </c>
      <c r="F98" s="4" t="s">
        <v>615</v>
      </c>
      <c r="G98" s="3">
        <v>100</v>
      </c>
      <c r="H98" s="3">
        <v>214</v>
      </c>
      <c r="I98" s="3">
        <v>1</v>
      </c>
      <c r="J98" s="5">
        <v>45584.594232858799</v>
      </c>
      <c r="K98" s="4" t="s">
        <v>877</v>
      </c>
      <c r="L98" s="4" t="s">
        <v>122</v>
      </c>
      <c r="M98" s="4" t="s">
        <v>122</v>
      </c>
      <c r="N98" s="4" t="s">
        <v>122</v>
      </c>
      <c r="O98" s="4" t="s">
        <v>122</v>
      </c>
      <c r="P98" s="3">
        <v>32.250300000000003</v>
      </c>
      <c r="Q98" s="3">
        <v>-110.94499999999999</v>
      </c>
      <c r="R98" s="4" t="s">
        <v>129</v>
      </c>
      <c r="S98" s="4" t="s">
        <v>124</v>
      </c>
      <c r="T98" s="4" t="s">
        <v>878</v>
      </c>
      <c r="U98" s="3">
        <v>0</v>
      </c>
      <c r="V98" s="3">
        <v>1</v>
      </c>
      <c r="W98" s="3">
        <v>1</v>
      </c>
      <c r="X98" s="3">
        <v>1</v>
      </c>
      <c r="Y98" s="3">
        <v>4</v>
      </c>
      <c r="Z98" s="3">
        <v>4</v>
      </c>
      <c r="AA98" s="3">
        <v>4</v>
      </c>
      <c r="AG98" s="3">
        <v>1</v>
      </c>
      <c r="AH98" s="3">
        <v>5</v>
      </c>
      <c r="AI98" s="3">
        <v>3</v>
      </c>
      <c r="AJ98" s="3">
        <v>4</v>
      </c>
      <c r="AK98" s="3">
        <v>6</v>
      </c>
      <c r="AL98" s="3">
        <v>7</v>
      </c>
      <c r="AM98" s="3">
        <v>4</v>
      </c>
      <c r="AN98" s="3">
        <v>6</v>
      </c>
      <c r="AO98" s="3">
        <v>4</v>
      </c>
      <c r="AP98" s="3">
        <v>3</v>
      </c>
      <c r="AQ98" s="4" t="s">
        <v>122</v>
      </c>
      <c r="AR98" s="4" t="s">
        <v>122</v>
      </c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 t="s">
        <v>122</v>
      </c>
      <c r="BD98" s="4" t="s">
        <v>122</v>
      </c>
      <c r="BE98" s="4" t="s">
        <v>122</v>
      </c>
      <c r="BF98" s="4" t="s">
        <v>122</v>
      </c>
      <c r="BG98" s="4" t="s">
        <v>122</v>
      </c>
      <c r="BH98" s="4"/>
      <c r="BI98" s="4" t="s">
        <v>122</v>
      </c>
      <c r="BJ98" s="4" t="s">
        <v>122</v>
      </c>
      <c r="BK98" s="4" t="s">
        <v>122</v>
      </c>
      <c r="BL98" s="4" t="s">
        <v>122</v>
      </c>
      <c r="BM98" s="4" t="s">
        <v>122</v>
      </c>
      <c r="BN98" s="4" t="s">
        <v>122</v>
      </c>
      <c r="BO98" s="4"/>
      <c r="BP98" s="3">
        <v>5.5</v>
      </c>
      <c r="BQ98" s="3">
        <v>3</v>
      </c>
      <c r="BR98" s="4" t="s">
        <v>125</v>
      </c>
      <c r="BS98" s="4" t="s">
        <v>122</v>
      </c>
      <c r="BT98" s="4" t="s">
        <v>122</v>
      </c>
      <c r="BU98" s="4"/>
      <c r="BV98" s="4" t="s">
        <v>122</v>
      </c>
      <c r="BW98" s="4" t="s">
        <v>122</v>
      </c>
      <c r="BX98" s="4" t="s">
        <v>122</v>
      </c>
      <c r="BY98" s="4" t="s">
        <v>122</v>
      </c>
      <c r="BZ98" s="4" t="s">
        <v>122</v>
      </c>
      <c r="CA98" s="3">
        <v>1</v>
      </c>
      <c r="CD98" s="3">
        <v>5.5</v>
      </c>
      <c r="CE98" s="3">
        <v>3</v>
      </c>
      <c r="CF98" s="3">
        <v>1</v>
      </c>
      <c r="CG98" s="4" t="s">
        <v>122</v>
      </c>
      <c r="CH98" s="3">
        <v>6</v>
      </c>
      <c r="CI98" s="4" t="s">
        <v>122</v>
      </c>
      <c r="CJ98" s="4" t="s">
        <v>122</v>
      </c>
      <c r="CK98" s="4" t="s">
        <v>125</v>
      </c>
      <c r="CL98" s="4" t="s">
        <v>122</v>
      </c>
      <c r="CM98" s="4" t="s">
        <v>122</v>
      </c>
      <c r="CN98" s="4" t="s">
        <v>122</v>
      </c>
      <c r="CO98" s="4" t="s">
        <v>122</v>
      </c>
      <c r="CP98" s="4" t="s">
        <v>122</v>
      </c>
      <c r="CQ98" s="4" t="s">
        <v>122</v>
      </c>
      <c r="CR98" s="4" t="s">
        <v>122</v>
      </c>
      <c r="CS98" s="3">
        <v>5</v>
      </c>
      <c r="CT98" s="3">
        <v>5</v>
      </c>
      <c r="CU98" s="3">
        <v>0</v>
      </c>
      <c r="CV98">
        <v>1</v>
      </c>
      <c r="CW98" cm="1">
        <f t="array" ref="CW98">_xlfn.IFS(CU98*1=1,1,CU98*1=2,1,TRUE,0)</f>
        <v>0</v>
      </c>
      <c r="CX98" s="3" t="e">
        <f>NA()</f>
        <v>#N/A</v>
      </c>
      <c r="CY98" s="3">
        <f t="shared" si="11"/>
        <v>5.5</v>
      </c>
      <c r="CZ98" s="3" cm="1">
        <f t="array" ref="CZ98">_xlfn.IFS(BP98&lt;&gt;"", BP98, CV98=1,  AQ98, CV98=0,  AZ98)</f>
        <v>5.5</v>
      </c>
      <c r="DA98" s="3" t="e">
        <f>NA()</f>
        <v>#N/A</v>
      </c>
      <c r="DB98" s="36">
        <f t="shared" si="12"/>
        <v>0.5</v>
      </c>
      <c r="DC98" s="3" t="e">
        <f t="shared" si="13"/>
        <v>#N/A</v>
      </c>
      <c r="DD98" s="3">
        <f t="shared" si="14"/>
        <v>0.5</v>
      </c>
      <c r="DE98" s="3">
        <f t="shared" si="15"/>
        <v>0.5</v>
      </c>
      <c r="DF98" s="3" t="e">
        <f t="shared" si="16"/>
        <v>#N/A</v>
      </c>
      <c r="DG98" s="3" t="e">
        <f t="shared" si="17"/>
        <v>#N/A</v>
      </c>
    </row>
    <row r="99" spans="1:111" x14ac:dyDescent="0.4">
      <c r="A99" s="3">
        <v>202503</v>
      </c>
      <c r="B99" s="3">
        <v>222</v>
      </c>
      <c r="C99" s="5">
        <v>45735.625011574077</v>
      </c>
      <c r="D99" s="5">
        <v>45735.630300925928</v>
      </c>
      <c r="E99" s="3">
        <v>0</v>
      </c>
      <c r="F99" s="4" t="s">
        <v>385</v>
      </c>
      <c r="G99" s="3">
        <v>99</v>
      </c>
      <c r="H99" s="3">
        <v>457</v>
      </c>
      <c r="I99" s="3">
        <v>0</v>
      </c>
      <c r="J99" s="5">
        <v>45740.717160590277</v>
      </c>
      <c r="K99" s="4" t="s">
        <v>602</v>
      </c>
      <c r="L99" s="4" t="s">
        <v>122</v>
      </c>
      <c r="M99" s="4" t="s">
        <v>122</v>
      </c>
      <c r="N99" s="4" t="s">
        <v>122</v>
      </c>
      <c r="O99" s="4" t="s">
        <v>122</v>
      </c>
      <c r="P99" s="3">
        <v>32.250300000000003</v>
      </c>
      <c r="Q99" s="3">
        <v>-110.94499999999999</v>
      </c>
      <c r="R99" s="4" t="s">
        <v>129</v>
      </c>
      <c r="S99" s="4" t="s">
        <v>124</v>
      </c>
      <c r="T99" s="4">
        <v>4</v>
      </c>
      <c r="U99" s="3">
        <v>1</v>
      </c>
      <c r="V99" s="3">
        <v>5</v>
      </c>
      <c r="W99" s="3">
        <v>2</v>
      </c>
      <c r="X99" s="3">
        <v>1</v>
      </c>
      <c r="Y99" s="3">
        <v>1</v>
      </c>
      <c r="Z99" s="3">
        <v>1</v>
      </c>
      <c r="AA99" s="3">
        <v>1</v>
      </c>
      <c r="AB99" s="4" t="s">
        <v>122</v>
      </c>
      <c r="AC99" s="4" t="s">
        <v>122</v>
      </c>
      <c r="AD99" s="4" t="s">
        <v>122</v>
      </c>
      <c r="AE99" s="4" t="s">
        <v>122</v>
      </c>
      <c r="AF99" s="4" t="s">
        <v>122</v>
      </c>
      <c r="AG99" s="3">
        <v>3</v>
      </c>
      <c r="AH99" s="3">
        <v>6</v>
      </c>
      <c r="AI99" s="3">
        <v>3</v>
      </c>
      <c r="AJ99" s="3">
        <v>6</v>
      </c>
      <c r="AK99" s="3">
        <v>5</v>
      </c>
      <c r="AL99" s="3">
        <v>7</v>
      </c>
      <c r="AM99" s="3">
        <v>4</v>
      </c>
      <c r="AN99" s="3">
        <v>7</v>
      </c>
      <c r="AO99" s="3">
        <v>2</v>
      </c>
      <c r="AP99" s="3">
        <v>3</v>
      </c>
      <c r="AQ99" s="4">
        <v>5</v>
      </c>
      <c r="AR99" s="4">
        <v>2</v>
      </c>
      <c r="AS99" s="3">
        <v>7</v>
      </c>
      <c r="AT99" s="3">
        <v>5</v>
      </c>
      <c r="AU99" s="3">
        <v>8</v>
      </c>
      <c r="AV99" s="3">
        <v>6</v>
      </c>
      <c r="AW99" s="3">
        <v>7</v>
      </c>
      <c r="AX99" s="3">
        <v>3</v>
      </c>
      <c r="AY99" s="3">
        <v>3</v>
      </c>
      <c r="AZ99" s="4">
        <v>5.5</v>
      </c>
      <c r="BA99" s="4">
        <v>2</v>
      </c>
      <c r="BB99" s="3">
        <v>5</v>
      </c>
      <c r="BC99" s="3">
        <v>5</v>
      </c>
      <c r="BD99" s="3">
        <v>2</v>
      </c>
      <c r="BE99" s="3" t="s">
        <v>122</v>
      </c>
      <c r="BF99" s="3" t="s">
        <v>122</v>
      </c>
      <c r="BG99" s="3" t="s">
        <v>122</v>
      </c>
      <c r="BH99" s="3" t="s">
        <v>122</v>
      </c>
      <c r="BI99" s="3" t="s">
        <v>122</v>
      </c>
      <c r="BJ99" s="3" t="s">
        <v>122</v>
      </c>
      <c r="BK99" s="3" t="s">
        <v>122</v>
      </c>
      <c r="BL99" s="3" t="s">
        <v>122</v>
      </c>
      <c r="BM99" s="3" t="s">
        <v>122</v>
      </c>
      <c r="BN99" s="3" t="s">
        <v>122</v>
      </c>
      <c r="BO99" s="3" t="s">
        <v>122</v>
      </c>
      <c r="BP99" s="3" t="s">
        <v>122</v>
      </c>
      <c r="BQ99" s="3" t="s">
        <v>122</v>
      </c>
      <c r="BR99" s="3" t="s">
        <v>122</v>
      </c>
      <c r="BS99" s="3" t="s">
        <v>122</v>
      </c>
      <c r="BT99" s="3" t="s">
        <v>122</v>
      </c>
      <c r="BU99" s="3" t="s">
        <v>122</v>
      </c>
      <c r="BV99" s="3" t="s">
        <v>122</v>
      </c>
      <c r="BW99" s="3" t="s">
        <v>122</v>
      </c>
      <c r="BX99" s="3" t="s">
        <v>122</v>
      </c>
      <c r="BY99" s="3" t="s">
        <v>122</v>
      </c>
      <c r="BZ99" s="3" t="s">
        <v>122</v>
      </c>
      <c r="CA99" s="3" t="s">
        <v>122</v>
      </c>
      <c r="CB99" s="3" t="s">
        <v>122</v>
      </c>
      <c r="CC99" s="3" t="s">
        <v>122</v>
      </c>
      <c r="CD99" s="3" t="s">
        <v>122</v>
      </c>
      <c r="CE99" s="3" t="s">
        <v>122</v>
      </c>
      <c r="CF99" s="3">
        <v>2</v>
      </c>
      <c r="CG99" s="4" t="s">
        <v>122</v>
      </c>
      <c r="CH99" s="3">
        <v>2</v>
      </c>
      <c r="CI99" s="4" t="s">
        <v>122</v>
      </c>
      <c r="CJ99" s="4" t="s">
        <v>122</v>
      </c>
      <c r="CK99" s="4" t="s">
        <v>122</v>
      </c>
      <c r="CL99" s="4" t="s">
        <v>122</v>
      </c>
      <c r="CM99" s="4" t="s">
        <v>122</v>
      </c>
      <c r="CN99" s="4" t="s">
        <v>122</v>
      </c>
      <c r="CO99" s="4" t="s">
        <v>125</v>
      </c>
      <c r="CP99" s="4" t="s">
        <v>122</v>
      </c>
      <c r="CQ99" s="4" t="s">
        <v>122</v>
      </c>
      <c r="CR99" s="4" t="s">
        <v>122</v>
      </c>
      <c r="CS99" s="3">
        <v>3</v>
      </c>
      <c r="CT99" s="3">
        <v>-999</v>
      </c>
      <c r="CU99" s="42">
        <v>1</v>
      </c>
      <c r="CV99" cm="1">
        <f t="array" ref="CV99">_xlfn.IFS(CU99*1=2,1,CU99*1=4,1,TRUE,0)</f>
        <v>0</v>
      </c>
      <c r="CW99" cm="1">
        <f t="array" ref="CW99">_xlfn.IFS(CU99*1=1,1,CU99*1=2,1,TRUE,0)</f>
        <v>1</v>
      </c>
      <c r="CX99" s="3">
        <f t="shared" ref="CX99:CX130" si="18">IF(BB99&lt;&gt;"",BB99,IF(CB99&lt;&gt;"",CB99,""))</f>
        <v>5</v>
      </c>
      <c r="CY99" s="3">
        <f t="shared" si="11"/>
        <v>5</v>
      </c>
      <c r="CZ99" s="3" cm="1">
        <f t="array" ref="CZ99">_xlfn.IFS(BP99&lt;&gt;"", BP99, CV99=1,  AQ99, CV99=0,  AZ99)</f>
        <v>5.5</v>
      </c>
      <c r="DA99" s="36" cm="1">
        <f t="array" ref="DA99">_xlfn.IFS(BO99&lt;&gt;"", BO99, CV99=0,  AQ99, CV99=1,  AZ99)</f>
        <v>5</v>
      </c>
      <c r="DB99" s="36">
        <f t="shared" si="12"/>
        <v>-1</v>
      </c>
      <c r="DC99" s="3">
        <f t="shared" si="13"/>
        <v>-1</v>
      </c>
      <c r="DD99" s="3">
        <f t="shared" si="14"/>
        <v>-0.5</v>
      </c>
      <c r="DE99" s="3">
        <f t="shared" si="15"/>
        <v>-1</v>
      </c>
      <c r="DF99" s="3">
        <f t="shared" si="16"/>
        <v>-1</v>
      </c>
      <c r="DG99" s="3">
        <f t="shared" si="17"/>
        <v>-1</v>
      </c>
    </row>
    <row r="100" spans="1:111" x14ac:dyDescent="0.4">
      <c r="A100" s="3">
        <v>202503</v>
      </c>
      <c r="B100" s="3">
        <v>222</v>
      </c>
      <c r="C100" s="5">
        <v>45735.631979166668</v>
      </c>
      <c r="D100" s="5">
        <v>45735.637939814813</v>
      </c>
      <c r="E100" s="3">
        <v>0</v>
      </c>
      <c r="F100" s="4" t="s">
        <v>603</v>
      </c>
      <c r="G100" s="3">
        <v>99</v>
      </c>
      <c r="H100" s="3">
        <v>515</v>
      </c>
      <c r="I100" s="3">
        <v>0</v>
      </c>
      <c r="J100" s="5">
        <v>45740.717215277778</v>
      </c>
      <c r="K100" s="4" t="s">
        <v>604</v>
      </c>
      <c r="L100" s="4" t="s">
        <v>122</v>
      </c>
      <c r="M100" s="4" t="s">
        <v>122</v>
      </c>
      <c r="N100" s="4" t="s">
        <v>122</v>
      </c>
      <c r="O100" s="4" t="s">
        <v>122</v>
      </c>
      <c r="P100" s="3">
        <v>32.250300000000003</v>
      </c>
      <c r="Q100" s="3">
        <v>-110.94499999999999</v>
      </c>
      <c r="R100" s="4" t="s">
        <v>129</v>
      </c>
      <c r="S100" s="4" t="s">
        <v>124</v>
      </c>
      <c r="T100" s="4">
        <v>4</v>
      </c>
      <c r="U100" s="3">
        <v>1</v>
      </c>
      <c r="V100" s="3">
        <v>5</v>
      </c>
      <c r="W100" s="3">
        <v>4</v>
      </c>
      <c r="X100" s="3">
        <v>2</v>
      </c>
      <c r="Y100" s="3">
        <v>1</v>
      </c>
      <c r="Z100" s="3">
        <v>1</v>
      </c>
      <c r="AA100" s="3">
        <v>1</v>
      </c>
      <c r="AB100" s="4" t="s">
        <v>122</v>
      </c>
      <c r="AC100" s="4" t="s">
        <v>122</v>
      </c>
      <c r="AD100" s="4" t="s">
        <v>122</v>
      </c>
      <c r="AE100" s="4" t="s">
        <v>122</v>
      </c>
      <c r="AF100" s="4" t="s">
        <v>125</v>
      </c>
      <c r="AG100" s="3">
        <v>3</v>
      </c>
      <c r="AH100" s="3">
        <v>4.5</v>
      </c>
      <c r="AI100" s="3">
        <v>3</v>
      </c>
      <c r="AJ100" s="3">
        <v>7</v>
      </c>
      <c r="AK100" s="3">
        <v>7</v>
      </c>
      <c r="AL100" s="3">
        <v>7</v>
      </c>
      <c r="AM100" s="3">
        <v>7</v>
      </c>
      <c r="AN100" s="3">
        <v>7</v>
      </c>
      <c r="AO100" s="3">
        <v>2</v>
      </c>
      <c r="AP100" s="3">
        <v>2</v>
      </c>
      <c r="AQ100" s="4" t="s">
        <v>122</v>
      </c>
      <c r="AR100" s="4" t="s">
        <v>122</v>
      </c>
      <c r="AS100" s="3">
        <v>3</v>
      </c>
      <c r="AT100" s="3">
        <v>6</v>
      </c>
      <c r="AU100" s="3">
        <v>6</v>
      </c>
      <c r="AV100" s="3">
        <v>3</v>
      </c>
      <c r="AW100" s="3">
        <v>3</v>
      </c>
      <c r="AX100" s="3">
        <v>4</v>
      </c>
      <c r="AY100" s="3">
        <v>4</v>
      </c>
      <c r="AZ100" s="4" t="s">
        <v>122</v>
      </c>
      <c r="BA100" s="4" t="s">
        <v>122</v>
      </c>
      <c r="BB100" s="3" t="s">
        <v>122</v>
      </c>
      <c r="BC100" s="3" t="s">
        <v>122</v>
      </c>
      <c r="BD100" s="3" t="s">
        <v>122</v>
      </c>
      <c r="BE100" s="3" t="s">
        <v>122</v>
      </c>
      <c r="BF100" s="3" t="s">
        <v>122</v>
      </c>
      <c r="BG100" s="3" t="s">
        <v>122</v>
      </c>
      <c r="BH100" s="3" t="s">
        <v>122</v>
      </c>
      <c r="BI100" s="3" t="s">
        <v>122</v>
      </c>
      <c r="BJ100" s="3" t="s">
        <v>122</v>
      </c>
      <c r="BK100" s="3" t="s">
        <v>122</v>
      </c>
      <c r="BL100" s="3" t="s">
        <v>122</v>
      </c>
      <c r="BM100" s="3" t="s">
        <v>122</v>
      </c>
      <c r="BN100" s="3" t="s">
        <v>122</v>
      </c>
      <c r="BO100" s="3">
        <v>4.5</v>
      </c>
      <c r="BP100" s="3">
        <v>4</v>
      </c>
      <c r="BQ100" s="3">
        <v>3</v>
      </c>
      <c r="BR100" s="3" t="s">
        <v>122</v>
      </c>
      <c r="BS100" s="3" t="s">
        <v>122</v>
      </c>
      <c r="BT100" s="3" t="s">
        <v>122</v>
      </c>
      <c r="BU100" s="3" t="s">
        <v>122</v>
      </c>
      <c r="BV100" s="3" t="s">
        <v>122</v>
      </c>
      <c r="BW100" s="3" t="s">
        <v>122</v>
      </c>
      <c r="BX100" s="3" t="s">
        <v>122</v>
      </c>
      <c r="BY100" s="3" t="s">
        <v>122</v>
      </c>
      <c r="BZ100" s="3" t="s">
        <v>122</v>
      </c>
      <c r="CA100" s="3">
        <v>1</v>
      </c>
      <c r="CB100" s="3">
        <v>4.5</v>
      </c>
      <c r="CC100" s="3">
        <v>2</v>
      </c>
      <c r="CD100" s="3">
        <v>4</v>
      </c>
      <c r="CE100" s="3">
        <v>3</v>
      </c>
      <c r="CF100" s="3">
        <v>2</v>
      </c>
      <c r="CG100" s="4" t="s">
        <v>122</v>
      </c>
      <c r="CH100" s="3">
        <v>4</v>
      </c>
      <c r="CI100" s="4" t="s">
        <v>122</v>
      </c>
      <c r="CJ100" s="4" t="s">
        <v>122</v>
      </c>
      <c r="CK100" s="4" t="s">
        <v>122</v>
      </c>
      <c r="CL100" s="4" t="s">
        <v>122</v>
      </c>
      <c r="CM100" s="4" t="s">
        <v>122</v>
      </c>
      <c r="CN100" s="4" t="s">
        <v>122</v>
      </c>
      <c r="CO100" s="4" t="s">
        <v>125</v>
      </c>
      <c r="CP100" s="4" t="s">
        <v>122</v>
      </c>
      <c r="CQ100" s="4" t="s">
        <v>122</v>
      </c>
      <c r="CR100" s="4" t="s">
        <v>122</v>
      </c>
      <c r="CS100" s="3">
        <v>3</v>
      </c>
      <c r="CT100" s="3">
        <v>3</v>
      </c>
      <c r="CU100" s="42">
        <v>3</v>
      </c>
      <c r="CV100" cm="1">
        <f t="array" ref="CV100">_xlfn.IFS(CU100*1=2,1,CU100*1=4,1,TRUE,0)</f>
        <v>0</v>
      </c>
      <c r="CW100" cm="1">
        <f t="array" ref="CW100">_xlfn.IFS(CU100*1=1,1,CU100*1=2,1,TRUE,0)</f>
        <v>0</v>
      </c>
      <c r="CX100" s="3">
        <f t="shared" si="18"/>
        <v>4.5</v>
      </c>
      <c r="CY100" s="3">
        <f t="shared" si="11"/>
        <v>4</v>
      </c>
      <c r="CZ100" s="3" cm="1">
        <f t="array" ref="CZ100">_xlfn.IFS(BP100&lt;&gt;"", BP100, CV100=1,  AQ100, CV100=0,  AZ100)</f>
        <v>4</v>
      </c>
      <c r="DA100" s="36" cm="1">
        <f t="array" ref="DA100">_xlfn.IFS(BO100&lt;&gt;"", BO100, CV100=0,  AQ100, CV100=1,  AZ100)</f>
        <v>4.5</v>
      </c>
      <c r="DB100" s="36">
        <f t="shared" si="12"/>
        <v>-0.5</v>
      </c>
      <c r="DC100" s="3">
        <f t="shared" si="13"/>
        <v>0</v>
      </c>
      <c r="DD100" s="3">
        <f t="shared" si="14"/>
        <v>-0.5</v>
      </c>
      <c r="DE100" s="3">
        <f t="shared" si="15"/>
        <v>-0.5</v>
      </c>
      <c r="DF100" s="3">
        <f t="shared" si="16"/>
        <v>0</v>
      </c>
      <c r="DG100" s="3">
        <f t="shared" si="17"/>
        <v>0</v>
      </c>
    </row>
    <row r="101" spans="1:111" x14ac:dyDescent="0.4">
      <c r="A101" s="3">
        <v>202503</v>
      </c>
      <c r="B101" s="3">
        <v>222</v>
      </c>
      <c r="C101" s="5">
        <v>45733.499791666669</v>
      </c>
      <c r="D101" s="5">
        <v>45733.515011574076</v>
      </c>
      <c r="E101" s="3">
        <v>0</v>
      </c>
      <c r="F101" s="4" t="s">
        <v>419</v>
      </c>
      <c r="G101" s="3">
        <v>100</v>
      </c>
      <c r="H101" s="3">
        <v>1314</v>
      </c>
      <c r="I101" s="3">
        <v>1</v>
      </c>
      <c r="J101" s="5">
        <v>45733.515028055554</v>
      </c>
      <c r="K101" s="4" t="s">
        <v>420</v>
      </c>
      <c r="L101" s="4" t="s">
        <v>122</v>
      </c>
      <c r="M101" s="4" t="s">
        <v>122</v>
      </c>
      <c r="N101" s="4" t="s">
        <v>122</v>
      </c>
      <c r="O101" s="4" t="s">
        <v>122</v>
      </c>
      <c r="P101" s="3">
        <v>32.250300000000003</v>
      </c>
      <c r="Q101" s="3">
        <v>-110.94499999999999</v>
      </c>
      <c r="R101" s="4" t="s">
        <v>129</v>
      </c>
      <c r="S101" s="4" t="s">
        <v>124</v>
      </c>
      <c r="T101" s="4" t="s">
        <v>122</v>
      </c>
      <c r="U101" s="3">
        <v>1</v>
      </c>
      <c r="V101" s="3">
        <v>3</v>
      </c>
      <c r="W101" s="3">
        <v>1</v>
      </c>
      <c r="X101" s="3">
        <v>1</v>
      </c>
      <c r="Y101" s="3">
        <v>2</v>
      </c>
      <c r="Z101" s="3">
        <v>1</v>
      </c>
      <c r="AA101" s="3">
        <v>1</v>
      </c>
      <c r="AB101" s="4" t="s">
        <v>122</v>
      </c>
      <c r="AC101" s="4" t="s">
        <v>122</v>
      </c>
      <c r="AD101" s="4" t="s">
        <v>122</v>
      </c>
      <c r="AE101" s="4" t="s">
        <v>122</v>
      </c>
      <c r="AF101" s="4" t="s">
        <v>122</v>
      </c>
      <c r="AG101" s="3">
        <v>4</v>
      </c>
      <c r="AH101" s="3">
        <v>4</v>
      </c>
      <c r="AI101" s="3">
        <v>2</v>
      </c>
      <c r="AJ101" s="3">
        <v>6</v>
      </c>
      <c r="AK101" s="3">
        <v>8</v>
      </c>
      <c r="AL101" s="3">
        <v>7</v>
      </c>
      <c r="AM101" s="3">
        <v>6</v>
      </c>
      <c r="AN101" s="3">
        <v>6</v>
      </c>
      <c r="AO101" s="3">
        <v>3</v>
      </c>
      <c r="AP101" s="3">
        <v>3</v>
      </c>
      <c r="AQ101" s="3" t="s">
        <v>122</v>
      </c>
      <c r="AR101" s="3" t="s">
        <v>122</v>
      </c>
      <c r="AS101" s="3">
        <v>7</v>
      </c>
      <c r="AT101" s="3">
        <v>8</v>
      </c>
      <c r="AU101" s="3">
        <v>7</v>
      </c>
      <c r="AV101" s="3">
        <v>6</v>
      </c>
      <c r="AW101" s="3">
        <v>7</v>
      </c>
      <c r="AX101" s="3">
        <v>3</v>
      </c>
      <c r="AY101" s="3">
        <v>3</v>
      </c>
      <c r="AZ101" s="3" t="s">
        <v>122</v>
      </c>
      <c r="BA101" s="3" t="s">
        <v>122</v>
      </c>
      <c r="BB101" s="3" t="s">
        <v>122</v>
      </c>
      <c r="BC101" s="3" t="s">
        <v>122</v>
      </c>
      <c r="BD101" s="3" t="s">
        <v>122</v>
      </c>
      <c r="BE101" s="3" t="s">
        <v>122</v>
      </c>
      <c r="BF101" s="3" t="s">
        <v>122</v>
      </c>
      <c r="BG101" s="3" t="s">
        <v>122</v>
      </c>
      <c r="BH101" s="3" t="s">
        <v>122</v>
      </c>
      <c r="BI101" s="3" t="s">
        <v>122</v>
      </c>
      <c r="BJ101" s="3" t="s">
        <v>122</v>
      </c>
      <c r="BK101" s="3" t="s">
        <v>122</v>
      </c>
      <c r="BL101" s="3" t="s">
        <v>122</v>
      </c>
      <c r="BM101" s="3" t="s">
        <v>122</v>
      </c>
      <c r="BN101" s="3" t="s">
        <v>122</v>
      </c>
      <c r="BO101" s="3">
        <v>0</v>
      </c>
      <c r="BP101" s="3">
        <v>0</v>
      </c>
      <c r="BQ101" s="3">
        <v>2</v>
      </c>
      <c r="BR101" s="3" t="s">
        <v>122</v>
      </c>
      <c r="BS101" s="3" t="s">
        <v>122</v>
      </c>
      <c r="BT101" s="3" t="s">
        <v>122</v>
      </c>
      <c r="BU101" s="3" t="s">
        <v>122</v>
      </c>
      <c r="BV101" s="3" t="s">
        <v>122</v>
      </c>
      <c r="BW101" s="3" t="s">
        <v>122</v>
      </c>
      <c r="BX101" s="3" t="s">
        <v>122</v>
      </c>
      <c r="BY101" s="3" t="s">
        <v>122</v>
      </c>
      <c r="BZ101" s="3" t="s">
        <v>122</v>
      </c>
      <c r="CA101" s="3">
        <v>6</v>
      </c>
      <c r="CB101" s="3">
        <v>4</v>
      </c>
      <c r="CC101" s="3">
        <v>2</v>
      </c>
      <c r="CD101" s="3">
        <v>4</v>
      </c>
      <c r="CE101" s="3">
        <v>2</v>
      </c>
      <c r="CF101" s="3">
        <v>2</v>
      </c>
      <c r="CG101" s="4" t="s">
        <v>122</v>
      </c>
      <c r="CH101" s="3">
        <v>5</v>
      </c>
      <c r="CI101" s="4" t="s">
        <v>122</v>
      </c>
      <c r="CJ101" s="4" t="s">
        <v>122</v>
      </c>
      <c r="CK101" s="4" t="s">
        <v>122</v>
      </c>
      <c r="CL101" s="4" t="s">
        <v>122</v>
      </c>
      <c r="CM101" s="4" t="s">
        <v>122</v>
      </c>
      <c r="CN101" s="4" t="s">
        <v>122</v>
      </c>
      <c r="CO101" s="4" t="s">
        <v>125</v>
      </c>
      <c r="CP101" s="4" t="s">
        <v>122</v>
      </c>
      <c r="CQ101" s="4" t="s">
        <v>122</v>
      </c>
      <c r="CR101" s="4" t="s">
        <v>122</v>
      </c>
      <c r="CS101" s="3">
        <v>4</v>
      </c>
      <c r="CT101" s="3">
        <v>3</v>
      </c>
      <c r="CU101" s="42">
        <v>3</v>
      </c>
      <c r="CV101" cm="1">
        <f t="array" ref="CV101">_xlfn.IFS(CU101*1=2,1,CU101*1=4,1,TRUE,0)</f>
        <v>0</v>
      </c>
      <c r="CW101" cm="1">
        <f t="array" ref="CW101">_xlfn.IFS(CU101*1=1,1,CU101*1=2,1,TRUE,0)</f>
        <v>0</v>
      </c>
      <c r="CX101" s="3">
        <f t="shared" si="18"/>
        <v>4</v>
      </c>
      <c r="CY101" s="3">
        <f t="shared" si="11"/>
        <v>4</v>
      </c>
      <c r="CZ101" s="3" cm="1">
        <f t="array" ref="CZ101">_xlfn.IFS(BP101&lt;&gt;"", BP101, CV101=1,  AQ101, CV101=0,  AZ101)</f>
        <v>0</v>
      </c>
      <c r="DA101" s="36" cm="1">
        <f t="array" ref="DA101">_xlfn.IFS(BO101&lt;&gt;"", BO101, CV101=0,  AQ101, CV101=1,  AZ101)</f>
        <v>0</v>
      </c>
      <c r="DB101" s="36">
        <f t="shared" si="12"/>
        <v>0</v>
      </c>
      <c r="DC101" s="3">
        <f t="shared" si="13"/>
        <v>0</v>
      </c>
      <c r="DD101" s="3">
        <f t="shared" si="14"/>
        <v>0</v>
      </c>
      <c r="DE101" s="3">
        <f t="shared" si="15"/>
        <v>-4</v>
      </c>
      <c r="DF101" s="3">
        <f t="shared" si="16"/>
        <v>0</v>
      </c>
      <c r="DG101" s="3">
        <f t="shared" si="17"/>
        <v>-4</v>
      </c>
    </row>
    <row r="102" spans="1:111" x14ac:dyDescent="0.4">
      <c r="A102" s="3">
        <v>202503</v>
      </c>
      <c r="B102" s="3">
        <v>222</v>
      </c>
      <c r="C102" s="5">
        <v>45733.502025462964</v>
      </c>
      <c r="D102" s="5">
        <v>45733.508287037039</v>
      </c>
      <c r="E102" s="3">
        <v>0</v>
      </c>
      <c r="F102" s="4" t="s">
        <v>385</v>
      </c>
      <c r="G102" s="3">
        <v>100</v>
      </c>
      <c r="H102" s="3">
        <v>541</v>
      </c>
      <c r="I102" s="3">
        <v>1</v>
      </c>
      <c r="J102" s="5">
        <v>45733.508306041665</v>
      </c>
      <c r="K102" s="4" t="s">
        <v>415</v>
      </c>
      <c r="L102" s="4" t="s">
        <v>122</v>
      </c>
      <c r="M102" s="4" t="s">
        <v>122</v>
      </c>
      <c r="N102" s="4" t="s">
        <v>122</v>
      </c>
      <c r="O102" s="4" t="s">
        <v>122</v>
      </c>
      <c r="P102" s="3">
        <v>32.250300000000003</v>
      </c>
      <c r="Q102" s="3">
        <v>-110.94499999999999</v>
      </c>
      <c r="R102" s="4" t="s">
        <v>129</v>
      </c>
      <c r="S102" s="4" t="s">
        <v>124</v>
      </c>
      <c r="T102" s="4" t="s">
        <v>122</v>
      </c>
      <c r="U102" s="3">
        <v>1</v>
      </c>
      <c r="V102" s="3">
        <v>4</v>
      </c>
      <c r="W102" s="3">
        <v>2</v>
      </c>
      <c r="X102" s="3">
        <v>2</v>
      </c>
      <c r="Y102" s="3">
        <v>1</v>
      </c>
      <c r="Z102" s="3">
        <v>1</v>
      </c>
      <c r="AA102" s="3">
        <v>2</v>
      </c>
      <c r="AB102" s="4" t="s">
        <v>122</v>
      </c>
      <c r="AC102" s="4" t="s">
        <v>125</v>
      </c>
      <c r="AD102" s="4" t="s">
        <v>122</v>
      </c>
      <c r="AE102" s="4" t="s">
        <v>122</v>
      </c>
      <c r="AF102" s="4" t="s">
        <v>122</v>
      </c>
      <c r="AG102" s="3">
        <v>4</v>
      </c>
      <c r="AH102" s="3">
        <v>7</v>
      </c>
      <c r="AI102" s="3">
        <v>2</v>
      </c>
      <c r="AJ102" s="3">
        <v>8</v>
      </c>
      <c r="AK102" s="3">
        <v>8</v>
      </c>
      <c r="AL102" s="3">
        <v>9</v>
      </c>
      <c r="AM102" s="3">
        <v>8</v>
      </c>
      <c r="AN102" s="3">
        <v>7</v>
      </c>
      <c r="AO102" s="3">
        <v>3</v>
      </c>
      <c r="AP102" s="3">
        <v>3</v>
      </c>
      <c r="AQ102" s="4" t="s">
        <v>122</v>
      </c>
      <c r="AR102" s="4" t="s">
        <v>122</v>
      </c>
      <c r="AS102" s="3">
        <v>6</v>
      </c>
      <c r="AT102" s="3">
        <v>7</v>
      </c>
      <c r="AU102" s="3">
        <v>5</v>
      </c>
      <c r="AV102" s="3">
        <v>6</v>
      </c>
      <c r="AW102" s="3">
        <v>7</v>
      </c>
      <c r="AX102" s="3">
        <v>3</v>
      </c>
      <c r="AY102" s="3">
        <v>2</v>
      </c>
      <c r="AZ102" s="4" t="s">
        <v>122</v>
      </c>
      <c r="BA102" s="4" t="s">
        <v>122</v>
      </c>
      <c r="BB102" s="3" t="s">
        <v>122</v>
      </c>
      <c r="BC102" s="3" t="s">
        <v>122</v>
      </c>
      <c r="BD102" s="3" t="s">
        <v>122</v>
      </c>
      <c r="BE102" s="3" t="s">
        <v>122</v>
      </c>
      <c r="BF102" s="3" t="s">
        <v>122</v>
      </c>
      <c r="BG102" s="3" t="s">
        <v>122</v>
      </c>
      <c r="BH102" s="3" t="s">
        <v>122</v>
      </c>
      <c r="BI102" s="3" t="s">
        <v>122</v>
      </c>
      <c r="BJ102" s="3" t="s">
        <v>122</v>
      </c>
      <c r="BK102" s="3" t="s">
        <v>122</v>
      </c>
      <c r="BL102" s="3" t="s">
        <v>122</v>
      </c>
      <c r="BM102" s="3" t="s">
        <v>122</v>
      </c>
      <c r="BN102" s="3" t="s">
        <v>122</v>
      </c>
      <c r="BO102" s="3">
        <v>7</v>
      </c>
      <c r="BP102" s="3">
        <v>7</v>
      </c>
      <c r="BQ102" s="3">
        <v>3</v>
      </c>
      <c r="BR102" s="3" t="s">
        <v>122</v>
      </c>
      <c r="BS102" s="3" t="s">
        <v>122</v>
      </c>
      <c r="BT102" s="3" t="s">
        <v>122</v>
      </c>
      <c r="BU102" s="3" t="s">
        <v>122</v>
      </c>
      <c r="BV102" s="3" t="s">
        <v>122</v>
      </c>
      <c r="BW102" s="3" t="s">
        <v>122</v>
      </c>
      <c r="BX102" s="3" t="s">
        <v>122</v>
      </c>
      <c r="BY102" s="3" t="s">
        <v>122</v>
      </c>
      <c r="BZ102" s="3" t="s">
        <v>122</v>
      </c>
      <c r="CA102" s="3">
        <v>1</v>
      </c>
      <c r="CB102" s="3">
        <v>6</v>
      </c>
      <c r="CC102" s="3">
        <v>3</v>
      </c>
      <c r="CD102" s="3">
        <v>7.5</v>
      </c>
      <c r="CE102" s="3">
        <v>2</v>
      </c>
      <c r="CF102" s="3">
        <v>1</v>
      </c>
      <c r="CG102" s="4" t="s">
        <v>122</v>
      </c>
      <c r="CH102" s="3">
        <v>3</v>
      </c>
      <c r="CI102" s="4" t="s">
        <v>122</v>
      </c>
      <c r="CJ102" s="4" t="s">
        <v>122</v>
      </c>
      <c r="CK102" s="4" t="s">
        <v>122</v>
      </c>
      <c r="CL102" s="4" t="s">
        <v>122</v>
      </c>
      <c r="CM102" s="4" t="s">
        <v>122</v>
      </c>
      <c r="CN102" s="4" t="s">
        <v>122</v>
      </c>
      <c r="CO102" s="4" t="s">
        <v>125</v>
      </c>
      <c r="CP102" s="4" t="s">
        <v>122</v>
      </c>
      <c r="CQ102" s="4" t="s">
        <v>122</v>
      </c>
      <c r="CR102" s="4" t="s">
        <v>122</v>
      </c>
      <c r="CS102" s="3">
        <v>5</v>
      </c>
      <c r="CT102" s="3">
        <v>6</v>
      </c>
      <c r="CU102" s="42">
        <v>4</v>
      </c>
      <c r="CV102" cm="1">
        <f t="array" ref="CV102">_xlfn.IFS(CU102*1=2,1,CU102*1=4,1,TRUE,0)</f>
        <v>1</v>
      </c>
      <c r="CW102" cm="1">
        <f t="array" ref="CW102">_xlfn.IFS(CU102*1=1,1,CU102*1=2,1,TRUE,0)</f>
        <v>0</v>
      </c>
      <c r="CX102" s="3">
        <f t="shared" si="18"/>
        <v>6</v>
      </c>
      <c r="CY102" s="3">
        <f t="shared" si="11"/>
        <v>7.5</v>
      </c>
      <c r="CZ102" s="3" cm="1">
        <f t="array" ref="CZ102">_xlfn.IFS(BP102&lt;&gt;"", BP102, CV102=1,  AQ102, CV102=0,  AZ102)</f>
        <v>7</v>
      </c>
      <c r="DA102" s="36" cm="1">
        <f t="array" ref="DA102">_xlfn.IFS(BO102&lt;&gt;"", BO102, CV102=0,  AQ102, CV102=1,  AZ102)</f>
        <v>7</v>
      </c>
      <c r="DB102" s="36">
        <f t="shared" si="12"/>
        <v>0.5</v>
      </c>
      <c r="DC102" s="3">
        <f t="shared" si="13"/>
        <v>-1</v>
      </c>
      <c r="DD102" s="3">
        <f t="shared" si="14"/>
        <v>0.5</v>
      </c>
      <c r="DE102" s="3">
        <f t="shared" si="15"/>
        <v>0</v>
      </c>
      <c r="DF102" s="3">
        <f t="shared" si="16"/>
        <v>-1</v>
      </c>
      <c r="DG102" s="3">
        <f t="shared" si="17"/>
        <v>0</v>
      </c>
    </row>
    <row r="103" spans="1:111" x14ac:dyDescent="0.4">
      <c r="A103" s="3">
        <v>202503</v>
      </c>
      <c r="B103" s="3">
        <v>222</v>
      </c>
      <c r="C103" s="5">
        <v>45733.508923611109</v>
      </c>
      <c r="D103" s="5">
        <v>45733.514803240738</v>
      </c>
      <c r="E103" s="3">
        <v>0</v>
      </c>
      <c r="F103" s="4" t="s">
        <v>416</v>
      </c>
      <c r="G103" s="3">
        <v>100</v>
      </c>
      <c r="H103" s="3">
        <v>508</v>
      </c>
      <c r="I103" s="3">
        <v>1</v>
      </c>
      <c r="J103" s="5">
        <v>45733.514814733797</v>
      </c>
      <c r="K103" s="4" t="s">
        <v>417</v>
      </c>
      <c r="L103" s="4" t="s">
        <v>122</v>
      </c>
      <c r="M103" s="4" t="s">
        <v>122</v>
      </c>
      <c r="N103" s="4" t="s">
        <v>122</v>
      </c>
      <c r="O103" s="4" t="s">
        <v>122</v>
      </c>
      <c r="P103" s="3">
        <v>33.453200000000002</v>
      </c>
      <c r="Q103" s="3">
        <v>-112.0748</v>
      </c>
      <c r="R103" s="4" t="s">
        <v>129</v>
      </c>
      <c r="S103" s="4" t="s">
        <v>124</v>
      </c>
      <c r="T103" s="4" t="s">
        <v>122</v>
      </c>
      <c r="U103" s="3">
        <v>1</v>
      </c>
      <c r="V103" s="3">
        <v>2</v>
      </c>
      <c r="W103" s="3">
        <v>2</v>
      </c>
      <c r="X103" s="3">
        <v>1</v>
      </c>
      <c r="Y103" s="3">
        <v>4</v>
      </c>
      <c r="Z103" s="3">
        <v>3</v>
      </c>
      <c r="AA103" s="3">
        <v>1</v>
      </c>
      <c r="AB103" s="4" t="s">
        <v>122</v>
      </c>
      <c r="AC103" s="4" t="s">
        <v>122</v>
      </c>
      <c r="AD103" s="4" t="s">
        <v>122</v>
      </c>
      <c r="AE103" s="4" t="s">
        <v>122</v>
      </c>
      <c r="AF103" s="4" t="s">
        <v>122</v>
      </c>
      <c r="AG103" s="3">
        <v>5</v>
      </c>
      <c r="AH103" s="3">
        <v>7</v>
      </c>
      <c r="AI103" s="3">
        <v>3</v>
      </c>
      <c r="AJ103" s="3">
        <v>9</v>
      </c>
      <c r="AK103" s="3">
        <v>8</v>
      </c>
      <c r="AL103" s="3">
        <v>8</v>
      </c>
      <c r="AM103" s="3">
        <v>9</v>
      </c>
      <c r="AN103" s="3">
        <v>6</v>
      </c>
      <c r="AO103" s="3">
        <v>2</v>
      </c>
      <c r="AP103" s="3">
        <v>3</v>
      </c>
      <c r="AQ103" s="3" t="s">
        <v>122</v>
      </c>
      <c r="AR103" s="3" t="s">
        <v>122</v>
      </c>
      <c r="AS103" s="3">
        <v>4</v>
      </c>
      <c r="AT103" s="3">
        <v>9</v>
      </c>
      <c r="AU103" s="3">
        <v>5</v>
      </c>
      <c r="AV103" s="3">
        <v>4</v>
      </c>
      <c r="AW103" s="3">
        <v>6</v>
      </c>
      <c r="AX103" s="3">
        <v>2</v>
      </c>
      <c r="AY103" s="3">
        <v>4</v>
      </c>
      <c r="AZ103" s="3" t="s">
        <v>122</v>
      </c>
      <c r="BA103" s="3" t="s">
        <v>122</v>
      </c>
      <c r="BB103" s="3" t="s">
        <v>122</v>
      </c>
      <c r="BC103" s="3" t="s">
        <v>122</v>
      </c>
      <c r="BD103" s="3" t="s">
        <v>122</v>
      </c>
      <c r="BE103" s="3" t="s">
        <v>122</v>
      </c>
      <c r="BF103" s="3" t="s">
        <v>122</v>
      </c>
      <c r="BG103" s="3" t="s">
        <v>122</v>
      </c>
      <c r="BH103" s="3" t="s">
        <v>122</v>
      </c>
      <c r="BI103" s="3" t="s">
        <v>122</v>
      </c>
      <c r="BJ103" s="3" t="s">
        <v>122</v>
      </c>
      <c r="BK103" s="3" t="s">
        <v>122</v>
      </c>
      <c r="BL103" s="3" t="s">
        <v>122</v>
      </c>
      <c r="BM103" s="3" t="s">
        <v>122</v>
      </c>
      <c r="BN103" s="3" t="s">
        <v>122</v>
      </c>
      <c r="BO103" s="3">
        <v>7</v>
      </c>
      <c r="BP103" s="3">
        <v>7</v>
      </c>
      <c r="BQ103" s="3">
        <v>3</v>
      </c>
      <c r="BR103" s="3" t="s">
        <v>122</v>
      </c>
      <c r="BS103" s="3" t="s">
        <v>122</v>
      </c>
      <c r="BT103" s="3" t="s">
        <v>122</v>
      </c>
      <c r="BU103" s="3" t="s">
        <v>122</v>
      </c>
      <c r="BV103" s="3" t="s">
        <v>122</v>
      </c>
      <c r="BW103" s="3" t="s">
        <v>122</v>
      </c>
      <c r="BX103" s="3" t="s">
        <v>122</v>
      </c>
      <c r="BY103" s="3" t="s">
        <v>122</v>
      </c>
      <c r="BZ103" s="3" t="s">
        <v>122</v>
      </c>
      <c r="CA103" s="3">
        <v>3</v>
      </c>
      <c r="CB103" s="3">
        <v>0</v>
      </c>
      <c r="CC103" s="3" t="s">
        <v>122</v>
      </c>
      <c r="CD103" s="3">
        <v>6.5</v>
      </c>
      <c r="CE103" s="3">
        <v>3</v>
      </c>
      <c r="CF103" s="3">
        <v>1</v>
      </c>
      <c r="CG103" s="4" t="s">
        <v>122</v>
      </c>
      <c r="CH103" s="3">
        <v>2</v>
      </c>
      <c r="CI103" s="4" t="s">
        <v>122</v>
      </c>
      <c r="CJ103" s="4" t="s">
        <v>122</v>
      </c>
      <c r="CK103" s="4" t="s">
        <v>122</v>
      </c>
      <c r="CL103" s="4" t="s">
        <v>122</v>
      </c>
      <c r="CM103" s="4" t="s">
        <v>122</v>
      </c>
      <c r="CN103" s="4" t="s">
        <v>122</v>
      </c>
      <c r="CO103" s="4" t="s">
        <v>122</v>
      </c>
      <c r="CP103" s="4" t="s">
        <v>125</v>
      </c>
      <c r="CQ103" s="4" t="s">
        <v>122</v>
      </c>
      <c r="CR103" s="4" t="s">
        <v>418</v>
      </c>
      <c r="CS103" s="3">
        <v>2</v>
      </c>
      <c r="CT103" s="3">
        <v>6</v>
      </c>
      <c r="CU103" s="42">
        <v>4</v>
      </c>
      <c r="CV103" cm="1">
        <f t="array" ref="CV103">_xlfn.IFS(CU103*1=2,1,CU103*1=4,1,TRUE,0)</f>
        <v>1</v>
      </c>
      <c r="CW103" cm="1">
        <f t="array" ref="CW103">_xlfn.IFS(CU103*1=1,1,CU103*1=2,1,TRUE,0)</f>
        <v>0</v>
      </c>
      <c r="CX103" s="3">
        <f t="shared" si="18"/>
        <v>0</v>
      </c>
      <c r="CY103" s="3">
        <f t="shared" si="11"/>
        <v>6.5</v>
      </c>
      <c r="CZ103" s="3" cm="1">
        <f t="array" ref="CZ103">_xlfn.IFS(BP103&lt;&gt;"", BP103, CV103=1,  AQ103, CV103=0,  AZ103)</f>
        <v>7</v>
      </c>
      <c r="DA103" s="36" cm="1">
        <f t="array" ref="DA103">_xlfn.IFS(BO103&lt;&gt;"", BO103, CV103=0,  AQ103, CV103=1,  AZ103)</f>
        <v>7</v>
      </c>
      <c r="DB103" s="36">
        <f t="shared" si="12"/>
        <v>-0.5</v>
      </c>
      <c r="DC103" s="3">
        <f t="shared" si="13"/>
        <v>-7</v>
      </c>
      <c r="DD103" s="3">
        <f t="shared" si="14"/>
        <v>-0.5</v>
      </c>
      <c r="DE103" s="3">
        <f t="shared" si="15"/>
        <v>0</v>
      </c>
      <c r="DF103" s="3">
        <f t="shared" si="16"/>
        <v>-7</v>
      </c>
      <c r="DG103" s="3">
        <f t="shared" si="17"/>
        <v>0</v>
      </c>
    </row>
    <row r="104" spans="1:111" x14ac:dyDescent="0.4">
      <c r="A104" s="3">
        <v>202503</v>
      </c>
      <c r="B104" s="3">
        <v>222</v>
      </c>
      <c r="C104" s="5">
        <v>45733.510138888887</v>
      </c>
      <c r="D104" s="5">
        <v>45733.5153125</v>
      </c>
      <c r="E104" s="3">
        <v>0</v>
      </c>
      <c r="F104" s="4" t="s">
        <v>421</v>
      </c>
      <c r="G104" s="3">
        <v>100</v>
      </c>
      <c r="H104" s="3">
        <v>446</v>
      </c>
      <c r="I104" s="3">
        <v>1</v>
      </c>
      <c r="J104" s="5">
        <v>45733.515325567132</v>
      </c>
      <c r="K104" s="4" t="s">
        <v>422</v>
      </c>
      <c r="L104" s="4" t="s">
        <v>122</v>
      </c>
      <c r="M104" s="4" t="s">
        <v>122</v>
      </c>
      <c r="N104" s="4" t="s">
        <v>122</v>
      </c>
      <c r="O104" s="4" t="s">
        <v>122</v>
      </c>
      <c r="P104" s="3">
        <v>32.250300000000003</v>
      </c>
      <c r="Q104" s="3">
        <v>-110.94499999999999</v>
      </c>
      <c r="R104" s="4" t="s">
        <v>129</v>
      </c>
      <c r="S104" s="4" t="s">
        <v>124</v>
      </c>
      <c r="T104" s="4" t="s">
        <v>122</v>
      </c>
      <c r="U104" s="3">
        <v>1</v>
      </c>
      <c r="V104" s="3">
        <v>5</v>
      </c>
      <c r="W104" s="3">
        <v>2</v>
      </c>
      <c r="X104" s="3">
        <v>4</v>
      </c>
      <c r="Y104" s="3">
        <v>3</v>
      </c>
      <c r="Z104" s="3">
        <v>2</v>
      </c>
      <c r="AA104" s="3">
        <v>2</v>
      </c>
      <c r="AB104" s="4" t="s">
        <v>125</v>
      </c>
      <c r="AC104" s="4" t="s">
        <v>125</v>
      </c>
      <c r="AD104" s="4" t="s">
        <v>122</v>
      </c>
      <c r="AE104" s="4" t="s">
        <v>122</v>
      </c>
      <c r="AF104" s="4" t="s">
        <v>122</v>
      </c>
      <c r="AG104" s="3">
        <v>2</v>
      </c>
      <c r="AH104" s="3">
        <v>5</v>
      </c>
      <c r="AI104" s="3">
        <v>2</v>
      </c>
      <c r="AJ104" s="3">
        <v>8</v>
      </c>
      <c r="AK104" s="3">
        <v>8</v>
      </c>
      <c r="AL104" s="3">
        <v>8</v>
      </c>
      <c r="AM104" s="3">
        <v>6</v>
      </c>
      <c r="AN104" s="3">
        <v>8</v>
      </c>
      <c r="AO104" s="3">
        <v>3</v>
      </c>
      <c r="AP104" s="3">
        <v>3</v>
      </c>
      <c r="AQ104" s="3">
        <v>5</v>
      </c>
      <c r="AR104" s="3">
        <v>3</v>
      </c>
      <c r="AS104" s="3">
        <v>7</v>
      </c>
      <c r="AT104" s="3">
        <v>8</v>
      </c>
      <c r="AU104" s="3">
        <v>6</v>
      </c>
      <c r="AV104" s="3">
        <v>7</v>
      </c>
      <c r="AW104" s="3">
        <v>7</v>
      </c>
      <c r="AX104" s="3">
        <v>2</v>
      </c>
      <c r="AY104" s="3">
        <v>2</v>
      </c>
      <c r="AZ104" s="3">
        <v>5</v>
      </c>
      <c r="BA104" s="3">
        <v>3</v>
      </c>
      <c r="BB104" s="3">
        <v>5</v>
      </c>
      <c r="BC104" s="3">
        <v>4.5</v>
      </c>
      <c r="BD104" s="3">
        <v>3</v>
      </c>
      <c r="BE104" s="3" t="s">
        <v>122</v>
      </c>
      <c r="BF104" s="3" t="s">
        <v>122</v>
      </c>
      <c r="BG104" s="3" t="s">
        <v>122</v>
      </c>
      <c r="BH104" s="3" t="s">
        <v>122</v>
      </c>
      <c r="BI104" s="3" t="s">
        <v>122</v>
      </c>
      <c r="BJ104" s="3" t="s">
        <v>122</v>
      </c>
      <c r="BK104" s="3" t="s">
        <v>122</v>
      </c>
      <c r="BL104" s="3" t="s">
        <v>122</v>
      </c>
      <c r="BM104" s="3" t="s">
        <v>122</v>
      </c>
      <c r="BN104" s="3">
        <v>4</v>
      </c>
      <c r="BO104" s="3" t="s">
        <v>122</v>
      </c>
      <c r="BP104" s="3" t="s">
        <v>122</v>
      </c>
      <c r="BQ104" s="3" t="s">
        <v>122</v>
      </c>
      <c r="BR104" s="3" t="s">
        <v>122</v>
      </c>
      <c r="BS104" s="3" t="s">
        <v>122</v>
      </c>
      <c r="BT104" s="3" t="s">
        <v>122</v>
      </c>
      <c r="BU104" s="3" t="s">
        <v>122</v>
      </c>
      <c r="BV104" s="3" t="s">
        <v>122</v>
      </c>
      <c r="BW104" s="3" t="s">
        <v>122</v>
      </c>
      <c r="BX104" s="3" t="s">
        <v>122</v>
      </c>
      <c r="BY104" s="3" t="s">
        <v>122</v>
      </c>
      <c r="BZ104" s="3" t="s">
        <v>122</v>
      </c>
      <c r="CA104" s="3" t="s">
        <v>122</v>
      </c>
      <c r="CB104" s="3" t="s">
        <v>122</v>
      </c>
      <c r="CC104" s="3" t="s">
        <v>122</v>
      </c>
      <c r="CD104" s="3" t="s">
        <v>122</v>
      </c>
      <c r="CE104" s="3" t="s">
        <v>122</v>
      </c>
      <c r="CF104" s="3">
        <v>1</v>
      </c>
      <c r="CG104" s="4" t="s">
        <v>122</v>
      </c>
      <c r="CH104" s="3">
        <v>4</v>
      </c>
      <c r="CI104" s="4" t="s">
        <v>122</v>
      </c>
      <c r="CJ104" s="4" t="s">
        <v>122</v>
      </c>
      <c r="CK104" s="4" t="s">
        <v>122</v>
      </c>
      <c r="CL104" s="4" t="s">
        <v>122</v>
      </c>
      <c r="CM104" s="4" t="s">
        <v>122</v>
      </c>
      <c r="CN104" s="4" t="s">
        <v>122</v>
      </c>
      <c r="CO104" s="4" t="s">
        <v>125</v>
      </c>
      <c r="CP104" s="4" t="s">
        <v>122</v>
      </c>
      <c r="CQ104" s="4" t="s">
        <v>122</v>
      </c>
      <c r="CR104" s="4" t="s">
        <v>122</v>
      </c>
      <c r="CS104" s="3">
        <v>4</v>
      </c>
      <c r="CT104" s="3">
        <v>4</v>
      </c>
      <c r="CU104" s="42">
        <v>2</v>
      </c>
      <c r="CV104" cm="1">
        <f t="array" ref="CV104">_xlfn.IFS(CU104*1=2,1,CU104*1=4,1,TRUE,0)</f>
        <v>1</v>
      </c>
      <c r="CW104" cm="1">
        <f t="array" ref="CW104">_xlfn.IFS(CU104*1=1,1,CU104*1=2,1,TRUE,0)</f>
        <v>1</v>
      </c>
      <c r="CX104" s="3">
        <f t="shared" si="18"/>
        <v>5</v>
      </c>
      <c r="CY104" s="3">
        <f t="shared" si="11"/>
        <v>4.5</v>
      </c>
      <c r="CZ104" s="3" cm="1">
        <f t="array" ref="CZ104">_xlfn.IFS(BP104&lt;&gt;"", BP104, CV104=1,  AQ104, CV104=0,  AZ104)</f>
        <v>5</v>
      </c>
      <c r="DA104" s="36" cm="1">
        <f t="array" ref="DA104">_xlfn.IFS(BO104&lt;&gt;"", BO104, CV104=0,  AQ104, CV104=1,  AZ104)</f>
        <v>5</v>
      </c>
      <c r="DB104" s="36">
        <f t="shared" si="12"/>
        <v>-0.5</v>
      </c>
      <c r="DC104" s="3">
        <f t="shared" si="13"/>
        <v>0</v>
      </c>
      <c r="DD104" s="3">
        <f t="shared" si="14"/>
        <v>0</v>
      </c>
      <c r="DE104" s="3">
        <f t="shared" si="15"/>
        <v>-0.5</v>
      </c>
      <c r="DF104" s="3">
        <f t="shared" si="16"/>
        <v>0</v>
      </c>
      <c r="DG104" s="3">
        <f t="shared" si="17"/>
        <v>0</v>
      </c>
    </row>
    <row r="105" spans="1:111" x14ac:dyDescent="0.4">
      <c r="A105" s="3">
        <v>202503</v>
      </c>
      <c r="B105" s="3">
        <v>222</v>
      </c>
      <c r="C105" s="5">
        <v>45733.51730324074</v>
      </c>
      <c r="D105" s="5">
        <v>45733.523923611108</v>
      </c>
      <c r="E105" s="3">
        <v>0</v>
      </c>
      <c r="F105" s="4" t="s">
        <v>423</v>
      </c>
      <c r="G105" s="3">
        <v>100</v>
      </c>
      <c r="H105" s="3">
        <v>571</v>
      </c>
      <c r="I105" s="3">
        <v>1</v>
      </c>
      <c r="J105" s="5">
        <v>45733.523936111109</v>
      </c>
      <c r="K105" s="4" t="s">
        <v>424</v>
      </c>
      <c r="L105" s="4" t="s">
        <v>122</v>
      </c>
      <c r="M105" s="4" t="s">
        <v>122</v>
      </c>
      <c r="N105" s="4" t="s">
        <v>122</v>
      </c>
      <c r="O105" s="4" t="s">
        <v>122</v>
      </c>
      <c r="P105" s="3">
        <v>32.250300000000003</v>
      </c>
      <c r="Q105" s="3">
        <v>-110.94499999999999</v>
      </c>
      <c r="R105" s="4" t="s">
        <v>129</v>
      </c>
      <c r="S105" s="4" t="s">
        <v>124</v>
      </c>
      <c r="T105" s="4" t="s">
        <v>122</v>
      </c>
      <c r="U105" s="3">
        <v>1</v>
      </c>
      <c r="V105" s="3">
        <v>4</v>
      </c>
      <c r="W105" s="3">
        <v>4</v>
      </c>
      <c r="X105" s="3">
        <v>2</v>
      </c>
      <c r="Y105" s="3">
        <v>2</v>
      </c>
      <c r="Z105" s="3">
        <v>1</v>
      </c>
      <c r="AA105" s="3">
        <v>1</v>
      </c>
      <c r="AB105" s="4" t="s">
        <v>125</v>
      </c>
      <c r="AC105" s="4" t="s">
        <v>122</v>
      </c>
      <c r="AD105" s="4" t="s">
        <v>122</v>
      </c>
      <c r="AE105" s="4" t="s">
        <v>122</v>
      </c>
      <c r="AF105" s="4" t="s">
        <v>122</v>
      </c>
      <c r="AG105" s="3">
        <v>2</v>
      </c>
      <c r="AH105" s="3">
        <v>4.5</v>
      </c>
      <c r="AI105" s="3">
        <v>2</v>
      </c>
      <c r="AJ105" s="3">
        <v>4</v>
      </c>
      <c r="AK105" s="3">
        <v>5</v>
      </c>
      <c r="AL105" s="3">
        <v>3</v>
      </c>
      <c r="AM105" s="3">
        <v>4</v>
      </c>
      <c r="AN105" s="3">
        <v>5</v>
      </c>
      <c r="AO105" s="3">
        <v>4</v>
      </c>
      <c r="AP105" s="3">
        <v>2</v>
      </c>
      <c r="AQ105" s="3" t="s">
        <v>122</v>
      </c>
      <c r="AR105" s="3" t="s">
        <v>122</v>
      </c>
      <c r="AS105" s="3">
        <v>6</v>
      </c>
      <c r="AT105" s="3">
        <v>7</v>
      </c>
      <c r="AU105" s="3">
        <v>6</v>
      </c>
      <c r="AV105" s="3">
        <v>6</v>
      </c>
      <c r="AW105" s="3">
        <v>5</v>
      </c>
      <c r="AX105" s="3">
        <v>3</v>
      </c>
      <c r="AY105" s="3">
        <v>2</v>
      </c>
      <c r="AZ105" s="3" t="s">
        <v>122</v>
      </c>
      <c r="BA105" s="3" t="s">
        <v>122</v>
      </c>
      <c r="BB105" s="3" t="s">
        <v>122</v>
      </c>
      <c r="BC105" s="3" t="s">
        <v>122</v>
      </c>
      <c r="BD105" s="3" t="s">
        <v>122</v>
      </c>
      <c r="BE105" s="3" t="s">
        <v>122</v>
      </c>
      <c r="BF105" s="3" t="s">
        <v>122</v>
      </c>
      <c r="BG105" s="3" t="s">
        <v>122</v>
      </c>
      <c r="BH105" s="3" t="s">
        <v>122</v>
      </c>
      <c r="BI105" s="3" t="s">
        <v>122</v>
      </c>
      <c r="BJ105" s="3" t="s">
        <v>122</v>
      </c>
      <c r="BK105" s="3" t="s">
        <v>122</v>
      </c>
      <c r="BL105" s="3" t="s">
        <v>122</v>
      </c>
      <c r="BM105" s="3" t="s">
        <v>122</v>
      </c>
      <c r="BN105" s="3" t="s">
        <v>122</v>
      </c>
      <c r="BO105" s="3">
        <v>4.5</v>
      </c>
      <c r="BP105" s="3">
        <v>4.5</v>
      </c>
      <c r="BQ105" s="3">
        <v>2</v>
      </c>
      <c r="BR105" s="3" t="s">
        <v>122</v>
      </c>
      <c r="BS105" s="3" t="s">
        <v>122</v>
      </c>
      <c r="BT105" s="3" t="s">
        <v>122</v>
      </c>
      <c r="BU105" s="3" t="s">
        <v>122</v>
      </c>
      <c r="BV105" s="3" t="s">
        <v>122</v>
      </c>
      <c r="BW105" s="3" t="s">
        <v>122</v>
      </c>
      <c r="BX105" s="3" t="s">
        <v>122</v>
      </c>
      <c r="BY105" s="3" t="s">
        <v>122</v>
      </c>
      <c r="BZ105" s="3" t="s">
        <v>122</v>
      </c>
      <c r="CA105" s="3">
        <v>1</v>
      </c>
      <c r="CB105" s="3">
        <v>4</v>
      </c>
      <c r="CC105" s="3">
        <v>2</v>
      </c>
      <c r="CD105" s="3">
        <v>4.5</v>
      </c>
      <c r="CE105" s="3">
        <v>2</v>
      </c>
      <c r="CF105" s="3">
        <v>2</v>
      </c>
      <c r="CG105" s="4" t="s">
        <v>122</v>
      </c>
      <c r="CH105" s="3">
        <v>4</v>
      </c>
      <c r="CI105" s="4" t="s">
        <v>122</v>
      </c>
      <c r="CJ105" s="4" t="s">
        <v>122</v>
      </c>
      <c r="CK105" s="4" t="s">
        <v>122</v>
      </c>
      <c r="CL105" s="4" t="s">
        <v>122</v>
      </c>
      <c r="CM105" s="4" t="s">
        <v>122</v>
      </c>
      <c r="CN105" s="4" t="s">
        <v>122</v>
      </c>
      <c r="CO105" s="4" t="s">
        <v>125</v>
      </c>
      <c r="CP105" s="4" t="s">
        <v>122</v>
      </c>
      <c r="CQ105" s="4" t="s">
        <v>122</v>
      </c>
      <c r="CR105" s="4" t="s">
        <v>122</v>
      </c>
      <c r="CS105" s="3">
        <v>5</v>
      </c>
      <c r="CT105" s="3">
        <v>5</v>
      </c>
      <c r="CU105" s="42">
        <v>3</v>
      </c>
      <c r="CV105" cm="1">
        <f t="array" ref="CV105">_xlfn.IFS(CU105*1=2,1,CU105*1=4,1,TRUE,0)</f>
        <v>0</v>
      </c>
      <c r="CW105" cm="1">
        <f t="array" ref="CW105">_xlfn.IFS(CU105*1=1,1,CU105*1=2,1,TRUE,0)</f>
        <v>0</v>
      </c>
      <c r="CX105" s="3">
        <f t="shared" si="18"/>
        <v>4</v>
      </c>
      <c r="CY105" s="3">
        <f t="shared" si="11"/>
        <v>4.5</v>
      </c>
      <c r="CZ105" s="3" cm="1">
        <f t="array" ref="CZ105">_xlfn.IFS(BP105&lt;&gt;"", BP105, CV105=1,  AQ105, CV105=0,  AZ105)</f>
        <v>4.5</v>
      </c>
      <c r="DA105" s="36" cm="1">
        <f t="array" ref="DA105">_xlfn.IFS(BO105&lt;&gt;"", BO105, CV105=0,  AQ105, CV105=1,  AZ105)</f>
        <v>4.5</v>
      </c>
      <c r="DB105" s="36">
        <f t="shared" si="12"/>
        <v>0</v>
      </c>
      <c r="DC105" s="3">
        <f t="shared" si="13"/>
        <v>-0.5</v>
      </c>
      <c r="DD105" s="3">
        <f t="shared" si="14"/>
        <v>0</v>
      </c>
      <c r="DE105" s="3">
        <f t="shared" si="15"/>
        <v>0</v>
      </c>
      <c r="DF105" s="3">
        <f t="shared" si="16"/>
        <v>-0.5</v>
      </c>
      <c r="DG105" s="3">
        <f t="shared" si="17"/>
        <v>0</v>
      </c>
    </row>
    <row r="106" spans="1:111" x14ac:dyDescent="0.4">
      <c r="A106" s="3">
        <v>202503</v>
      </c>
      <c r="B106" s="3">
        <v>222</v>
      </c>
      <c r="C106" s="5">
        <v>45733.528634259259</v>
      </c>
      <c r="D106" s="5">
        <v>45733.536168981482</v>
      </c>
      <c r="E106" s="3">
        <v>0</v>
      </c>
      <c r="F106" s="4" t="s">
        <v>425</v>
      </c>
      <c r="G106" s="3">
        <v>100</v>
      </c>
      <c r="H106" s="3">
        <v>650</v>
      </c>
      <c r="I106" s="3">
        <v>1</v>
      </c>
      <c r="J106" s="5">
        <v>45733.536181192132</v>
      </c>
      <c r="K106" s="4" t="s">
        <v>426</v>
      </c>
      <c r="L106" s="4" t="s">
        <v>122</v>
      </c>
      <c r="M106" s="4" t="s">
        <v>122</v>
      </c>
      <c r="N106" s="4" t="s">
        <v>122</v>
      </c>
      <c r="O106" s="4" t="s">
        <v>122</v>
      </c>
      <c r="P106" s="3">
        <v>32.250300000000003</v>
      </c>
      <c r="Q106" s="3">
        <v>-110.94499999999999</v>
      </c>
      <c r="R106" s="4" t="s">
        <v>129</v>
      </c>
      <c r="S106" s="4" t="s">
        <v>124</v>
      </c>
      <c r="T106" s="4" t="s">
        <v>122</v>
      </c>
      <c r="U106" s="3">
        <v>1</v>
      </c>
      <c r="V106" s="3">
        <v>5</v>
      </c>
      <c r="W106" s="3">
        <v>2</v>
      </c>
      <c r="X106" s="3">
        <v>2</v>
      </c>
      <c r="Y106" s="3">
        <v>3</v>
      </c>
      <c r="Z106" s="3">
        <v>2</v>
      </c>
      <c r="AA106" s="3">
        <v>3</v>
      </c>
      <c r="AB106" s="4" t="s">
        <v>122</v>
      </c>
      <c r="AC106" s="4" t="s">
        <v>125</v>
      </c>
      <c r="AD106" s="4" t="s">
        <v>122</v>
      </c>
      <c r="AE106" s="4" t="s">
        <v>122</v>
      </c>
      <c r="AF106" s="4" t="s">
        <v>122</v>
      </c>
      <c r="AG106" s="3">
        <v>4</v>
      </c>
      <c r="AH106" s="3">
        <v>4</v>
      </c>
      <c r="AI106" s="3">
        <v>2</v>
      </c>
      <c r="AJ106" s="3">
        <v>7</v>
      </c>
      <c r="AK106" s="3">
        <v>8</v>
      </c>
      <c r="AL106" s="3">
        <v>7</v>
      </c>
      <c r="AM106" s="3">
        <v>6</v>
      </c>
      <c r="AN106" s="3">
        <v>7</v>
      </c>
      <c r="AO106" s="3">
        <v>2</v>
      </c>
      <c r="AP106" s="3">
        <v>3</v>
      </c>
      <c r="AQ106" s="4">
        <v>5</v>
      </c>
      <c r="AR106" s="4">
        <v>3</v>
      </c>
      <c r="AS106" s="3">
        <v>6</v>
      </c>
      <c r="AT106" s="3">
        <v>8</v>
      </c>
      <c r="AU106" s="3">
        <v>7</v>
      </c>
      <c r="AV106" s="3">
        <v>6</v>
      </c>
      <c r="AW106" s="3">
        <v>8</v>
      </c>
      <c r="AX106" s="3">
        <v>3</v>
      </c>
      <c r="AY106" s="3">
        <v>3</v>
      </c>
      <c r="AZ106" s="4">
        <v>5</v>
      </c>
      <c r="BA106" s="4">
        <v>3</v>
      </c>
      <c r="BB106" s="3">
        <v>5</v>
      </c>
      <c r="BC106" s="3">
        <v>5</v>
      </c>
      <c r="BD106" s="3">
        <v>3</v>
      </c>
      <c r="BE106" s="3" t="s">
        <v>122</v>
      </c>
      <c r="BF106" s="3" t="s">
        <v>122</v>
      </c>
      <c r="BG106" s="3" t="s">
        <v>122</v>
      </c>
      <c r="BH106" s="3" t="s">
        <v>122</v>
      </c>
      <c r="BI106" s="3" t="s">
        <v>122</v>
      </c>
      <c r="BJ106" s="3" t="s">
        <v>122</v>
      </c>
      <c r="BK106" s="3" t="s">
        <v>122</v>
      </c>
      <c r="BL106" s="3" t="s">
        <v>122</v>
      </c>
      <c r="BM106" s="3" t="s">
        <v>122</v>
      </c>
      <c r="BN106" s="3">
        <v>1</v>
      </c>
      <c r="BO106" s="3" t="s">
        <v>122</v>
      </c>
      <c r="BP106" s="3" t="s">
        <v>122</v>
      </c>
      <c r="BQ106" s="3" t="s">
        <v>122</v>
      </c>
      <c r="BR106" s="3" t="s">
        <v>122</v>
      </c>
      <c r="BS106" s="3" t="s">
        <v>122</v>
      </c>
      <c r="BT106" s="3" t="s">
        <v>122</v>
      </c>
      <c r="BU106" s="3" t="s">
        <v>122</v>
      </c>
      <c r="BV106" s="3" t="s">
        <v>122</v>
      </c>
      <c r="BW106" s="3" t="s">
        <v>122</v>
      </c>
      <c r="BX106" s="3" t="s">
        <v>122</v>
      </c>
      <c r="BY106" s="3" t="s">
        <v>122</v>
      </c>
      <c r="BZ106" s="3" t="s">
        <v>122</v>
      </c>
      <c r="CA106" s="3" t="s">
        <v>122</v>
      </c>
      <c r="CB106" s="3" t="s">
        <v>122</v>
      </c>
      <c r="CC106" s="3" t="s">
        <v>122</v>
      </c>
      <c r="CD106" s="3" t="s">
        <v>122</v>
      </c>
      <c r="CE106" s="3" t="s">
        <v>122</v>
      </c>
      <c r="CF106" s="3">
        <v>1</v>
      </c>
      <c r="CG106" s="4" t="s">
        <v>122</v>
      </c>
      <c r="CH106" s="3">
        <v>3</v>
      </c>
      <c r="CI106" s="4" t="s">
        <v>122</v>
      </c>
      <c r="CJ106" s="4" t="s">
        <v>122</v>
      </c>
      <c r="CK106" s="4" t="s">
        <v>122</v>
      </c>
      <c r="CL106" s="4" t="s">
        <v>122</v>
      </c>
      <c r="CM106" s="4" t="s">
        <v>122</v>
      </c>
      <c r="CN106" s="4" t="s">
        <v>122</v>
      </c>
      <c r="CO106" s="4" t="s">
        <v>125</v>
      </c>
      <c r="CP106" s="4" t="s">
        <v>122</v>
      </c>
      <c r="CQ106" s="4" t="s">
        <v>122</v>
      </c>
      <c r="CR106" s="4" t="s">
        <v>122</v>
      </c>
      <c r="CS106" s="3">
        <v>3</v>
      </c>
      <c r="CT106" s="3">
        <v>3</v>
      </c>
      <c r="CU106" s="42">
        <v>1</v>
      </c>
      <c r="CV106" cm="1">
        <f t="array" ref="CV106">_xlfn.IFS(CU106*1=2,1,CU106*1=4,1,TRUE,0)</f>
        <v>0</v>
      </c>
      <c r="CW106" cm="1">
        <f t="array" ref="CW106">_xlfn.IFS(CU106*1=1,1,CU106*1=2,1,TRUE,0)</f>
        <v>1</v>
      </c>
      <c r="CX106" s="3">
        <f t="shared" si="18"/>
        <v>5</v>
      </c>
      <c r="CY106" s="3">
        <f t="shared" si="11"/>
        <v>5</v>
      </c>
      <c r="CZ106" s="3" cm="1">
        <f t="array" ref="CZ106">_xlfn.IFS(BP106&lt;&gt;"", BP106, CV106=1,  AQ106, CV106=0,  AZ106)</f>
        <v>5</v>
      </c>
      <c r="DA106" s="36" cm="1">
        <f t="array" ref="DA106">_xlfn.IFS(BO106&lt;&gt;"", BO106, CV106=0,  AQ106, CV106=1,  AZ106)</f>
        <v>5</v>
      </c>
      <c r="DB106" s="36">
        <f t="shared" si="12"/>
        <v>1</v>
      </c>
      <c r="DC106" s="3">
        <f t="shared" si="13"/>
        <v>1</v>
      </c>
      <c r="DD106" s="3">
        <f t="shared" si="14"/>
        <v>1</v>
      </c>
      <c r="DE106" s="3">
        <f t="shared" si="15"/>
        <v>1</v>
      </c>
      <c r="DF106" s="3">
        <f t="shared" si="16"/>
        <v>1</v>
      </c>
      <c r="DG106" s="3">
        <f t="shared" si="17"/>
        <v>1</v>
      </c>
    </row>
    <row r="107" spans="1:111" x14ac:dyDescent="0.4">
      <c r="A107" s="3">
        <v>202503</v>
      </c>
      <c r="B107" s="3">
        <v>222</v>
      </c>
      <c r="C107" s="5">
        <v>45733.549942129626</v>
      </c>
      <c r="D107" s="5">
        <v>45733.55572916667</v>
      </c>
      <c r="E107" s="3">
        <v>0</v>
      </c>
      <c r="F107" s="4" t="s">
        <v>427</v>
      </c>
      <c r="G107" s="3">
        <v>100</v>
      </c>
      <c r="H107" s="3">
        <v>500</v>
      </c>
      <c r="I107" s="3">
        <v>1</v>
      </c>
      <c r="J107" s="5">
        <v>45733.555749409723</v>
      </c>
      <c r="K107" s="4" t="s">
        <v>428</v>
      </c>
      <c r="L107" s="4" t="s">
        <v>122</v>
      </c>
      <c r="M107" s="4" t="s">
        <v>122</v>
      </c>
      <c r="N107" s="4" t="s">
        <v>122</v>
      </c>
      <c r="O107" s="4" t="s">
        <v>122</v>
      </c>
      <c r="P107" s="3">
        <v>32.250300000000003</v>
      </c>
      <c r="Q107" s="3">
        <v>-110.94499999999999</v>
      </c>
      <c r="R107" s="4" t="s">
        <v>129</v>
      </c>
      <c r="S107" s="4" t="s">
        <v>124</v>
      </c>
      <c r="T107" s="4" t="s">
        <v>122</v>
      </c>
      <c r="U107" s="3">
        <v>1</v>
      </c>
      <c r="V107" s="3">
        <v>2</v>
      </c>
      <c r="W107" s="3">
        <v>1</v>
      </c>
      <c r="X107" s="3">
        <v>1</v>
      </c>
      <c r="Y107" s="3">
        <v>2</v>
      </c>
      <c r="Z107" s="3">
        <v>2</v>
      </c>
      <c r="AA107" s="3">
        <v>1</v>
      </c>
      <c r="AB107" s="4" t="s">
        <v>122</v>
      </c>
      <c r="AC107" s="4" t="s">
        <v>122</v>
      </c>
      <c r="AD107" s="4" t="s">
        <v>122</v>
      </c>
      <c r="AE107" s="4" t="s">
        <v>122</v>
      </c>
      <c r="AF107" s="4" t="s">
        <v>122</v>
      </c>
      <c r="AG107" s="3">
        <v>2</v>
      </c>
      <c r="AH107" s="3">
        <v>6</v>
      </c>
      <c r="AI107" s="3">
        <v>2</v>
      </c>
      <c r="AJ107" s="3">
        <v>7</v>
      </c>
      <c r="AK107" s="3">
        <v>8</v>
      </c>
      <c r="AL107" s="3">
        <v>4</v>
      </c>
      <c r="AM107" s="3">
        <v>7</v>
      </c>
      <c r="AN107" s="3">
        <v>5</v>
      </c>
      <c r="AO107" s="3">
        <v>3</v>
      </c>
      <c r="AP107" s="3">
        <v>2</v>
      </c>
      <c r="AQ107" s="4">
        <v>6.5</v>
      </c>
      <c r="AR107" s="4">
        <v>2</v>
      </c>
      <c r="AS107" s="3">
        <v>7</v>
      </c>
      <c r="AT107" s="3">
        <v>6</v>
      </c>
      <c r="AU107" s="3">
        <v>6</v>
      </c>
      <c r="AV107" s="3">
        <v>7</v>
      </c>
      <c r="AW107" s="3">
        <v>5</v>
      </c>
      <c r="AX107" s="3">
        <v>3</v>
      </c>
      <c r="AY107" s="3">
        <v>3</v>
      </c>
      <c r="AZ107" s="4">
        <v>6.5</v>
      </c>
      <c r="BA107" s="4">
        <v>2</v>
      </c>
      <c r="BB107" s="3">
        <v>6.5</v>
      </c>
      <c r="BC107" s="3">
        <v>6.5</v>
      </c>
      <c r="BD107" s="3">
        <v>2</v>
      </c>
      <c r="BE107" s="3" t="s">
        <v>122</v>
      </c>
      <c r="BF107" s="3" t="s">
        <v>122</v>
      </c>
      <c r="BG107" s="3" t="s">
        <v>122</v>
      </c>
      <c r="BH107" s="3" t="s">
        <v>122</v>
      </c>
      <c r="BI107" s="3" t="s">
        <v>122</v>
      </c>
      <c r="BJ107" s="3" t="s">
        <v>122</v>
      </c>
      <c r="BK107" s="3" t="s">
        <v>122</v>
      </c>
      <c r="BL107" s="3" t="s">
        <v>122</v>
      </c>
      <c r="BM107" s="3" t="s">
        <v>122</v>
      </c>
      <c r="BN107" s="3">
        <v>1</v>
      </c>
      <c r="BO107" s="3" t="s">
        <v>122</v>
      </c>
      <c r="BP107" s="3" t="s">
        <v>122</v>
      </c>
      <c r="BQ107" s="3" t="s">
        <v>122</v>
      </c>
      <c r="BR107" s="3" t="s">
        <v>122</v>
      </c>
      <c r="BS107" s="3" t="s">
        <v>122</v>
      </c>
      <c r="BT107" s="3" t="s">
        <v>122</v>
      </c>
      <c r="BU107" s="3" t="s">
        <v>122</v>
      </c>
      <c r="BV107" s="3" t="s">
        <v>122</v>
      </c>
      <c r="BW107" s="3" t="s">
        <v>122</v>
      </c>
      <c r="BX107" s="3" t="s">
        <v>122</v>
      </c>
      <c r="BY107" s="3" t="s">
        <v>122</v>
      </c>
      <c r="BZ107" s="3" t="s">
        <v>122</v>
      </c>
      <c r="CA107" s="3" t="s">
        <v>122</v>
      </c>
      <c r="CB107" s="3" t="s">
        <v>122</v>
      </c>
      <c r="CC107" s="3" t="s">
        <v>122</v>
      </c>
      <c r="CD107" s="3" t="s">
        <v>122</v>
      </c>
      <c r="CE107" s="3" t="s">
        <v>122</v>
      </c>
      <c r="CF107" s="3">
        <v>1</v>
      </c>
      <c r="CG107" s="4" t="s">
        <v>122</v>
      </c>
      <c r="CH107" s="3">
        <v>5</v>
      </c>
      <c r="CI107" s="4" t="s">
        <v>122</v>
      </c>
      <c r="CJ107" s="4" t="s">
        <v>122</v>
      </c>
      <c r="CK107" s="4" t="s">
        <v>122</v>
      </c>
      <c r="CL107" s="4" t="s">
        <v>122</v>
      </c>
      <c r="CM107" s="4" t="s">
        <v>122</v>
      </c>
      <c r="CN107" s="4" t="s">
        <v>122</v>
      </c>
      <c r="CO107" s="4" t="s">
        <v>125</v>
      </c>
      <c r="CP107" s="4" t="s">
        <v>122</v>
      </c>
      <c r="CQ107" s="4" t="s">
        <v>122</v>
      </c>
      <c r="CR107" s="4" t="s">
        <v>122</v>
      </c>
      <c r="CS107" s="3">
        <v>5</v>
      </c>
      <c r="CT107" s="3">
        <v>6</v>
      </c>
      <c r="CU107" s="42">
        <v>2</v>
      </c>
      <c r="CV107" cm="1">
        <f t="array" ref="CV107">_xlfn.IFS(CU107*1=2,1,CU107*1=4,1,TRUE,0)</f>
        <v>1</v>
      </c>
      <c r="CW107" cm="1">
        <f t="array" ref="CW107">_xlfn.IFS(CU107*1=1,1,CU107*1=2,1,TRUE,0)</f>
        <v>1</v>
      </c>
      <c r="CX107" s="3">
        <f t="shared" si="18"/>
        <v>6.5</v>
      </c>
      <c r="CY107" s="3">
        <f t="shared" si="11"/>
        <v>6.5</v>
      </c>
      <c r="CZ107" s="3" cm="1">
        <f t="array" ref="CZ107">_xlfn.IFS(BP107&lt;&gt;"", BP107, CV107=1,  AQ107, CV107=0,  AZ107)</f>
        <v>6.5</v>
      </c>
      <c r="DA107" s="36" cm="1">
        <f t="array" ref="DA107">_xlfn.IFS(BO107&lt;&gt;"", BO107, CV107=0,  AQ107, CV107=1,  AZ107)</f>
        <v>6.5</v>
      </c>
      <c r="DB107" s="36">
        <f t="shared" si="12"/>
        <v>0.5</v>
      </c>
      <c r="DC107" s="3">
        <f t="shared" si="13"/>
        <v>0.5</v>
      </c>
      <c r="DD107" s="3">
        <f t="shared" si="14"/>
        <v>0.5</v>
      </c>
      <c r="DE107" s="3">
        <f t="shared" si="15"/>
        <v>0.5</v>
      </c>
      <c r="DF107" s="3">
        <f t="shared" si="16"/>
        <v>0.5</v>
      </c>
      <c r="DG107" s="3">
        <f t="shared" si="17"/>
        <v>0.5</v>
      </c>
    </row>
    <row r="108" spans="1:111" x14ac:dyDescent="0.4">
      <c r="A108" s="3">
        <v>202503</v>
      </c>
      <c r="B108" s="3">
        <v>222</v>
      </c>
      <c r="C108" s="5">
        <v>45733.551863425928</v>
      </c>
      <c r="D108" s="5">
        <v>45733.557060185187</v>
      </c>
      <c r="E108" s="3">
        <v>0</v>
      </c>
      <c r="F108" s="4" t="s">
        <v>429</v>
      </c>
      <c r="G108" s="3">
        <v>100</v>
      </c>
      <c r="H108" s="3">
        <v>448</v>
      </c>
      <c r="I108" s="3">
        <v>1</v>
      </c>
      <c r="J108" s="5">
        <v>45733.557073993055</v>
      </c>
      <c r="K108" s="4" t="s">
        <v>430</v>
      </c>
      <c r="L108" s="4" t="s">
        <v>122</v>
      </c>
      <c r="M108" s="4" t="s">
        <v>122</v>
      </c>
      <c r="N108" s="4" t="s">
        <v>122</v>
      </c>
      <c r="O108" s="4" t="s">
        <v>122</v>
      </c>
      <c r="P108" s="3">
        <v>32.250300000000003</v>
      </c>
      <c r="Q108" s="3">
        <v>-110.94499999999999</v>
      </c>
      <c r="R108" s="4" t="s">
        <v>129</v>
      </c>
      <c r="S108" s="4" t="s">
        <v>124</v>
      </c>
      <c r="T108" s="4" t="s">
        <v>122</v>
      </c>
      <c r="U108" s="3">
        <v>1</v>
      </c>
      <c r="V108" s="3">
        <v>4</v>
      </c>
      <c r="W108" s="3">
        <v>3</v>
      </c>
      <c r="X108" s="3">
        <v>1</v>
      </c>
      <c r="Y108" s="3">
        <v>4</v>
      </c>
      <c r="Z108" s="3">
        <v>3</v>
      </c>
      <c r="AA108" s="3">
        <v>1</v>
      </c>
      <c r="AB108" s="4" t="s">
        <v>122</v>
      </c>
      <c r="AC108" s="4" t="s">
        <v>122</v>
      </c>
      <c r="AD108" s="4" t="s">
        <v>122</v>
      </c>
      <c r="AE108" s="4" t="s">
        <v>122</v>
      </c>
      <c r="AF108" s="4" t="s">
        <v>122</v>
      </c>
      <c r="AG108" s="3">
        <v>4</v>
      </c>
      <c r="AH108" s="3">
        <v>2</v>
      </c>
      <c r="AI108" s="3">
        <v>3</v>
      </c>
      <c r="AJ108" s="3">
        <v>3</v>
      </c>
      <c r="AK108" s="3">
        <v>8</v>
      </c>
      <c r="AL108" s="3">
        <v>4</v>
      </c>
      <c r="AM108" s="3">
        <v>2</v>
      </c>
      <c r="AN108" s="3">
        <v>5</v>
      </c>
      <c r="AO108" s="3">
        <v>4</v>
      </c>
      <c r="AP108" s="3">
        <v>4</v>
      </c>
      <c r="AQ108" s="4">
        <v>2</v>
      </c>
      <c r="AR108" s="4">
        <v>3</v>
      </c>
      <c r="AS108" s="3">
        <v>5</v>
      </c>
      <c r="AT108" s="3">
        <v>6</v>
      </c>
      <c r="AU108" s="3">
        <v>5</v>
      </c>
      <c r="AV108" s="3">
        <v>6</v>
      </c>
      <c r="AW108" s="3">
        <v>5</v>
      </c>
      <c r="AX108" s="3">
        <v>4</v>
      </c>
      <c r="AY108" s="3">
        <v>2</v>
      </c>
      <c r="AZ108" s="4">
        <v>2</v>
      </c>
      <c r="BA108" s="4">
        <v>3</v>
      </c>
      <c r="BB108" s="3">
        <v>0</v>
      </c>
      <c r="BC108" s="3">
        <v>2</v>
      </c>
      <c r="BD108" s="3">
        <v>3</v>
      </c>
      <c r="BE108" s="3" t="s">
        <v>122</v>
      </c>
      <c r="BF108" s="3" t="s">
        <v>122</v>
      </c>
      <c r="BG108" s="3" t="s">
        <v>122</v>
      </c>
      <c r="BH108" s="3" t="s">
        <v>122</v>
      </c>
      <c r="BI108" s="3" t="s">
        <v>122</v>
      </c>
      <c r="BJ108" s="3" t="s">
        <v>122</v>
      </c>
      <c r="BK108" s="3" t="s">
        <v>122</v>
      </c>
      <c r="BL108" s="3" t="s">
        <v>122</v>
      </c>
      <c r="BM108" s="3" t="s">
        <v>122</v>
      </c>
      <c r="BN108" s="3" t="s">
        <v>122</v>
      </c>
      <c r="BO108" s="3" t="s">
        <v>122</v>
      </c>
      <c r="BP108" s="3" t="s">
        <v>122</v>
      </c>
      <c r="BQ108" s="3" t="s">
        <v>122</v>
      </c>
      <c r="BR108" s="3" t="s">
        <v>122</v>
      </c>
      <c r="BS108" s="3" t="s">
        <v>122</v>
      </c>
      <c r="BT108" s="3" t="s">
        <v>122</v>
      </c>
      <c r="BU108" s="3" t="s">
        <v>122</v>
      </c>
      <c r="BV108" s="3" t="s">
        <v>122</v>
      </c>
      <c r="BW108" s="3" t="s">
        <v>122</v>
      </c>
      <c r="BX108" s="3" t="s">
        <v>122</v>
      </c>
      <c r="BY108" s="3" t="s">
        <v>122</v>
      </c>
      <c r="BZ108" s="3" t="s">
        <v>122</v>
      </c>
      <c r="CA108" s="3" t="s">
        <v>122</v>
      </c>
      <c r="CB108" s="3" t="s">
        <v>122</v>
      </c>
      <c r="CC108" s="3" t="s">
        <v>122</v>
      </c>
      <c r="CD108" s="3" t="s">
        <v>122</v>
      </c>
      <c r="CE108" s="3" t="s">
        <v>122</v>
      </c>
      <c r="CF108" s="3">
        <v>2</v>
      </c>
      <c r="CG108" s="4" t="s">
        <v>122</v>
      </c>
      <c r="CH108" s="3">
        <v>3</v>
      </c>
      <c r="CI108" s="4" t="s">
        <v>122</v>
      </c>
      <c r="CJ108" s="4" t="s">
        <v>122</v>
      </c>
      <c r="CK108" s="4" t="s">
        <v>125</v>
      </c>
      <c r="CL108" s="4" t="s">
        <v>122</v>
      </c>
      <c r="CM108" s="4" t="s">
        <v>122</v>
      </c>
      <c r="CN108" s="4" t="s">
        <v>122</v>
      </c>
      <c r="CO108" s="4" t="s">
        <v>122</v>
      </c>
      <c r="CP108" s="4" t="s">
        <v>122</v>
      </c>
      <c r="CQ108" s="4" t="s">
        <v>122</v>
      </c>
      <c r="CR108" s="4" t="s">
        <v>122</v>
      </c>
      <c r="CS108" s="3">
        <v>5</v>
      </c>
      <c r="CT108" s="3">
        <v>2</v>
      </c>
      <c r="CU108" s="42">
        <v>1</v>
      </c>
      <c r="CV108" cm="1">
        <f t="array" ref="CV108">_xlfn.IFS(CU108*1=2,1,CU108*1=4,1,TRUE,0)</f>
        <v>0</v>
      </c>
      <c r="CW108" cm="1">
        <f t="array" ref="CW108">_xlfn.IFS(CU108*1=1,1,CU108*1=2,1,TRUE,0)</f>
        <v>1</v>
      </c>
      <c r="CX108" s="3">
        <f t="shared" si="18"/>
        <v>0</v>
      </c>
      <c r="CY108" s="3">
        <f t="shared" si="11"/>
        <v>2</v>
      </c>
      <c r="CZ108" s="3" cm="1">
        <f t="array" ref="CZ108">_xlfn.IFS(BP108&lt;&gt;"", BP108, CV108=1,  AQ108, CV108=0,  AZ108)</f>
        <v>2</v>
      </c>
      <c r="DA108" s="36" cm="1">
        <f t="array" ref="DA108">_xlfn.IFS(BO108&lt;&gt;"", BO108, CV108=0,  AQ108, CV108=1,  AZ108)</f>
        <v>2</v>
      </c>
      <c r="DB108" s="36">
        <f t="shared" si="12"/>
        <v>0</v>
      </c>
      <c r="DC108" s="3">
        <f t="shared" si="13"/>
        <v>-2</v>
      </c>
      <c r="DD108" s="3">
        <f t="shared" si="14"/>
        <v>0</v>
      </c>
      <c r="DE108" s="3">
        <f t="shared" si="15"/>
        <v>0</v>
      </c>
      <c r="DF108" s="3">
        <f t="shared" si="16"/>
        <v>0</v>
      </c>
      <c r="DG108" s="3">
        <f t="shared" si="17"/>
        <v>-2</v>
      </c>
    </row>
    <row r="109" spans="1:111" x14ac:dyDescent="0.4">
      <c r="A109" s="3">
        <v>202503</v>
      </c>
      <c r="B109" s="3">
        <v>222</v>
      </c>
      <c r="C109" s="5">
        <v>45733.553622685184</v>
      </c>
      <c r="D109" s="5">
        <v>45733.559756944444</v>
      </c>
      <c r="E109" s="3">
        <v>0</v>
      </c>
      <c r="F109" s="4" t="s">
        <v>432</v>
      </c>
      <c r="G109" s="3">
        <v>100</v>
      </c>
      <c r="H109" s="3">
        <v>530</v>
      </c>
      <c r="I109" s="3">
        <v>1</v>
      </c>
      <c r="J109" s="5">
        <v>45733.55977550926</v>
      </c>
      <c r="K109" s="4" t="s">
        <v>433</v>
      </c>
      <c r="L109" s="4" t="s">
        <v>122</v>
      </c>
      <c r="M109" s="4" t="s">
        <v>122</v>
      </c>
      <c r="N109" s="4" t="s">
        <v>122</v>
      </c>
      <c r="O109" s="4" t="s">
        <v>122</v>
      </c>
      <c r="P109" s="3">
        <v>32.250300000000003</v>
      </c>
      <c r="Q109" s="3">
        <v>-110.94499999999999</v>
      </c>
      <c r="R109" s="4" t="s">
        <v>129</v>
      </c>
      <c r="S109" s="4" t="s">
        <v>124</v>
      </c>
      <c r="T109" s="4" t="s">
        <v>122</v>
      </c>
      <c r="U109" s="3">
        <v>1</v>
      </c>
      <c r="V109" s="3">
        <v>1</v>
      </c>
      <c r="W109" s="3">
        <v>2</v>
      </c>
      <c r="X109" s="3">
        <v>2</v>
      </c>
      <c r="Y109" s="3">
        <v>2</v>
      </c>
      <c r="Z109" s="3">
        <v>2</v>
      </c>
      <c r="AA109" s="3">
        <v>2</v>
      </c>
      <c r="AB109" s="4" t="s">
        <v>122</v>
      </c>
      <c r="AC109" s="4" t="s">
        <v>122</v>
      </c>
      <c r="AD109" s="4" t="s">
        <v>125</v>
      </c>
      <c r="AE109" s="4" t="s">
        <v>122</v>
      </c>
      <c r="AF109" s="4" t="s">
        <v>122</v>
      </c>
      <c r="AG109" s="3">
        <v>3</v>
      </c>
      <c r="AH109" s="3">
        <v>5</v>
      </c>
      <c r="AI109" s="3">
        <v>3</v>
      </c>
      <c r="AJ109" s="3">
        <v>3</v>
      </c>
      <c r="AK109" s="3">
        <v>8</v>
      </c>
      <c r="AL109" s="3">
        <v>7</v>
      </c>
      <c r="AM109" s="3">
        <v>2</v>
      </c>
      <c r="AN109" s="3">
        <v>6</v>
      </c>
      <c r="AO109" s="3">
        <v>4</v>
      </c>
      <c r="AP109" s="3">
        <v>4</v>
      </c>
      <c r="AQ109" s="4" t="s">
        <v>122</v>
      </c>
      <c r="AR109" s="4" t="s">
        <v>122</v>
      </c>
      <c r="AS109" s="3">
        <v>2</v>
      </c>
      <c r="AT109" s="3">
        <v>6</v>
      </c>
      <c r="AU109" s="3">
        <v>6</v>
      </c>
      <c r="AV109" s="3">
        <v>2</v>
      </c>
      <c r="AW109" s="3">
        <v>6</v>
      </c>
      <c r="AX109" s="3">
        <v>5</v>
      </c>
      <c r="AY109" s="3">
        <v>4</v>
      </c>
      <c r="AZ109" s="4" t="s">
        <v>122</v>
      </c>
      <c r="BA109" s="4" t="s">
        <v>122</v>
      </c>
      <c r="BB109" s="3" t="s">
        <v>122</v>
      </c>
      <c r="BC109" s="3" t="s">
        <v>122</v>
      </c>
      <c r="BD109" s="3" t="s">
        <v>122</v>
      </c>
      <c r="BE109" s="3" t="s">
        <v>122</v>
      </c>
      <c r="BF109" s="3" t="s">
        <v>122</v>
      </c>
      <c r="BG109" s="3" t="s">
        <v>122</v>
      </c>
      <c r="BH109" s="3" t="s">
        <v>122</v>
      </c>
      <c r="BI109" s="3" t="s">
        <v>122</v>
      </c>
      <c r="BJ109" s="3" t="s">
        <v>122</v>
      </c>
      <c r="BK109" s="3" t="s">
        <v>122</v>
      </c>
      <c r="BL109" s="3" t="s">
        <v>122</v>
      </c>
      <c r="BM109" s="3" t="s">
        <v>122</v>
      </c>
      <c r="BN109" s="3" t="s">
        <v>122</v>
      </c>
      <c r="BO109" s="3">
        <v>5</v>
      </c>
      <c r="BP109" s="3">
        <v>5</v>
      </c>
      <c r="BQ109" s="3">
        <v>3</v>
      </c>
      <c r="BR109" s="3" t="s">
        <v>122</v>
      </c>
      <c r="BS109" s="3" t="s">
        <v>122</v>
      </c>
      <c r="BT109" s="3" t="s">
        <v>122</v>
      </c>
      <c r="BU109" s="3" t="s">
        <v>122</v>
      </c>
      <c r="BV109" s="3" t="s">
        <v>122</v>
      </c>
      <c r="BW109" s="3" t="s">
        <v>122</v>
      </c>
      <c r="BX109" s="3" t="s">
        <v>122</v>
      </c>
      <c r="BY109" s="3" t="s">
        <v>122</v>
      </c>
      <c r="BZ109" s="3" t="s">
        <v>122</v>
      </c>
      <c r="CA109" s="3">
        <v>1</v>
      </c>
      <c r="CB109" s="3">
        <v>5</v>
      </c>
      <c r="CC109" s="3">
        <v>3</v>
      </c>
      <c r="CD109" s="3">
        <v>5</v>
      </c>
      <c r="CE109" s="3">
        <v>3</v>
      </c>
      <c r="CF109" s="3">
        <v>2</v>
      </c>
      <c r="CG109" s="4" t="s">
        <v>122</v>
      </c>
      <c r="CH109" s="3">
        <v>3</v>
      </c>
      <c r="CI109" s="4" t="s">
        <v>122</v>
      </c>
      <c r="CJ109" s="4" t="s">
        <v>122</v>
      </c>
      <c r="CK109" s="4" t="s">
        <v>122</v>
      </c>
      <c r="CL109" s="4" t="s">
        <v>122</v>
      </c>
      <c r="CM109" s="4" t="s">
        <v>122</v>
      </c>
      <c r="CN109" s="4" t="s">
        <v>122</v>
      </c>
      <c r="CO109" s="4" t="s">
        <v>125</v>
      </c>
      <c r="CP109" s="4" t="s">
        <v>122</v>
      </c>
      <c r="CQ109" s="4" t="s">
        <v>122</v>
      </c>
      <c r="CR109" s="4" t="s">
        <v>122</v>
      </c>
      <c r="CS109" s="3">
        <v>5</v>
      </c>
      <c r="CT109" s="3">
        <v>4</v>
      </c>
      <c r="CU109" s="42">
        <v>3</v>
      </c>
      <c r="CV109" cm="1">
        <f t="array" ref="CV109">_xlfn.IFS(CU109*1=2,1,CU109*1=4,1,TRUE,0)</f>
        <v>0</v>
      </c>
      <c r="CW109" cm="1">
        <f t="array" ref="CW109">_xlfn.IFS(CU109*1=1,1,CU109*1=2,1,TRUE,0)</f>
        <v>0</v>
      </c>
      <c r="CX109" s="3">
        <f t="shared" si="18"/>
        <v>5</v>
      </c>
      <c r="CY109" s="3">
        <f t="shared" si="11"/>
        <v>5</v>
      </c>
      <c r="CZ109" s="3" cm="1">
        <f t="array" ref="CZ109">_xlfn.IFS(BP109&lt;&gt;"", BP109, CV109=1,  AQ109, CV109=0,  AZ109)</f>
        <v>5</v>
      </c>
      <c r="DA109" s="36" cm="1">
        <f t="array" ref="DA109">_xlfn.IFS(BO109&lt;&gt;"", BO109, CV109=0,  AQ109, CV109=1,  AZ109)</f>
        <v>5</v>
      </c>
      <c r="DB109" s="36">
        <f t="shared" si="12"/>
        <v>0</v>
      </c>
      <c r="DC109" s="3">
        <f t="shared" si="13"/>
        <v>0</v>
      </c>
      <c r="DD109" s="3">
        <f t="shared" si="14"/>
        <v>0</v>
      </c>
      <c r="DE109" s="3">
        <f t="shared" si="15"/>
        <v>0</v>
      </c>
      <c r="DF109" s="3">
        <f t="shared" si="16"/>
        <v>0</v>
      </c>
      <c r="DG109" s="3">
        <f t="shared" si="17"/>
        <v>0</v>
      </c>
    </row>
    <row r="110" spans="1:111" x14ac:dyDescent="0.4">
      <c r="A110" s="3">
        <v>202503</v>
      </c>
      <c r="B110" s="3">
        <v>222</v>
      </c>
      <c r="C110" s="5">
        <v>45733.553784722222</v>
      </c>
      <c r="D110" s="5">
        <v>45733.558912037035</v>
      </c>
      <c r="E110" s="3">
        <v>0</v>
      </c>
      <c r="F110" s="4" t="s">
        <v>241</v>
      </c>
      <c r="G110" s="3">
        <v>100</v>
      </c>
      <c r="H110" s="3">
        <v>443</v>
      </c>
      <c r="I110" s="3">
        <v>1</v>
      </c>
      <c r="J110" s="5">
        <v>45733.558930636573</v>
      </c>
      <c r="K110" s="4" t="s">
        <v>431</v>
      </c>
      <c r="L110" s="4" t="s">
        <v>122</v>
      </c>
      <c r="M110" s="4" t="s">
        <v>122</v>
      </c>
      <c r="N110" s="4" t="s">
        <v>122</v>
      </c>
      <c r="O110" s="4" t="s">
        <v>122</v>
      </c>
      <c r="P110" s="3">
        <v>32.250300000000003</v>
      </c>
      <c r="Q110" s="3">
        <v>-110.94499999999999</v>
      </c>
      <c r="R110" s="4" t="s">
        <v>129</v>
      </c>
      <c r="S110" s="4" t="s">
        <v>124</v>
      </c>
      <c r="T110" s="4" t="s">
        <v>122</v>
      </c>
      <c r="U110" s="3">
        <v>1</v>
      </c>
      <c r="V110" s="3">
        <v>3</v>
      </c>
      <c r="W110" s="3">
        <v>2</v>
      </c>
      <c r="X110" s="3">
        <v>1</v>
      </c>
      <c r="Y110" s="3">
        <v>3</v>
      </c>
      <c r="Z110" s="3">
        <v>3</v>
      </c>
      <c r="AA110" s="3">
        <v>2</v>
      </c>
      <c r="AB110" s="4" t="s">
        <v>122</v>
      </c>
      <c r="AC110" s="4" t="s">
        <v>122</v>
      </c>
      <c r="AD110" s="4" t="s">
        <v>122</v>
      </c>
      <c r="AE110" s="4" t="s">
        <v>122</v>
      </c>
      <c r="AF110" s="4" t="s">
        <v>122</v>
      </c>
      <c r="AG110" s="3">
        <v>4</v>
      </c>
      <c r="AH110" s="3">
        <v>4</v>
      </c>
      <c r="AI110" s="3">
        <v>3</v>
      </c>
      <c r="AJ110" s="3">
        <v>7</v>
      </c>
      <c r="AK110" s="3">
        <v>9</v>
      </c>
      <c r="AL110" s="3">
        <v>9</v>
      </c>
      <c r="AM110" s="3">
        <v>4</v>
      </c>
      <c r="AN110" s="3">
        <v>9</v>
      </c>
      <c r="AO110" s="3">
        <v>5</v>
      </c>
      <c r="AP110" s="3">
        <v>4</v>
      </c>
      <c r="AQ110" s="3" t="s">
        <v>122</v>
      </c>
      <c r="AR110" s="3" t="s">
        <v>122</v>
      </c>
      <c r="AS110" s="3">
        <v>8</v>
      </c>
      <c r="AT110" s="3">
        <v>9</v>
      </c>
      <c r="AU110" s="3">
        <v>7</v>
      </c>
      <c r="AV110" s="3">
        <v>7</v>
      </c>
      <c r="AW110" s="3">
        <v>9</v>
      </c>
      <c r="AX110" s="3">
        <v>3</v>
      </c>
      <c r="AY110" s="3">
        <v>3</v>
      </c>
      <c r="AZ110" s="3" t="s">
        <v>122</v>
      </c>
      <c r="BA110" s="3" t="s">
        <v>122</v>
      </c>
      <c r="BB110" s="3" t="s">
        <v>122</v>
      </c>
      <c r="BC110" s="3" t="s">
        <v>122</v>
      </c>
      <c r="BD110" s="3" t="s">
        <v>122</v>
      </c>
      <c r="BE110" s="3" t="s">
        <v>122</v>
      </c>
      <c r="BF110" s="3" t="s">
        <v>122</v>
      </c>
      <c r="BG110" s="3" t="s">
        <v>122</v>
      </c>
      <c r="BH110" s="3" t="s">
        <v>122</v>
      </c>
      <c r="BI110" s="3" t="s">
        <v>122</v>
      </c>
      <c r="BJ110" s="3" t="s">
        <v>122</v>
      </c>
      <c r="BK110" s="3" t="s">
        <v>122</v>
      </c>
      <c r="BL110" s="3" t="s">
        <v>122</v>
      </c>
      <c r="BM110" s="3" t="s">
        <v>122</v>
      </c>
      <c r="BN110" s="3" t="s">
        <v>122</v>
      </c>
      <c r="BO110" s="3">
        <v>4</v>
      </c>
      <c r="BP110" s="3">
        <v>4</v>
      </c>
      <c r="BQ110" s="3">
        <v>3</v>
      </c>
      <c r="BR110" s="3" t="s">
        <v>122</v>
      </c>
      <c r="BS110" s="3" t="s">
        <v>122</v>
      </c>
      <c r="BT110" s="3" t="s">
        <v>122</v>
      </c>
      <c r="BU110" s="3" t="s">
        <v>122</v>
      </c>
      <c r="BV110" s="3" t="s">
        <v>122</v>
      </c>
      <c r="BW110" s="3" t="s">
        <v>122</v>
      </c>
      <c r="BX110" s="3" t="s">
        <v>122</v>
      </c>
      <c r="BY110" s="3" t="s">
        <v>122</v>
      </c>
      <c r="BZ110" s="3" t="s">
        <v>122</v>
      </c>
      <c r="CA110" s="3">
        <v>1</v>
      </c>
      <c r="CB110" s="3">
        <v>5</v>
      </c>
      <c r="CC110" s="3">
        <v>3</v>
      </c>
      <c r="CD110" s="3">
        <v>4</v>
      </c>
      <c r="CE110" s="3">
        <v>3</v>
      </c>
      <c r="CF110" s="3">
        <v>2</v>
      </c>
      <c r="CG110" s="4" t="s">
        <v>122</v>
      </c>
      <c r="CH110" s="3">
        <v>2</v>
      </c>
      <c r="CI110" s="4" t="s">
        <v>122</v>
      </c>
      <c r="CJ110" s="4" t="s">
        <v>122</v>
      </c>
      <c r="CK110" s="4" t="s">
        <v>122</v>
      </c>
      <c r="CL110" s="4" t="s">
        <v>125</v>
      </c>
      <c r="CM110" s="4" t="s">
        <v>122</v>
      </c>
      <c r="CN110" s="4" t="s">
        <v>122</v>
      </c>
      <c r="CO110" s="4" t="s">
        <v>122</v>
      </c>
      <c r="CP110" s="4" t="s">
        <v>122</v>
      </c>
      <c r="CQ110" s="4" t="s">
        <v>122</v>
      </c>
      <c r="CR110" s="4" t="s">
        <v>122</v>
      </c>
      <c r="CS110" s="3">
        <v>4</v>
      </c>
      <c r="CT110" s="3">
        <v>2</v>
      </c>
      <c r="CU110" s="42">
        <v>4</v>
      </c>
      <c r="CV110" cm="1">
        <f t="array" ref="CV110">_xlfn.IFS(CU110*1=2,1,CU110*1=4,1,TRUE,0)</f>
        <v>1</v>
      </c>
      <c r="CW110" cm="1">
        <f t="array" ref="CW110">_xlfn.IFS(CU110*1=1,1,CU110*1=2,1,TRUE,0)</f>
        <v>0</v>
      </c>
      <c r="CX110" s="3">
        <f t="shared" si="18"/>
        <v>5</v>
      </c>
      <c r="CY110" s="3">
        <f t="shared" si="11"/>
        <v>4</v>
      </c>
      <c r="CZ110" s="3" cm="1">
        <f t="array" ref="CZ110">_xlfn.IFS(BP110&lt;&gt;"", BP110, CV110=1,  AQ110, CV110=0,  AZ110)</f>
        <v>4</v>
      </c>
      <c r="DA110" s="36" cm="1">
        <f t="array" ref="DA110">_xlfn.IFS(BO110&lt;&gt;"", BO110, CV110=0,  AQ110, CV110=1,  AZ110)</f>
        <v>4</v>
      </c>
      <c r="DB110" s="36">
        <f t="shared" si="12"/>
        <v>0</v>
      </c>
      <c r="DC110" s="3">
        <f t="shared" si="13"/>
        <v>1</v>
      </c>
      <c r="DD110" s="3">
        <f t="shared" si="14"/>
        <v>0</v>
      </c>
      <c r="DE110" s="3">
        <f t="shared" si="15"/>
        <v>0</v>
      </c>
      <c r="DF110" s="3">
        <f t="shared" si="16"/>
        <v>1</v>
      </c>
      <c r="DG110" s="3">
        <f t="shared" si="17"/>
        <v>0</v>
      </c>
    </row>
    <row r="111" spans="1:111" x14ac:dyDescent="0.4">
      <c r="A111" s="3">
        <v>202503</v>
      </c>
      <c r="B111" s="3">
        <v>222</v>
      </c>
      <c r="C111" s="5">
        <v>45733.55746527778</v>
      </c>
      <c r="D111" s="5">
        <v>45733.564502314817</v>
      </c>
      <c r="E111" s="3">
        <v>0</v>
      </c>
      <c r="F111" s="4" t="s">
        <v>434</v>
      </c>
      <c r="G111" s="3">
        <v>100</v>
      </c>
      <c r="H111" s="3">
        <v>607</v>
      </c>
      <c r="I111" s="3">
        <v>1</v>
      </c>
      <c r="J111" s="5">
        <v>45733.564518831015</v>
      </c>
      <c r="K111" s="4" t="s">
        <v>435</v>
      </c>
      <c r="L111" s="4" t="s">
        <v>122</v>
      </c>
      <c r="M111" s="4" t="s">
        <v>122</v>
      </c>
      <c r="N111" s="4" t="s">
        <v>122</v>
      </c>
      <c r="O111" s="4" t="s">
        <v>122</v>
      </c>
      <c r="P111" s="3">
        <v>32.250300000000003</v>
      </c>
      <c r="Q111" s="3">
        <v>-110.94499999999999</v>
      </c>
      <c r="R111" s="4" t="s">
        <v>129</v>
      </c>
      <c r="S111" s="4" t="s">
        <v>124</v>
      </c>
      <c r="T111" s="4" t="s">
        <v>122</v>
      </c>
      <c r="U111" s="3">
        <v>1</v>
      </c>
      <c r="V111" s="3">
        <v>3</v>
      </c>
      <c r="W111" s="3">
        <v>4</v>
      </c>
      <c r="X111" s="3">
        <v>1</v>
      </c>
      <c r="Y111" s="3">
        <v>2</v>
      </c>
      <c r="Z111" s="3">
        <v>4</v>
      </c>
      <c r="AA111" s="3">
        <v>5</v>
      </c>
      <c r="AB111" s="4" t="s">
        <v>122</v>
      </c>
      <c r="AC111" s="4" t="s">
        <v>122</v>
      </c>
      <c r="AD111" s="4" t="s">
        <v>122</v>
      </c>
      <c r="AE111" s="4" t="s">
        <v>122</v>
      </c>
      <c r="AF111" s="4" t="s">
        <v>122</v>
      </c>
      <c r="AG111" s="3">
        <v>4</v>
      </c>
      <c r="AH111" s="3">
        <v>2</v>
      </c>
      <c r="AI111" s="3">
        <v>2</v>
      </c>
      <c r="AJ111" s="3">
        <v>7</v>
      </c>
      <c r="AK111" s="3">
        <v>8</v>
      </c>
      <c r="AL111" s="3">
        <v>7</v>
      </c>
      <c r="AM111" s="3">
        <v>7</v>
      </c>
      <c r="AN111" s="3">
        <v>8</v>
      </c>
      <c r="AO111" s="3">
        <v>3</v>
      </c>
      <c r="AP111" s="3">
        <v>4</v>
      </c>
      <c r="AQ111" s="4" t="s">
        <v>122</v>
      </c>
      <c r="AR111" s="4" t="s">
        <v>122</v>
      </c>
      <c r="AS111" s="3">
        <v>5</v>
      </c>
      <c r="AT111" s="3">
        <v>8</v>
      </c>
      <c r="AU111" s="3">
        <v>3</v>
      </c>
      <c r="AV111" s="3">
        <v>5</v>
      </c>
      <c r="AW111" s="3">
        <v>8</v>
      </c>
      <c r="AX111" s="3">
        <v>4</v>
      </c>
      <c r="AY111" s="3">
        <v>2</v>
      </c>
      <c r="AZ111" s="4" t="s">
        <v>122</v>
      </c>
      <c r="BA111" s="4" t="s">
        <v>122</v>
      </c>
      <c r="BB111" s="3" t="s">
        <v>122</v>
      </c>
      <c r="BC111" s="3" t="s">
        <v>122</v>
      </c>
      <c r="BD111" s="3" t="s">
        <v>122</v>
      </c>
      <c r="BE111" s="3" t="s">
        <v>122</v>
      </c>
      <c r="BF111" s="3" t="s">
        <v>122</v>
      </c>
      <c r="BG111" s="3" t="s">
        <v>122</v>
      </c>
      <c r="BH111" s="3" t="s">
        <v>122</v>
      </c>
      <c r="BI111" s="3" t="s">
        <v>122</v>
      </c>
      <c r="BJ111" s="3" t="s">
        <v>122</v>
      </c>
      <c r="BK111" s="3" t="s">
        <v>122</v>
      </c>
      <c r="BL111" s="3" t="s">
        <v>122</v>
      </c>
      <c r="BM111" s="3" t="s">
        <v>122</v>
      </c>
      <c r="BN111" s="3" t="s">
        <v>122</v>
      </c>
      <c r="BO111" s="3">
        <v>5</v>
      </c>
      <c r="BP111" s="3">
        <v>4</v>
      </c>
      <c r="BQ111" s="3">
        <v>2</v>
      </c>
      <c r="BR111" s="3" t="s">
        <v>122</v>
      </c>
      <c r="BS111" s="3" t="s">
        <v>122</v>
      </c>
      <c r="BT111" s="3" t="s">
        <v>122</v>
      </c>
      <c r="BU111" s="3" t="s">
        <v>122</v>
      </c>
      <c r="BV111" s="3" t="s">
        <v>122</v>
      </c>
      <c r="BW111" s="3" t="s">
        <v>122</v>
      </c>
      <c r="BX111" s="3" t="s">
        <v>122</v>
      </c>
      <c r="BY111" s="3" t="s">
        <v>122</v>
      </c>
      <c r="BZ111" s="3" t="s">
        <v>122</v>
      </c>
      <c r="CA111" s="3">
        <v>1</v>
      </c>
      <c r="CB111" s="3">
        <v>2</v>
      </c>
      <c r="CC111" s="3">
        <v>1</v>
      </c>
      <c r="CD111" s="3">
        <v>5</v>
      </c>
      <c r="CE111" s="3">
        <v>2</v>
      </c>
      <c r="CF111" s="3">
        <v>3</v>
      </c>
      <c r="CG111" s="4" t="s">
        <v>122</v>
      </c>
      <c r="CH111" s="3">
        <v>2</v>
      </c>
      <c r="CI111" s="4" t="s">
        <v>122</v>
      </c>
      <c r="CJ111" s="4" t="s">
        <v>122</v>
      </c>
      <c r="CK111" s="4" t="s">
        <v>122</v>
      </c>
      <c r="CL111" s="4" t="s">
        <v>122</v>
      </c>
      <c r="CM111" s="4" t="s">
        <v>122</v>
      </c>
      <c r="CN111" s="4" t="s">
        <v>122</v>
      </c>
      <c r="CO111" s="4" t="s">
        <v>125</v>
      </c>
      <c r="CP111" s="4" t="s">
        <v>122</v>
      </c>
      <c r="CQ111" s="4" t="s">
        <v>122</v>
      </c>
      <c r="CR111" s="4" t="s">
        <v>122</v>
      </c>
      <c r="CS111" s="3">
        <v>3</v>
      </c>
      <c r="CT111" s="3">
        <v>2</v>
      </c>
      <c r="CU111" s="42">
        <v>4</v>
      </c>
      <c r="CV111" cm="1">
        <f t="array" ref="CV111">_xlfn.IFS(CU111*1=2,1,CU111*1=4,1,TRUE,0)</f>
        <v>1</v>
      </c>
      <c r="CW111" cm="1">
        <f t="array" ref="CW111">_xlfn.IFS(CU111*1=1,1,CU111*1=2,1,TRUE,0)</f>
        <v>0</v>
      </c>
      <c r="CX111" s="3">
        <f t="shared" si="18"/>
        <v>2</v>
      </c>
      <c r="CY111" s="3">
        <f t="shared" si="11"/>
        <v>5</v>
      </c>
      <c r="CZ111" s="3" cm="1">
        <f t="array" ref="CZ111">_xlfn.IFS(BP111&lt;&gt;"", BP111, CV111=1,  AQ111, CV111=0,  AZ111)</f>
        <v>4</v>
      </c>
      <c r="DA111" s="36" cm="1">
        <f t="array" ref="DA111">_xlfn.IFS(BO111&lt;&gt;"", BO111, CV111=0,  AQ111, CV111=1,  AZ111)</f>
        <v>5</v>
      </c>
      <c r="DB111" s="36">
        <f t="shared" si="12"/>
        <v>3</v>
      </c>
      <c r="DC111" s="3">
        <f t="shared" si="13"/>
        <v>0</v>
      </c>
      <c r="DD111" s="3">
        <f t="shared" si="14"/>
        <v>3</v>
      </c>
      <c r="DE111" s="3">
        <f t="shared" si="15"/>
        <v>2</v>
      </c>
      <c r="DF111" s="3">
        <f t="shared" si="16"/>
        <v>0</v>
      </c>
      <c r="DG111" s="3">
        <f t="shared" si="17"/>
        <v>3</v>
      </c>
    </row>
    <row r="112" spans="1:111" x14ac:dyDescent="0.4">
      <c r="A112" s="3">
        <v>202503</v>
      </c>
      <c r="B112" s="3">
        <v>222</v>
      </c>
      <c r="C112" s="5">
        <v>45733.557789351849</v>
      </c>
      <c r="D112" s="5">
        <v>45733.565023148149</v>
      </c>
      <c r="E112" s="3">
        <v>0</v>
      </c>
      <c r="F112" s="4" t="s">
        <v>436</v>
      </c>
      <c r="G112" s="3">
        <v>100</v>
      </c>
      <c r="H112" s="3">
        <v>625</v>
      </c>
      <c r="I112" s="3">
        <v>1</v>
      </c>
      <c r="J112" s="5">
        <v>45733.565044814815</v>
      </c>
      <c r="K112" s="4" t="s">
        <v>437</v>
      </c>
      <c r="L112" s="4" t="s">
        <v>122</v>
      </c>
      <c r="M112" s="4" t="s">
        <v>122</v>
      </c>
      <c r="N112" s="4" t="s">
        <v>122</v>
      </c>
      <c r="O112" s="4" t="s">
        <v>122</v>
      </c>
      <c r="P112" s="3">
        <v>33.453200000000002</v>
      </c>
      <c r="Q112" s="3">
        <v>-112.0748</v>
      </c>
      <c r="R112" s="4" t="s">
        <v>129</v>
      </c>
      <c r="S112" s="4" t="s">
        <v>124</v>
      </c>
      <c r="T112" s="4" t="s">
        <v>122</v>
      </c>
      <c r="U112" s="3">
        <v>1</v>
      </c>
      <c r="V112" s="3">
        <v>4</v>
      </c>
      <c r="W112" s="3">
        <v>3</v>
      </c>
      <c r="X112" s="3">
        <v>5</v>
      </c>
      <c r="Y112" s="3">
        <v>5</v>
      </c>
      <c r="Z112" s="3">
        <v>3</v>
      </c>
      <c r="AA112" s="3">
        <v>5</v>
      </c>
      <c r="AB112" s="4" t="s">
        <v>125</v>
      </c>
      <c r="AC112" s="4" t="s">
        <v>125</v>
      </c>
      <c r="AD112" s="4" t="s">
        <v>125</v>
      </c>
      <c r="AE112" s="4" t="s">
        <v>122</v>
      </c>
      <c r="AF112" s="4" t="s">
        <v>122</v>
      </c>
      <c r="AG112" s="3">
        <v>2</v>
      </c>
      <c r="AH112" s="3">
        <v>8</v>
      </c>
      <c r="AI112" s="3">
        <v>2</v>
      </c>
      <c r="AJ112" s="3">
        <v>8</v>
      </c>
      <c r="AK112" s="3">
        <v>8</v>
      </c>
      <c r="AL112" s="3">
        <v>7</v>
      </c>
      <c r="AM112" s="3">
        <v>8</v>
      </c>
      <c r="AN112" s="3">
        <v>7</v>
      </c>
      <c r="AO112" s="3">
        <v>3</v>
      </c>
      <c r="AP112" s="3">
        <v>3</v>
      </c>
      <c r="AQ112" s="3" t="s">
        <v>122</v>
      </c>
      <c r="AR112" s="3" t="s">
        <v>122</v>
      </c>
      <c r="AS112" s="3">
        <v>2</v>
      </c>
      <c r="AT112" s="3">
        <v>3</v>
      </c>
      <c r="AU112" s="3">
        <v>4</v>
      </c>
      <c r="AV112" s="3">
        <v>2</v>
      </c>
      <c r="AW112" s="3">
        <v>5</v>
      </c>
      <c r="AX112" s="3">
        <v>1</v>
      </c>
      <c r="AY112" s="3">
        <v>2</v>
      </c>
      <c r="AZ112" s="3" t="s">
        <v>122</v>
      </c>
      <c r="BA112" s="3" t="s">
        <v>122</v>
      </c>
      <c r="BB112" s="3" t="s">
        <v>122</v>
      </c>
      <c r="BC112" s="3" t="s">
        <v>122</v>
      </c>
      <c r="BD112" s="3" t="s">
        <v>122</v>
      </c>
      <c r="BE112" s="3" t="s">
        <v>122</v>
      </c>
      <c r="BF112" s="3" t="s">
        <v>122</v>
      </c>
      <c r="BG112" s="3" t="s">
        <v>122</v>
      </c>
      <c r="BH112" s="3" t="s">
        <v>122</v>
      </c>
      <c r="BI112" s="3" t="s">
        <v>122</v>
      </c>
      <c r="BJ112" s="3" t="s">
        <v>122</v>
      </c>
      <c r="BK112" s="3" t="s">
        <v>122</v>
      </c>
      <c r="BL112" s="3" t="s">
        <v>122</v>
      </c>
      <c r="BM112" s="3" t="s">
        <v>122</v>
      </c>
      <c r="BN112" s="3" t="s">
        <v>122</v>
      </c>
      <c r="BO112" s="3">
        <v>8</v>
      </c>
      <c r="BP112" s="3">
        <v>8</v>
      </c>
      <c r="BQ112" s="3">
        <v>2</v>
      </c>
      <c r="BR112" s="3" t="s">
        <v>122</v>
      </c>
      <c r="BS112" s="3" t="s">
        <v>122</v>
      </c>
      <c r="BT112" s="3" t="s">
        <v>122</v>
      </c>
      <c r="BU112" s="3" t="s">
        <v>122</v>
      </c>
      <c r="BV112" s="3" t="s">
        <v>122</v>
      </c>
      <c r="BW112" s="3" t="s">
        <v>122</v>
      </c>
      <c r="BX112" s="3" t="s">
        <v>122</v>
      </c>
      <c r="BY112" s="3" t="s">
        <v>122</v>
      </c>
      <c r="BZ112" s="3" t="s">
        <v>122</v>
      </c>
      <c r="CA112" s="3">
        <v>1</v>
      </c>
      <c r="CB112" s="3">
        <v>2</v>
      </c>
      <c r="CC112" s="3">
        <v>2</v>
      </c>
      <c r="CD112" s="3">
        <v>6</v>
      </c>
      <c r="CE112" s="3">
        <v>3</v>
      </c>
      <c r="CF112" s="3">
        <v>2</v>
      </c>
      <c r="CG112" s="4" t="s">
        <v>122</v>
      </c>
      <c r="CH112" s="3">
        <v>5</v>
      </c>
      <c r="CI112" s="4" t="s">
        <v>122</v>
      </c>
      <c r="CJ112" s="4" t="s">
        <v>122</v>
      </c>
      <c r="CK112" s="4" t="s">
        <v>122</v>
      </c>
      <c r="CL112" s="4" t="s">
        <v>122</v>
      </c>
      <c r="CM112" s="4" t="s">
        <v>122</v>
      </c>
      <c r="CN112" s="4" t="s">
        <v>122</v>
      </c>
      <c r="CO112" s="4" t="s">
        <v>125</v>
      </c>
      <c r="CP112" s="4" t="s">
        <v>122</v>
      </c>
      <c r="CQ112" s="4" t="s">
        <v>122</v>
      </c>
      <c r="CR112" s="4" t="s">
        <v>122</v>
      </c>
      <c r="CS112" s="3">
        <v>5</v>
      </c>
      <c r="CT112" s="3">
        <v>5</v>
      </c>
      <c r="CU112" s="42">
        <v>4</v>
      </c>
      <c r="CV112" cm="1">
        <f t="array" ref="CV112">_xlfn.IFS(CU112*1=2,1,CU112*1=4,1,TRUE,0)</f>
        <v>1</v>
      </c>
      <c r="CW112" cm="1">
        <f t="array" ref="CW112">_xlfn.IFS(CU112*1=1,1,CU112*1=2,1,TRUE,0)</f>
        <v>0</v>
      </c>
      <c r="CX112" s="3">
        <f t="shared" si="18"/>
        <v>2</v>
      </c>
      <c r="CY112" s="3">
        <f t="shared" si="11"/>
        <v>6</v>
      </c>
      <c r="CZ112" s="3" cm="1">
        <f t="array" ref="CZ112">_xlfn.IFS(BP112&lt;&gt;"", BP112, CV112=1,  AQ112, CV112=0,  AZ112)</f>
        <v>8</v>
      </c>
      <c r="DA112" s="36" cm="1">
        <f t="array" ref="DA112">_xlfn.IFS(BO112&lt;&gt;"", BO112, CV112=0,  AQ112, CV112=1,  AZ112)</f>
        <v>8</v>
      </c>
      <c r="DB112" s="36">
        <f t="shared" si="12"/>
        <v>-2</v>
      </c>
      <c r="DC112" s="3">
        <f t="shared" si="13"/>
        <v>-6</v>
      </c>
      <c r="DD112" s="3">
        <f t="shared" si="14"/>
        <v>-2</v>
      </c>
      <c r="DE112" s="3">
        <f t="shared" si="15"/>
        <v>0</v>
      </c>
      <c r="DF112" s="3">
        <f t="shared" si="16"/>
        <v>-6</v>
      </c>
      <c r="DG112" s="3">
        <f t="shared" si="17"/>
        <v>0</v>
      </c>
    </row>
    <row r="113" spans="1:111" x14ac:dyDescent="0.4">
      <c r="A113" s="3">
        <v>202503</v>
      </c>
      <c r="B113" s="3">
        <v>222</v>
      </c>
      <c r="C113" s="5">
        <v>45733.56009259259</v>
      </c>
      <c r="D113" s="5">
        <v>45733.565474537034</v>
      </c>
      <c r="E113" s="3">
        <v>0</v>
      </c>
      <c r="F113" s="4" t="s">
        <v>438</v>
      </c>
      <c r="G113" s="3">
        <v>100</v>
      </c>
      <c r="H113" s="3">
        <v>464</v>
      </c>
      <c r="I113" s="3">
        <v>1</v>
      </c>
      <c r="J113" s="5">
        <v>45733.565485856481</v>
      </c>
      <c r="K113" s="4" t="s">
        <v>439</v>
      </c>
      <c r="L113" s="4" t="s">
        <v>122</v>
      </c>
      <c r="M113" s="4" t="s">
        <v>122</v>
      </c>
      <c r="N113" s="4" t="s">
        <v>122</v>
      </c>
      <c r="O113" s="4" t="s">
        <v>122</v>
      </c>
      <c r="P113" s="3">
        <v>32.250300000000003</v>
      </c>
      <c r="Q113" s="3">
        <v>-110.94499999999999</v>
      </c>
      <c r="R113" s="4" t="s">
        <v>129</v>
      </c>
      <c r="S113" s="4" t="s">
        <v>124</v>
      </c>
      <c r="T113" s="4" t="s">
        <v>122</v>
      </c>
      <c r="U113" s="3">
        <v>1</v>
      </c>
      <c r="V113" s="3">
        <v>4</v>
      </c>
      <c r="W113" s="3">
        <v>3</v>
      </c>
      <c r="X113" s="3">
        <v>1</v>
      </c>
      <c r="Y113" s="3">
        <v>1</v>
      </c>
      <c r="Z113" s="3">
        <v>1</v>
      </c>
      <c r="AA113" s="3">
        <v>1</v>
      </c>
      <c r="AB113" s="4" t="s">
        <v>122</v>
      </c>
      <c r="AC113" s="4" t="s">
        <v>122</v>
      </c>
      <c r="AD113" s="4" t="s">
        <v>122</v>
      </c>
      <c r="AE113" s="4" t="s">
        <v>122</v>
      </c>
      <c r="AF113" s="4" t="s">
        <v>122</v>
      </c>
      <c r="AG113" s="3">
        <v>2</v>
      </c>
      <c r="AH113" s="3">
        <v>4</v>
      </c>
      <c r="AI113" s="3">
        <v>3</v>
      </c>
      <c r="AJ113" s="3">
        <v>7</v>
      </c>
      <c r="AK113" s="3">
        <v>7</v>
      </c>
      <c r="AL113" s="3">
        <v>8</v>
      </c>
      <c r="AM113" s="3">
        <v>7</v>
      </c>
      <c r="AN113" s="3">
        <v>6</v>
      </c>
      <c r="AO113" s="3">
        <v>2</v>
      </c>
      <c r="AP113" s="3">
        <v>3</v>
      </c>
      <c r="AQ113" s="3">
        <v>4</v>
      </c>
      <c r="AR113" s="3">
        <v>3</v>
      </c>
      <c r="AS113" s="3">
        <v>4</v>
      </c>
      <c r="AT113" s="3">
        <v>4</v>
      </c>
      <c r="AU113" s="3">
        <v>3</v>
      </c>
      <c r="AV113" s="3">
        <v>3</v>
      </c>
      <c r="AW113" s="3">
        <v>6</v>
      </c>
      <c r="AX113" s="3">
        <v>4</v>
      </c>
      <c r="AY113" s="3">
        <v>2</v>
      </c>
      <c r="AZ113" s="3">
        <v>2</v>
      </c>
      <c r="BA113" s="3">
        <v>3</v>
      </c>
      <c r="BB113" s="3">
        <v>2</v>
      </c>
      <c r="BC113" s="3">
        <v>4</v>
      </c>
      <c r="BD113" s="3">
        <v>3</v>
      </c>
      <c r="BE113" s="3" t="s">
        <v>122</v>
      </c>
      <c r="BF113" s="3" t="s">
        <v>122</v>
      </c>
      <c r="BG113" s="3" t="s">
        <v>122</v>
      </c>
      <c r="BH113" s="3" t="s">
        <v>122</v>
      </c>
      <c r="BI113" s="3" t="s">
        <v>122</v>
      </c>
      <c r="BJ113" s="3" t="s">
        <v>122</v>
      </c>
      <c r="BK113" s="3" t="s">
        <v>122</v>
      </c>
      <c r="BL113" s="3" t="s">
        <v>122</v>
      </c>
      <c r="BM113" s="3" t="s">
        <v>122</v>
      </c>
      <c r="BN113" s="3">
        <v>2</v>
      </c>
      <c r="BO113" s="3" t="s">
        <v>122</v>
      </c>
      <c r="BP113" s="3" t="s">
        <v>122</v>
      </c>
      <c r="BQ113" s="3" t="s">
        <v>122</v>
      </c>
      <c r="BR113" s="3" t="s">
        <v>122</v>
      </c>
      <c r="BS113" s="3" t="s">
        <v>122</v>
      </c>
      <c r="BT113" s="3" t="s">
        <v>122</v>
      </c>
      <c r="BU113" s="3" t="s">
        <v>122</v>
      </c>
      <c r="BV113" s="3" t="s">
        <v>122</v>
      </c>
      <c r="BW113" s="3" t="s">
        <v>122</v>
      </c>
      <c r="BX113" s="3" t="s">
        <v>122</v>
      </c>
      <c r="BY113" s="3" t="s">
        <v>122</v>
      </c>
      <c r="BZ113" s="3" t="s">
        <v>122</v>
      </c>
      <c r="CA113" s="3" t="s">
        <v>122</v>
      </c>
      <c r="CB113" s="3" t="s">
        <v>122</v>
      </c>
      <c r="CC113" s="3" t="s">
        <v>122</v>
      </c>
      <c r="CD113" s="3" t="s">
        <v>122</v>
      </c>
      <c r="CE113" s="3" t="s">
        <v>122</v>
      </c>
      <c r="CF113" s="3">
        <v>1</v>
      </c>
      <c r="CG113" s="4" t="s">
        <v>122</v>
      </c>
      <c r="CH113" s="3">
        <v>2</v>
      </c>
      <c r="CI113" s="4" t="s">
        <v>122</v>
      </c>
      <c r="CJ113" s="4" t="s">
        <v>122</v>
      </c>
      <c r="CK113" s="4" t="s">
        <v>122</v>
      </c>
      <c r="CL113" s="4" t="s">
        <v>122</v>
      </c>
      <c r="CM113" s="4" t="s">
        <v>122</v>
      </c>
      <c r="CN113" s="4" t="s">
        <v>122</v>
      </c>
      <c r="CO113" s="4" t="s">
        <v>125</v>
      </c>
      <c r="CP113" s="4" t="s">
        <v>122</v>
      </c>
      <c r="CQ113" s="4" t="s">
        <v>122</v>
      </c>
      <c r="CR113" s="4" t="s">
        <v>122</v>
      </c>
      <c r="CS113" s="3">
        <v>4</v>
      </c>
      <c r="CT113" s="3">
        <v>6</v>
      </c>
      <c r="CU113" s="42">
        <v>2</v>
      </c>
      <c r="CV113" cm="1">
        <f t="array" ref="CV113">_xlfn.IFS(CU113*1=2,1,CU113*1=4,1,TRUE,0)</f>
        <v>1</v>
      </c>
      <c r="CW113" cm="1">
        <f t="array" ref="CW113">_xlfn.IFS(CU113*1=1,1,CU113*1=2,1,TRUE,0)</f>
        <v>1</v>
      </c>
      <c r="CX113" s="3">
        <f t="shared" si="18"/>
        <v>2</v>
      </c>
      <c r="CY113" s="3">
        <f t="shared" si="11"/>
        <v>4</v>
      </c>
      <c r="CZ113" s="3" cm="1">
        <f t="array" ref="CZ113">_xlfn.IFS(BP113&lt;&gt;"", BP113, CV113=1,  AQ113, CV113=0,  AZ113)</f>
        <v>4</v>
      </c>
      <c r="DA113" s="36" cm="1">
        <f t="array" ref="DA113">_xlfn.IFS(BO113&lt;&gt;"", BO113, CV113=0,  AQ113, CV113=1,  AZ113)</f>
        <v>2</v>
      </c>
      <c r="DB113" s="36">
        <f t="shared" si="12"/>
        <v>0</v>
      </c>
      <c r="DC113" s="3">
        <f t="shared" si="13"/>
        <v>-2</v>
      </c>
      <c r="DD113" s="3">
        <f t="shared" si="14"/>
        <v>0</v>
      </c>
      <c r="DE113" s="3">
        <f t="shared" si="15"/>
        <v>0</v>
      </c>
      <c r="DF113" s="3">
        <f t="shared" si="16"/>
        <v>-2</v>
      </c>
      <c r="DG113" s="3">
        <f t="shared" si="17"/>
        <v>-2</v>
      </c>
    </row>
    <row r="114" spans="1:111" x14ac:dyDescent="0.4">
      <c r="A114" s="3">
        <v>202503</v>
      </c>
      <c r="B114" s="3">
        <v>222</v>
      </c>
      <c r="C114" s="5">
        <v>45733.560115740744</v>
      </c>
      <c r="D114" s="5">
        <v>45733.56753472222</v>
      </c>
      <c r="E114" s="3">
        <v>0</v>
      </c>
      <c r="F114" s="4" t="s">
        <v>440</v>
      </c>
      <c r="G114" s="3">
        <v>100</v>
      </c>
      <c r="H114" s="3">
        <v>640</v>
      </c>
      <c r="I114" s="3">
        <v>1</v>
      </c>
      <c r="J114" s="5">
        <v>45733.56754802083</v>
      </c>
      <c r="K114" s="4" t="s">
        <v>441</v>
      </c>
      <c r="L114" s="4" t="s">
        <v>122</v>
      </c>
      <c r="M114" s="4" t="s">
        <v>122</v>
      </c>
      <c r="N114" s="4" t="s">
        <v>122</v>
      </c>
      <c r="O114" s="4" t="s">
        <v>122</v>
      </c>
      <c r="P114" s="3">
        <v>32.145299999999999</v>
      </c>
      <c r="Q114" s="3">
        <v>-110.9456</v>
      </c>
      <c r="R114" s="4" t="s">
        <v>129</v>
      </c>
      <c r="S114" s="4" t="s">
        <v>124</v>
      </c>
      <c r="T114" s="4" t="s">
        <v>122</v>
      </c>
      <c r="U114" s="3">
        <v>1</v>
      </c>
      <c r="V114" s="3">
        <v>4</v>
      </c>
      <c r="W114" s="3">
        <v>2</v>
      </c>
      <c r="X114" s="3">
        <v>1</v>
      </c>
      <c r="Y114" s="3">
        <v>1</v>
      </c>
      <c r="Z114" s="3">
        <v>1</v>
      </c>
      <c r="AA114" s="3">
        <v>1</v>
      </c>
      <c r="AB114" s="4" t="s">
        <v>122</v>
      </c>
      <c r="AC114" s="4" t="s">
        <v>122</v>
      </c>
      <c r="AD114" s="4" t="s">
        <v>122</v>
      </c>
      <c r="AE114" s="4" t="s">
        <v>122</v>
      </c>
      <c r="AF114" s="4" t="s">
        <v>122</v>
      </c>
      <c r="AG114" s="3">
        <v>2</v>
      </c>
      <c r="AH114" s="3">
        <v>4</v>
      </c>
      <c r="AI114" s="3">
        <v>2</v>
      </c>
      <c r="AJ114" s="3">
        <v>6</v>
      </c>
      <c r="AK114" s="3">
        <v>8</v>
      </c>
      <c r="AL114" s="3">
        <v>5</v>
      </c>
      <c r="AM114" s="3">
        <v>3</v>
      </c>
      <c r="AN114" s="3">
        <v>6</v>
      </c>
      <c r="AO114" s="3">
        <v>2</v>
      </c>
      <c r="AP114" s="3">
        <v>4</v>
      </c>
      <c r="AQ114" s="4" t="s">
        <v>122</v>
      </c>
      <c r="AR114" s="4" t="s">
        <v>122</v>
      </c>
      <c r="AS114" s="3">
        <v>7</v>
      </c>
      <c r="AT114" s="3">
        <v>8</v>
      </c>
      <c r="AU114" s="3">
        <v>5</v>
      </c>
      <c r="AV114" s="3">
        <v>7</v>
      </c>
      <c r="AW114" s="3">
        <v>7</v>
      </c>
      <c r="AX114" s="3">
        <v>2</v>
      </c>
      <c r="AY114" s="3">
        <v>3</v>
      </c>
      <c r="AZ114" s="4" t="s">
        <v>122</v>
      </c>
      <c r="BA114" s="4" t="s">
        <v>122</v>
      </c>
      <c r="BB114" s="3" t="s">
        <v>122</v>
      </c>
      <c r="BC114" s="3" t="s">
        <v>122</v>
      </c>
      <c r="BD114" s="3" t="s">
        <v>122</v>
      </c>
      <c r="BE114" s="3" t="s">
        <v>122</v>
      </c>
      <c r="BF114" s="3" t="s">
        <v>122</v>
      </c>
      <c r="BG114" s="3" t="s">
        <v>122</v>
      </c>
      <c r="BH114" s="3" t="s">
        <v>122</v>
      </c>
      <c r="BI114" s="3" t="s">
        <v>122</v>
      </c>
      <c r="BJ114" s="3" t="s">
        <v>122</v>
      </c>
      <c r="BK114" s="3" t="s">
        <v>122</v>
      </c>
      <c r="BL114" s="3" t="s">
        <v>122</v>
      </c>
      <c r="BM114" s="3" t="s">
        <v>122</v>
      </c>
      <c r="BN114" s="3" t="s">
        <v>122</v>
      </c>
      <c r="BO114" s="3">
        <v>4</v>
      </c>
      <c r="BP114" s="3">
        <v>4</v>
      </c>
      <c r="BQ114" s="3">
        <v>2</v>
      </c>
      <c r="BR114" s="3" t="s">
        <v>122</v>
      </c>
      <c r="BS114" s="3" t="s">
        <v>122</v>
      </c>
      <c r="BT114" s="3" t="s">
        <v>122</v>
      </c>
      <c r="BU114" s="3" t="s">
        <v>122</v>
      </c>
      <c r="BV114" s="3" t="s">
        <v>122</v>
      </c>
      <c r="BW114" s="3" t="s">
        <v>122</v>
      </c>
      <c r="BX114" s="3" t="s">
        <v>122</v>
      </c>
      <c r="BY114" s="3" t="s">
        <v>122</v>
      </c>
      <c r="BZ114" s="3" t="s">
        <v>122</v>
      </c>
      <c r="CA114" s="3">
        <v>1</v>
      </c>
      <c r="CB114" s="3">
        <v>4</v>
      </c>
      <c r="CC114" s="3">
        <v>3</v>
      </c>
      <c r="CD114" s="3">
        <v>4</v>
      </c>
      <c r="CE114" s="3">
        <v>2</v>
      </c>
      <c r="CF114" s="3">
        <v>1</v>
      </c>
      <c r="CG114" s="4" t="s">
        <v>122</v>
      </c>
      <c r="CH114" s="3">
        <v>2</v>
      </c>
      <c r="CI114" s="4" t="s">
        <v>122</v>
      </c>
      <c r="CJ114" s="4" t="s">
        <v>122</v>
      </c>
      <c r="CK114" s="4" t="s">
        <v>125</v>
      </c>
      <c r="CL114" s="4" t="s">
        <v>122</v>
      </c>
      <c r="CM114" s="4" t="s">
        <v>122</v>
      </c>
      <c r="CN114" s="4" t="s">
        <v>122</v>
      </c>
      <c r="CO114" s="4" t="s">
        <v>122</v>
      </c>
      <c r="CP114" s="4" t="s">
        <v>122</v>
      </c>
      <c r="CQ114" s="4" t="s">
        <v>122</v>
      </c>
      <c r="CR114" s="4" t="s">
        <v>122</v>
      </c>
      <c r="CS114" s="3">
        <v>5</v>
      </c>
      <c r="CT114" s="3">
        <v>1</v>
      </c>
      <c r="CU114" s="42">
        <v>3</v>
      </c>
      <c r="CV114" cm="1">
        <f t="array" ref="CV114">_xlfn.IFS(CU114*1=2,1,CU114*1=4,1,TRUE,0)</f>
        <v>0</v>
      </c>
      <c r="CW114" cm="1">
        <f t="array" ref="CW114">_xlfn.IFS(CU114*1=1,1,CU114*1=2,1,TRUE,0)</f>
        <v>0</v>
      </c>
      <c r="CX114" s="3">
        <f t="shared" si="18"/>
        <v>4</v>
      </c>
      <c r="CY114" s="3">
        <f t="shared" si="11"/>
        <v>4</v>
      </c>
      <c r="CZ114" s="3" cm="1">
        <f t="array" ref="CZ114">_xlfn.IFS(BP114&lt;&gt;"", BP114, CV114=1,  AQ114, CV114=0,  AZ114)</f>
        <v>4</v>
      </c>
      <c r="DA114" s="36" cm="1">
        <f t="array" ref="DA114">_xlfn.IFS(BO114&lt;&gt;"", BO114, CV114=0,  AQ114, CV114=1,  AZ114)</f>
        <v>4</v>
      </c>
      <c r="DB114" s="36">
        <f t="shared" si="12"/>
        <v>0</v>
      </c>
      <c r="DC114" s="3">
        <f t="shared" si="13"/>
        <v>0</v>
      </c>
      <c r="DD114" s="3">
        <f t="shared" si="14"/>
        <v>0</v>
      </c>
      <c r="DE114" s="3">
        <f t="shared" si="15"/>
        <v>0</v>
      </c>
      <c r="DF114" s="3">
        <f t="shared" si="16"/>
        <v>0</v>
      </c>
      <c r="DG114" s="3">
        <f t="shared" si="17"/>
        <v>0</v>
      </c>
    </row>
    <row r="115" spans="1:111" x14ac:dyDescent="0.4">
      <c r="A115" s="3">
        <v>202503</v>
      </c>
      <c r="B115" s="3">
        <v>222</v>
      </c>
      <c r="C115" s="5">
        <v>45733.561412037037</v>
      </c>
      <c r="D115" s="5">
        <v>45733.571284722224</v>
      </c>
      <c r="E115" s="3">
        <v>0</v>
      </c>
      <c r="F115" s="4" t="s">
        <v>416</v>
      </c>
      <c r="G115" s="3">
        <v>100</v>
      </c>
      <c r="H115" s="3">
        <v>852</v>
      </c>
      <c r="I115" s="3">
        <v>1</v>
      </c>
      <c r="J115" s="5">
        <v>45733.571298518516</v>
      </c>
      <c r="K115" s="4" t="s">
        <v>444</v>
      </c>
      <c r="L115" s="4" t="s">
        <v>122</v>
      </c>
      <c r="M115" s="4" t="s">
        <v>122</v>
      </c>
      <c r="N115" s="4" t="s">
        <v>122</v>
      </c>
      <c r="O115" s="4" t="s">
        <v>122</v>
      </c>
      <c r="P115" s="3">
        <v>32.216299999999997</v>
      </c>
      <c r="Q115" s="3">
        <v>-110.9241</v>
      </c>
      <c r="R115" s="4" t="s">
        <v>129</v>
      </c>
      <c r="S115" s="4" t="s">
        <v>124</v>
      </c>
      <c r="T115" s="4" t="s">
        <v>122</v>
      </c>
      <c r="U115" s="3">
        <v>1</v>
      </c>
      <c r="V115" s="3">
        <v>3</v>
      </c>
      <c r="W115" s="3">
        <v>3</v>
      </c>
      <c r="X115" s="3">
        <v>1</v>
      </c>
      <c r="Y115" s="3">
        <v>4</v>
      </c>
      <c r="Z115" s="3">
        <v>4</v>
      </c>
      <c r="AA115" s="3">
        <v>4</v>
      </c>
      <c r="AB115" s="4" t="s">
        <v>122</v>
      </c>
      <c r="AC115" s="4" t="s">
        <v>122</v>
      </c>
      <c r="AD115" s="4" t="s">
        <v>122</v>
      </c>
      <c r="AE115" s="4" t="s">
        <v>122</v>
      </c>
      <c r="AF115" s="4" t="s">
        <v>122</v>
      </c>
      <c r="AG115" s="3">
        <v>3</v>
      </c>
      <c r="AH115" s="3">
        <v>4.5</v>
      </c>
      <c r="AI115" s="4">
        <v>3</v>
      </c>
      <c r="AJ115" s="3">
        <v>8</v>
      </c>
      <c r="AK115" s="3">
        <v>8</v>
      </c>
      <c r="AL115" s="3">
        <v>7</v>
      </c>
      <c r="AM115" s="3">
        <v>8</v>
      </c>
      <c r="AN115" s="3">
        <v>8</v>
      </c>
      <c r="AO115" s="3">
        <v>3</v>
      </c>
      <c r="AP115" s="3">
        <v>3</v>
      </c>
      <c r="AQ115" s="4">
        <v>4.5</v>
      </c>
      <c r="AR115" s="4">
        <v>3</v>
      </c>
      <c r="AS115" s="3">
        <v>7</v>
      </c>
      <c r="AT115" s="3">
        <v>8</v>
      </c>
      <c r="AU115" s="3">
        <v>7</v>
      </c>
      <c r="AV115" s="3">
        <v>7</v>
      </c>
      <c r="AW115" s="3">
        <v>7</v>
      </c>
      <c r="AX115" s="3">
        <v>2</v>
      </c>
      <c r="AY115" s="3">
        <v>3</v>
      </c>
      <c r="AZ115" s="4">
        <v>4</v>
      </c>
      <c r="BA115" s="4">
        <v>3</v>
      </c>
      <c r="BB115" s="3">
        <v>6</v>
      </c>
      <c r="BC115" s="3">
        <v>6.5</v>
      </c>
      <c r="BD115" s="3">
        <v>3</v>
      </c>
      <c r="BE115" s="3" t="s">
        <v>122</v>
      </c>
      <c r="BF115" s="3" t="s">
        <v>122</v>
      </c>
      <c r="BG115" s="3" t="s">
        <v>122</v>
      </c>
      <c r="BH115" s="3" t="s">
        <v>122</v>
      </c>
      <c r="BI115" s="3" t="s">
        <v>122</v>
      </c>
      <c r="BJ115" s="3" t="s">
        <v>122</v>
      </c>
      <c r="BK115" s="3" t="s">
        <v>122</v>
      </c>
      <c r="BL115" s="3" t="s">
        <v>122</v>
      </c>
      <c r="BM115" s="3" t="s">
        <v>122</v>
      </c>
      <c r="BN115" s="3">
        <v>3</v>
      </c>
      <c r="BO115" s="3" t="s">
        <v>122</v>
      </c>
      <c r="BP115" s="3" t="s">
        <v>122</v>
      </c>
      <c r="BQ115" s="3" t="s">
        <v>122</v>
      </c>
      <c r="BR115" s="3" t="s">
        <v>122</v>
      </c>
      <c r="BS115" s="3" t="s">
        <v>122</v>
      </c>
      <c r="BT115" s="3" t="s">
        <v>122</v>
      </c>
      <c r="BU115" s="3" t="s">
        <v>122</v>
      </c>
      <c r="BV115" s="3" t="s">
        <v>122</v>
      </c>
      <c r="BW115" s="3" t="s">
        <v>122</v>
      </c>
      <c r="BX115" s="3" t="s">
        <v>122</v>
      </c>
      <c r="BY115" s="3" t="s">
        <v>122</v>
      </c>
      <c r="BZ115" s="3" t="s">
        <v>122</v>
      </c>
      <c r="CA115" s="3" t="s">
        <v>122</v>
      </c>
      <c r="CB115" s="3" t="s">
        <v>122</v>
      </c>
      <c r="CC115" s="3" t="s">
        <v>122</v>
      </c>
      <c r="CD115" s="3" t="s">
        <v>122</v>
      </c>
      <c r="CE115" s="3" t="s">
        <v>122</v>
      </c>
      <c r="CF115" s="3">
        <v>1</v>
      </c>
      <c r="CG115" s="4" t="s">
        <v>122</v>
      </c>
      <c r="CH115" s="3">
        <v>4</v>
      </c>
      <c r="CI115" s="4" t="s">
        <v>122</v>
      </c>
      <c r="CJ115" s="4" t="s">
        <v>122</v>
      </c>
      <c r="CK115" s="4" t="s">
        <v>122</v>
      </c>
      <c r="CL115" s="4" t="s">
        <v>125</v>
      </c>
      <c r="CM115" s="4" t="s">
        <v>122</v>
      </c>
      <c r="CN115" s="4" t="s">
        <v>122</v>
      </c>
      <c r="CO115" s="4" t="s">
        <v>122</v>
      </c>
      <c r="CP115" s="4" t="s">
        <v>122</v>
      </c>
      <c r="CQ115" s="4" t="s">
        <v>122</v>
      </c>
      <c r="CR115" s="4" t="s">
        <v>122</v>
      </c>
      <c r="CS115" s="3">
        <v>5</v>
      </c>
      <c r="CT115" s="3">
        <v>3</v>
      </c>
      <c r="CU115" s="42">
        <v>1</v>
      </c>
      <c r="CV115" cm="1">
        <f t="array" ref="CV115">_xlfn.IFS(CU115*1=2,1,CU115*1=4,1,TRUE,0)</f>
        <v>0</v>
      </c>
      <c r="CW115" cm="1">
        <f t="array" ref="CW115">_xlfn.IFS(CU115*1=1,1,CU115*1=2,1,TRUE,0)</f>
        <v>1</v>
      </c>
      <c r="CX115" s="3">
        <f t="shared" si="18"/>
        <v>6</v>
      </c>
      <c r="CY115" s="3">
        <f t="shared" si="11"/>
        <v>6.5</v>
      </c>
      <c r="CZ115" s="3" cm="1">
        <f t="array" ref="CZ115">_xlfn.IFS(BP115&lt;&gt;"", BP115, CV115=1,  AQ115, CV115=0,  AZ115)</f>
        <v>4</v>
      </c>
      <c r="DA115" s="36" cm="1">
        <f t="array" ref="DA115">_xlfn.IFS(BO115&lt;&gt;"", BO115, CV115=0,  AQ115, CV115=1,  AZ115)</f>
        <v>4.5</v>
      </c>
      <c r="DB115" s="36">
        <f t="shared" si="12"/>
        <v>2</v>
      </c>
      <c r="DC115" s="3">
        <f t="shared" si="13"/>
        <v>1.5</v>
      </c>
      <c r="DD115" s="3">
        <f t="shared" si="14"/>
        <v>-0.5</v>
      </c>
      <c r="DE115" s="3">
        <f t="shared" si="15"/>
        <v>2</v>
      </c>
      <c r="DF115" s="3">
        <f t="shared" si="16"/>
        <v>0</v>
      </c>
      <c r="DG115" s="3">
        <f t="shared" si="17"/>
        <v>1.5</v>
      </c>
    </row>
    <row r="116" spans="1:111" x14ac:dyDescent="0.4">
      <c r="A116" s="3">
        <v>202503</v>
      </c>
      <c r="B116" s="3">
        <v>222</v>
      </c>
      <c r="C116" s="5">
        <v>45733.565405092595</v>
      </c>
      <c r="D116" s="5">
        <v>45733.570671296293</v>
      </c>
      <c r="E116" s="3">
        <v>0</v>
      </c>
      <c r="F116" s="4" t="s">
        <v>442</v>
      </c>
      <c r="G116" s="3">
        <v>100</v>
      </c>
      <c r="H116" s="3">
        <v>454</v>
      </c>
      <c r="I116" s="3">
        <v>1</v>
      </c>
      <c r="J116" s="5">
        <v>45733.570684837963</v>
      </c>
      <c r="K116" s="4" t="s">
        <v>443</v>
      </c>
      <c r="L116" s="4" t="s">
        <v>122</v>
      </c>
      <c r="M116" s="4" t="s">
        <v>122</v>
      </c>
      <c r="N116" s="4" t="s">
        <v>122</v>
      </c>
      <c r="O116" s="4" t="s">
        <v>122</v>
      </c>
      <c r="P116" s="3">
        <v>38.644599999999997</v>
      </c>
      <c r="Q116" s="3">
        <v>-121.2722</v>
      </c>
      <c r="R116" s="4" t="s">
        <v>129</v>
      </c>
      <c r="S116" s="4" t="s">
        <v>124</v>
      </c>
      <c r="T116" s="4" t="s">
        <v>122</v>
      </c>
      <c r="U116" s="3">
        <v>1</v>
      </c>
      <c r="V116" s="3">
        <v>3</v>
      </c>
      <c r="W116" s="3">
        <v>3</v>
      </c>
      <c r="X116" s="3">
        <v>1</v>
      </c>
      <c r="Y116" s="3">
        <v>1</v>
      </c>
      <c r="Z116" s="3">
        <v>1</v>
      </c>
      <c r="AA116" s="3">
        <v>1</v>
      </c>
      <c r="AB116" s="4" t="s">
        <v>122</v>
      </c>
      <c r="AC116" s="4" t="s">
        <v>122</v>
      </c>
      <c r="AD116" s="4" t="s">
        <v>122</v>
      </c>
      <c r="AE116" s="4" t="s">
        <v>122</v>
      </c>
      <c r="AF116" s="4" t="s">
        <v>122</v>
      </c>
      <c r="AG116" s="3">
        <v>2</v>
      </c>
      <c r="AH116" s="3">
        <v>6</v>
      </c>
      <c r="AI116" s="3">
        <v>2</v>
      </c>
      <c r="AJ116" s="3">
        <v>4</v>
      </c>
      <c r="AK116" s="3">
        <v>7</v>
      </c>
      <c r="AL116" s="3">
        <v>4</v>
      </c>
      <c r="AM116" s="3">
        <v>2</v>
      </c>
      <c r="AN116" s="3">
        <v>6</v>
      </c>
      <c r="AO116" s="3">
        <v>5</v>
      </c>
      <c r="AP116" s="3">
        <v>2</v>
      </c>
      <c r="AQ116" s="4">
        <v>6</v>
      </c>
      <c r="AR116" s="4">
        <v>2</v>
      </c>
      <c r="AS116" s="3">
        <v>6</v>
      </c>
      <c r="AT116" s="3">
        <v>6</v>
      </c>
      <c r="AU116" s="3">
        <v>6</v>
      </c>
      <c r="AV116" s="3">
        <v>6</v>
      </c>
      <c r="AW116" s="3">
        <v>6</v>
      </c>
      <c r="AX116" s="3">
        <v>2</v>
      </c>
      <c r="AY116" s="3">
        <v>3</v>
      </c>
      <c r="AZ116" s="4">
        <v>6</v>
      </c>
      <c r="BA116" s="4">
        <v>2</v>
      </c>
      <c r="BB116" s="3">
        <v>6</v>
      </c>
      <c r="BC116" s="3">
        <v>8</v>
      </c>
      <c r="BD116" s="3">
        <v>2</v>
      </c>
      <c r="BE116" s="3" t="s">
        <v>122</v>
      </c>
      <c r="BF116" s="3" t="s">
        <v>122</v>
      </c>
      <c r="BG116" s="3" t="s">
        <v>122</v>
      </c>
      <c r="BH116" s="3" t="s">
        <v>122</v>
      </c>
      <c r="BI116" s="3" t="s">
        <v>122</v>
      </c>
      <c r="BJ116" s="3" t="s">
        <v>122</v>
      </c>
      <c r="BK116" s="3" t="s">
        <v>122</v>
      </c>
      <c r="BL116" s="3" t="s">
        <v>122</v>
      </c>
      <c r="BM116" s="3" t="s">
        <v>122</v>
      </c>
      <c r="BN116" s="3" t="s">
        <v>122</v>
      </c>
      <c r="BO116" s="3" t="s">
        <v>122</v>
      </c>
      <c r="BP116" s="3" t="s">
        <v>122</v>
      </c>
      <c r="BQ116" s="3" t="s">
        <v>122</v>
      </c>
      <c r="BR116" s="3" t="s">
        <v>122</v>
      </c>
      <c r="BS116" s="3" t="s">
        <v>122</v>
      </c>
      <c r="BT116" s="3" t="s">
        <v>122</v>
      </c>
      <c r="BU116" s="3" t="s">
        <v>122</v>
      </c>
      <c r="BV116" s="3" t="s">
        <v>122</v>
      </c>
      <c r="BW116" s="3" t="s">
        <v>122</v>
      </c>
      <c r="BX116" s="3" t="s">
        <v>122</v>
      </c>
      <c r="BY116" s="3" t="s">
        <v>122</v>
      </c>
      <c r="BZ116" s="3" t="s">
        <v>122</v>
      </c>
      <c r="CA116" s="3" t="s">
        <v>122</v>
      </c>
      <c r="CB116" s="3" t="s">
        <v>122</v>
      </c>
      <c r="CC116" s="3" t="s">
        <v>122</v>
      </c>
      <c r="CD116" s="3" t="s">
        <v>122</v>
      </c>
      <c r="CE116" s="3" t="s">
        <v>122</v>
      </c>
      <c r="CF116" s="3">
        <v>1</v>
      </c>
      <c r="CG116" s="4" t="s">
        <v>122</v>
      </c>
      <c r="CH116" s="3">
        <v>3</v>
      </c>
      <c r="CI116" s="4" t="s">
        <v>122</v>
      </c>
      <c r="CJ116" s="4" t="s">
        <v>122</v>
      </c>
      <c r="CK116" s="4" t="s">
        <v>122</v>
      </c>
      <c r="CL116" s="4" t="s">
        <v>125</v>
      </c>
      <c r="CM116" s="4" t="s">
        <v>122</v>
      </c>
      <c r="CN116" s="4" t="s">
        <v>122</v>
      </c>
      <c r="CO116" s="4" t="s">
        <v>122</v>
      </c>
      <c r="CP116" s="4" t="s">
        <v>122</v>
      </c>
      <c r="CQ116" s="4" t="s">
        <v>122</v>
      </c>
      <c r="CR116" s="4" t="s">
        <v>122</v>
      </c>
      <c r="CS116" s="3">
        <v>3</v>
      </c>
      <c r="CT116" s="3">
        <v>5</v>
      </c>
      <c r="CU116" s="42">
        <v>1</v>
      </c>
      <c r="CV116" cm="1">
        <f t="array" ref="CV116">_xlfn.IFS(CU116*1=2,1,CU116*1=4,1,TRUE,0)</f>
        <v>0</v>
      </c>
      <c r="CW116" cm="1">
        <f t="array" ref="CW116">_xlfn.IFS(CU116*1=1,1,CU116*1=2,1,TRUE,0)</f>
        <v>1</v>
      </c>
      <c r="CX116" s="3">
        <f t="shared" si="18"/>
        <v>6</v>
      </c>
      <c r="CY116" s="3">
        <f t="shared" si="11"/>
        <v>8</v>
      </c>
      <c r="CZ116" s="3" cm="1">
        <f t="array" ref="CZ116">_xlfn.IFS(BP116&lt;&gt;"", BP116, CV116=1,  AQ116, CV116=0,  AZ116)</f>
        <v>6</v>
      </c>
      <c r="DA116" s="36" cm="1">
        <f t="array" ref="DA116">_xlfn.IFS(BO116&lt;&gt;"", BO116, CV116=0,  AQ116, CV116=1,  AZ116)</f>
        <v>6</v>
      </c>
      <c r="DB116" s="36">
        <f t="shared" si="12"/>
        <v>2</v>
      </c>
      <c r="DC116" s="3">
        <f t="shared" si="13"/>
        <v>0</v>
      </c>
      <c r="DD116" s="3">
        <f t="shared" si="14"/>
        <v>0</v>
      </c>
      <c r="DE116" s="3">
        <f t="shared" si="15"/>
        <v>2</v>
      </c>
      <c r="DF116" s="3">
        <f t="shared" si="16"/>
        <v>0</v>
      </c>
      <c r="DG116" s="3">
        <f t="shared" si="17"/>
        <v>0</v>
      </c>
    </row>
    <row r="117" spans="1:111" x14ac:dyDescent="0.4">
      <c r="A117" s="3">
        <v>202503</v>
      </c>
      <c r="B117" s="3">
        <v>222</v>
      </c>
      <c r="C117" s="5">
        <v>45733.572187500002</v>
      </c>
      <c r="D117" s="5">
        <v>45733.578101851854</v>
      </c>
      <c r="E117" s="3">
        <v>0</v>
      </c>
      <c r="F117" s="4" t="s">
        <v>288</v>
      </c>
      <c r="G117" s="3">
        <v>100</v>
      </c>
      <c r="H117" s="3">
        <v>511</v>
      </c>
      <c r="I117" s="3">
        <v>1</v>
      </c>
      <c r="J117" s="5">
        <v>45733.578118460646</v>
      </c>
      <c r="K117" s="4" t="s">
        <v>448</v>
      </c>
      <c r="L117" s="4" t="s">
        <v>122</v>
      </c>
      <c r="M117" s="4" t="s">
        <v>122</v>
      </c>
      <c r="N117" s="4" t="s">
        <v>122</v>
      </c>
      <c r="O117" s="4" t="s">
        <v>122</v>
      </c>
      <c r="P117" s="3">
        <v>32.250300000000003</v>
      </c>
      <c r="Q117" s="3">
        <v>-110.94499999999999</v>
      </c>
      <c r="R117" s="4" t="s">
        <v>129</v>
      </c>
      <c r="S117" s="4" t="s">
        <v>124</v>
      </c>
      <c r="T117" s="4" t="s">
        <v>122</v>
      </c>
      <c r="U117" s="3">
        <v>1</v>
      </c>
      <c r="V117" s="3">
        <v>5</v>
      </c>
      <c r="W117" s="3">
        <v>5</v>
      </c>
      <c r="X117" s="3">
        <v>1</v>
      </c>
      <c r="Y117" s="3">
        <v>2</v>
      </c>
      <c r="Z117" s="3">
        <v>1</v>
      </c>
      <c r="AA117" s="3">
        <v>1</v>
      </c>
      <c r="AB117" s="4" t="s">
        <v>122</v>
      </c>
      <c r="AC117" s="4" t="s">
        <v>122</v>
      </c>
      <c r="AD117" s="4" t="s">
        <v>122</v>
      </c>
      <c r="AE117" s="4" t="s">
        <v>122</v>
      </c>
      <c r="AF117" s="4" t="s">
        <v>122</v>
      </c>
      <c r="AG117" s="3">
        <v>2</v>
      </c>
      <c r="AH117" s="3">
        <v>6</v>
      </c>
      <c r="AI117" s="3">
        <v>3</v>
      </c>
      <c r="AJ117" s="3">
        <v>7</v>
      </c>
      <c r="AK117" s="3">
        <v>8</v>
      </c>
      <c r="AL117" s="3">
        <v>8</v>
      </c>
      <c r="AM117" s="3">
        <v>7</v>
      </c>
      <c r="AN117" s="3">
        <v>9</v>
      </c>
      <c r="AO117" s="3">
        <v>3</v>
      </c>
      <c r="AP117" s="3">
        <v>3</v>
      </c>
      <c r="AQ117" s="3" t="s">
        <v>122</v>
      </c>
      <c r="AR117" s="3" t="s">
        <v>122</v>
      </c>
      <c r="AS117" s="3">
        <v>7</v>
      </c>
      <c r="AT117" s="3">
        <v>8</v>
      </c>
      <c r="AU117" s="3">
        <v>9</v>
      </c>
      <c r="AV117" s="3">
        <v>6</v>
      </c>
      <c r="AW117" s="3">
        <v>8</v>
      </c>
      <c r="AX117" s="3">
        <v>4</v>
      </c>
      <c r="AY117" s="3">
        <v>4</v>
      </c>
      <c r="AZ117" s="3" t="s">
        <v>122</v>
      </c>
      <c r="BA117" s="3" t="s">
        <v>122</v>
      </c>
      <c r="BB117" s="3" t="s">
        <v>122</v>
      </c>
      <c r="BC117" s="3" t="s">
        <v>122</v>
      </c>
      <c r="BD117" s="3" t="s">
        <v>122</v>
      </c>
      <c r="BE117" s="3" t="s">
        <v>122</v>
      </c>
      <c r="BF117" s="3" t="s">
        <v>122</v>
      </c>
      <c r="BG117" s="3" t="s">
        <v>122</v>
      </c>
      <c r="BH117" s="3" t="s">
        <v>122</v>
      </c>
      <c r="BI117" s="3" t="s">
        <v>122</v>
      </c>
      <c r="BJ117" s="3" t="s">
        <v>122</v>
      </c>
      <c r="BK117" s="3" t="s">
        <v>122</v>
      </c>
      <c r="BL117" s="3" t="s">
        <v>122</v>
      </c>
      <c r="BM117" s="3" t="s">
        <v>122</v>
      </c>
      <c r="BN117" s="3" t="s">
        <v>122</v>
      </c>
      <c r="BO117" s="3">
        <v>6.5</v>
      </c>
      <c r="BP117" s="3">
        <v>5</v>
      </c>
      <c r="BQ117" s="3">
        <v>3</v>
      </c>
      <c r="BR117" s="3" t="s">
        <v>122</v>
      </c>
      <c r="BS117" s="3" t="s">
        <v>122</v>
      </c>
      <c r="BT117" s="3" t="s">
        <v>122</v>
      </c>
      <c r="BU117" s="3" t="s">
        <v>122</v>
      </c>
      <c r="BV117" s="3" t="s">
        <v>122</v>
      </c>
      <c r="BW117" s="3" t="s">
        <v>122</v>
      </c>
      <c r="BX117" s="3" t="s">
        <v>122</v>
      </c>
      <c r="BY117" s="3" t="s">
        <v>122</v>
      </c>
      <c r="BZ117" s="3" t="s">
        <v>122</v>
      </c>
      <c r="CA117" s="3">
        <v>1</v>
      </c>
      <c r="CB117" s="3">
        <v>6.5</v>
      </c>
      <c r="CC117" s="3">
        <v>3</v>
      </c>
      <c r="CD117" s="3">
        <v>5</v>
      </c>
      <c r="CE117" s="3">
        <v>3</v>
      </c>
      <c r="CF117" s="3">
        <v>1</v>
      </c>
      <c r="CG117" s="4" t="s">
        <v>122</v>
      </c>
      <c r="CH117" s="3">
        <v>2</v>
      </c>
      <c r="CI117" s="4" t="s">
        <v>122</v>
      </c>
      <c r="CJ117" s="4" t="s">
        <v>122</v>
      </c>
      <c r="CK117" s="4" t="s">
        <v>122</v>
      </c>
      <c r="CL117" s="4" t="s">
        <v>122</v>
      </c>
      <c r="CM117" s="4" t="s">
        <v>122</v>
      </c>
      <c r="CN117" s="4" t="s">
        <v>122</v>
      </c>
      <c r="CO117" s="4" t="s">
        <v>125</v>
      </c>
      <c r="CP117" s="4" t="s">
        <v>122</v>
      </c>
      <c r="CQ117" s="4" t="s">
        <v>122</v>
      </c>
      <c r="CR117" s="4" t="s">
        <v>122</v>
      </c>
      <c r="CS117" s="3">
        <v>3</v>
      </c>
      <c r="CT117" s="3">
        <v>5</v>
      </c>
      <c r="CU117" s="42">
        <v>3</v>
      </c>
      <c r="CV117" cm="1">
        <f t="array" ref="CV117">_xlfn.IFS(CU117*1=2,1,CU117*1=4,1,TRUE,0)</f>
        <v>0</v>
      </c>
      <c r="CW117" cm="1">
        <f t="array" ref="CW117">_xlfn.IFS(CU117*1=1,1,CU117*1=2,1,TRUE,0)</f>
        <v>0</v>
      </c>
      <c r="CX117" s="3">
        <f t="shared" si="18"/>
        <v>6.5</v>
      </c>
      <c r="CY117" s="3">
        <f t="shared" si="11"/>
        <v>5</v>
      </c>
      <c r="CZ117" s="3" cm="1">
        <f t="array" ref="CZ117">_xlfn.IFS(BP117&lt;&gt;"", BP117, CV117=1,  AQ117, CV117=0,  AZ117)</f>
        <v>5</v>
      </c>
      <c r="DA117" s="36" cm="1">
        <f t="array" ref="DA117">_xlfn.IFS(BO117&lt;&gt;"", BO117, CV117=0,  AQ117, CV117=1,  AZ117)</f>
        <v>6.5</v>
      </c>
      <c r="DB117" s="36">
        <f t="shared" si="12"/>
        <v>-1</v>
      </c>
      <c r="DC117" s="3">
        <f t="shared" si="13"/>
        <v>0.5</v>
      </c>
      <c r="DD117" s="3">
        <f t="shared" si="14"/>
        <v>-1</v>
      </c>
      <c r="DE117" s="3">
        <f t="shared" si="15"/>
        <v>-1</v>
      </c>
      <c r="DF117" s="3">
        <f t="shared" si="16"/>
        <v>0.5</v>
      </c>
      <c r="DG117" s="3">
        <f t="shared" si="17"/>
        <v>0.5</v>
      </c>
    </row>
    <row r="118" spans="1:111" x14ac:dyDescent="0.4">
      <c r="A118" s="3">
        <v>202503</v>
      </c>
      <c r="B118" s="3">
        <v>222</v>
      </c>
      <c r="C118" s="5">
        <v>45733.572210648148</v>
      </c>
      <c r="D118" s="5">
        <v>45733.577037037037</v>
      </c>
      <c r="E118" s="3">
        <v>0</v>
      </c>
      <c r="F118" s="4" t="s">
        <v>445</v>
      </c>
      <c r="G118" s="3">
        <v>100</v>
      </c>
      <c r="H118" s="3">
        <v>417</v>
      </c>
      <c r="I118" s="3">
        <v>1</v>
      </c>
      <c r="J118" s="5">
        <v>45733.577055960646</v>
      </c>
      <c r="K118" s="4" t="s">
        <v>446</v>
      </c>
      <c r="L118" s="4" t="s">
        <v>122</v>
      </c>
      <c r="M118" s="4" t="s">
        <v>122</v>
      </c>
      <c r="N118" s="4" t="s">
        <v>122</v>
      </c>
      <c r="O118" s="4" t="s">
        <v>122</v>
      </c>
      <c r="P118" s="3">
        <v>33.491700000000002</v>
      </c>
      <c r="Q118" s="3">
        <v>-111.9837</v>
      </c>
      <c r="R118" s="4" t="s">
        <v>129</v>
      </c>
      <c r="S118" s="4" t="s">
        <v>124</v>
      </c>
      <c r="T118" s="4" t="s">
        <v>122</v>
      </c>
      <c r="U118" s="3">
        <v>1</v>
      </c>
      <c r="V118" s="3">
        <v>5</v>
      </c>
      <c r="W118" s="3">
        <v>5</v>
      </c>
      <c r="X118" s="3">
        <v>2</v>
      </c>
      <c r="Y118" s="3">
        <v>1</v>
      </c>
      <c r="Z118" s="3">
        <v>1</v>
      </c>
      <c r="AA118" s="3">
        <v>1</v>
      </c>
      <c r="AB118" s="4" t="s">
        <v>122</v>
      </c>
      <c r="AC118" s="4" t="s">
        <v>125</v>
      </c>
      <c r="AD118" s="4" t="s">
        <v>122</v>
      </c>
      <c r="AE118" s="4" t="s">
        <v>122</v>
      </c>
      <c r="AF118" s="4" t="s">
        <v>122</v>
      </c>
      <c r="AG118" s="3">
        <v>3</v>
      </c>
      <c r="AH118" s="3">
        <v>0</v>
      </c>
      <c r="AI118" s="4" t="s">
        <v>122</v>
      </c>
      <c r="AJ118" s="3">
        <v>7</v>
      </c>
      <c r="AK118" s="3">
        <v>5</v>
      </c>
      <c r="AL118" s="3">
        <v>4</v>
      </c>
      <c r="AM118" s="3">
        <v>7</v>
      </c>
      <c r="AN118" s="3">
        <v>5</v>
      </c>
      <c r="AO118" s="3">
        <v>2</v>
      </c>
      <c r="AP118" s="3">
        <v>3</v>
      </c>
      <c r="AQ118" s="3" t="s">
        <v>122</v>
      </c>
      <c r="AR118" s="4" t="s">
        <v>122</v>
      </c>
      <c r="AS118" s="3">
        <v>7</v>
      </c>
      <c r="AT118" s="3">
        <v>7</v>
      </c>
      <c r="AU118" s="3">
        <v>6</v>
      </c>
      <c r="AV118" s="3">
        <v>6</v>
      </c>
      <c r="AW118" s="3">
        <v>5</v>
      </c>
      <c r="AX118" s="3">
        <v>2</v>
      </c>
      <c r="AY118" s="3">
        <v>3</v>
      </c>
      <c r="AZ118" s="3" t="s">
        <v>122</v>
      </c>
      <c r="BA118" s="4" t="s">
        <v>122</v>
      </c>
      <c r="BB118" s="3" t="s">
        <v>122</v>
      </c>
      <c r="BC118" s="3" t="s">
        <v>122</v>
      </c>
      <c r="BD118" s="3" t="s">
        <v>122</v>
      </c>
      <c r="BE118" s="3" t="s">
        <v>122</v>
      </c>
      <c r="BF118" s="3" t="s">
        <v>122</v>
      </c>
      <c r="BG118" s="3" t="s">
        <v>122</v>
      </c>
      <c r="BH118" s="3" t="s">
        <v>122</v>
      </c>
      <c r="BI118" s="3" t="s">
        <v>122</v>
      </c>
      <c r="BJ118" s="3" t="s">
        <v>122</v>
      </c>
      <c r="BK118" s="3" t="s">
        <v>122</v>
      </c>
      <c r="BL118" s="3" t="s">
        <v>122</v>
      </c>
      <c r="BM118" s="3" t="s">
        <v>122</v>
      </c>
      <c r="BN118" s="3" t="s">
        <v>122</v>
      </c>
      <c r="BO118" s="3">
        <v>4</v>
      </c>
      <c r="BP118" s="3">
        <v>4.5</v>
      </c>
      <c r="BQ118" s="3">
        <v>1</v>
      </c>
      <c r="BR118" s="3" t="s">
        <v>122</v>
      </c>
      <c r="BS118" s="3" t="s">
        <v>122</v>
      </c>
      <c r="BT118" s="3" t="s">
        <v>122</v>
      </c>
      <c r="BU118" s="3" t="s">
        <v>122</v>
      </c>
      <c r="BV118" s="3" t="s">
        <v>122</v>
      </c>
      <c r="BW118" s="3" t="s">
        <v>122</v>
      </c>
      <c r="BX118" s="3" t="s">
        <v>122</v>
      </c>
      <c r="BY118" s="3" t="s">
        <v>122</v>
      </c>
      <c r="BZ118" s="3" t="s">
        <v>122</v>
      </c>
      <c r="CA118" s="3" t="s">
        <v>122</v>
      </c>
      <c r="CB118" s="3">
        <v>4</v>
      </c>
      <c r="CC118" s="3">
        <v>2</v>
      </c>
      <c r="CD118" s="3">
        <v>4.5</v>
      </c>
      <c r="CE118" s="3">
        <v>2</v>
      </c>
      <c r="CF118" s="3">
        <v>1</v>
      </c>
      <c r="CG118" s="4" t="s">
        <v>122</v>
      </c>
      <c r="CH118" s="3">
        <v>2</v>
      </c>
      <c r="CI118" s="4" t="s">
        <v>122</v>
      </c>
      <c r="CJ118" s="4" t="s">
        <v>122</v>
      </c>
      <c r="CK118" s="4" t="s">
        <v>122</v>
      </c>
      <c r="CL118" s="4" t="s">
        <v>122</v>
      </c>
      <c r="CM118" s="4" t="s">
        <v>122</v>
      </c>
      <c r="CN118" s="4" t="s">
        <v>122</v>
      </c>
      <c r="CO118" s="4" t="s">
        <v>125</v>
      </c>
      <c r="CP118" s="4" t="s">
        <v>122</v>
      </c>
      <c r="CQ118" s="4" t="s">
        <v>122</v>
      </c>
      <c r="CR118" s="4" t="s">
        <v>122</v>
      </c>
      <c r="CS118" s="3">
        <v>3</v>
      </c>
      <c r="CT118" s="3">
        <v>6</v>
      </c>
      <c r="CU118" s="42">
        <v>3</v>
      </c>
      <c r="CV118" cm="1">
        <f t="array" ref="CV118">_xlfn.IFS(CU118*1=2,1,CU118*1=4,1,TRUE,0)</f>
        <v>0</v>
      </c>
      <c r="CW118" cm="1">
        <f t="array" ref="CW118">_xlfn.IFS(CU118*1=1,1,CU118*1=2,1,TRUE,0)</f>
        <v>0</v>
      </c>
      <c r="CX118" s="3">
        <f t="shared" si="18"/>
        <v>4</v>
      </c>
      <c r="CY118" s="3">
        <f t="shared" si="11"/>
        <v>4.5</v>
      </c>
      <c r="CZ118" s="3" cm="1">
        <f t="array" ref="CZ118">_xlfn.IFS(BP118&lt;&gt;"", BP118, CV118=1,  AQ118, CV118=0,  AZ118)</f>
        <v>4.5</v>
      </c>
      <c r="DA118" s="36" cm="1">
        <f t="array" ref="DA118">_xlfn.IFS(BO118&lt;&gt;"", BO118, CV118=0,  AQ118, CV118=1,  AZ118)</f>
        <v>4</v>
      </c>
      <c r="DB118" s="36">
        <f t="shared" si="12"/>
        <v>4.5</v>
      </c>
      <c r="DC118" s="3">
        <f t="shared" si="13"/>
        <v>4</v>
      </c>
      <c r="DD118" s="3">
        <f t="shared" si="14"/>
        <v>4.5</v>
      </c>
      <c r="DE118" s="3">
        <f t="shared" si="15"/>
        <v>4.5</v>
      </c>
      <c r="DF118" s="3">
        <f t="shared" si="16"/>
        <v>4</v>
      </c>
      <c r="DG118" s="3">
        <f t="shared" si="17"/>
        <v>4</v>
      </c>
    </row>
    <row r="119" spans="1:111" x14ac:dyDescent="0.4">
      <c r="A119" s="3">
        <v>202503</v>
      </c>
      <c r="B119" s="3">
        <v>222</v>
      </c>
      <c r="C119" s="5">
        <v>45733.572222222225</v>
      </c>
      <c r="D119" s="5">
        <v>45733.577094907407</v>
      </c>
      <c r="E119" s="3">
        <v>0</v>
      </c>
      <c r="F119" s="4" t="s">
        <v>146</v>
      </c>
      <c r="G119" s="3">
        <v>100</v>
      </c>
      <c r="H119" s="3">
        <v>421</v>
      </c>
      <c r="I119" s="3">
        <v>1</v>
      </c>
      <c r="J119" s="5">
        <v>45733.577111307874</v>
      </c>
      <c r="K119" s="4" t="s">
        <v>447</v>
      </c>
      <c r="L119" s="4" t="s">
        <v>122</v>
      </c>
      <c r="M119" s="4" t="s">
        <v>122</v>
      </c>
      <c r="N119" s="4" t="s">
        <v>122</v>
      </c>
      <c r="O119" s="4" t="s">
        <v>122</v>
      </c>
      <c r="P119" s="3">
        <v>32.250300000000003</v>
      </c>
      <c r="Q119" s="3">
        <v>-110.94499999999999</v>
      </c>
      <c r="R119" s="4" t="s">
        <v>129</v>
      </c>
      <c r="S119" s="4" t="s">
        <v>124</v>
      </c>
      <c r="T119" s="4" t="s">
        <v>122</v>
      </c>
      <c r="U119" s="3">
        <v>1</v>
      </c>
      <c r="V119" s="3">
        <v>3</v>
      </c>
      <c r="W119" s="3">
        <v>3</v>
      </c>
      <c r="X119" s="3">
        <v>2</v>
      </c>
      <c r="Y119" s="3">
        <v>2</v>
      </c>
      <c r="Z119" s="3">
        <v>2</v>
      </c>
      <c r="AA119" s="3">
        <v>3</v>
      </c>
      <c r="AB119" s="4" t="s">
        <v>125</v>
      </c>
      <c r="AC119" s="4" t="s">
        <v>125</v>
      </c>
      <c r="AD119" s="4" t="s">
        <v>125</v>
      </c>
      <c r="AE119" s="4" t="s">
        <v>122</v>
      </c>
      <c r="AF119" s="4" t="s">
        <v>122</v>
      </c>
      <c r="AG119" s="3">
        <v>4</v>
      </c>
      <c r="AH119" s="3">
        <v>4.5</v>
      </c>
      <c r="AI119" s="3">
        <v>3</v>
      </c>
      <c r="AJ119" s="3">
        <v>7</v>
      </c>
      <c r="AK119" s="3">
        <v>7</v>
      </c>
      <c r="AL119" s="3">
        <v>8</v>
      </c>
      <c r="AM119" s="3">
        <v>6</v>
      </c>
      <c r="AN119" s="3">
        <v>6</v>
      </c>
      <c r="AO119" s="3">
        <v>2</v>
      </c>
      <c r="AP119" s="3">
        <v>3</v>
      </c>
      <c r="AQ119" s="3" t="s">
        <v>122</v>
      </c>
      <c r="AR119" s="3" t="s">
        <v>122</v>
      </c>
      <c r="AS119" s="3">
        <v>6</v>
      </c>
      <c r="AT119" s="3">
        <v>6</v>
      </c>
      <c r="AU119" s="3">
        <v>6</v>
      </c>
      <c r="AV119" s="3">
        <v>6</v>
      </c>
      <c r="AW119" s="3">
        <v>3</v>
      </c>
      <c r="AX119" s="3">
        <v>2</v>
      </c>
      <c r="AY119" s="3">
        <v>4</v>
      </c>
      <c r="AZ119" s="3" t="s">
        <v>122</v>
      </c>
      <c r="BA119" s="3" t="s">
        <v>122</v>
      </c>
      <c r="BB119" s="3" t="s">
        <v>122</v>
      </c>
      <c r="BC119" s="3" t="s">
        <v>122</v>
      </c>
      <c r="BD119" s="3" t="s">
        <v>122</v>
      </c>
      <c r="BE119" s="3" t="s">
        <v>122</v>
      </c>
      <c r="BF119" s="3" t="s">
        <v>122</v>
      </c>
      <c r="BG119" s="3" t="s">
        <v>122</v>
      </c>
      <c r="BH119" s="3" t="s">
        <v>122</v>
      </c>
      <c r="BI119" s="3" t="s">
        <v>122</v>
      </c>
      <c r="BJ119" s="3" t="s">
        <v>122</v>
      </c>
      <c r="BK119" s="3" t="s">
        <v>122</v>
      </c>
      <c r="BL119" s="3" t="s">
        <v>122</v>
      </c>
      <c r="BM119" s="3" t="s">
        <v>122</v>
      </c>
      <c r="BN119" s="3" t="s">
        <v>122</v>
      </c>
      <c r="BO119" s="3">
        <v>5.5</v>
      </c>
      <c r="BP119" s="3" t="s">
        <v>122</v>
      </c>
      <c r="BQ119" s="3">
        <v>2</v>
      </c>
      <c r="BR119" s="3" t="s">
        <v>122</v>
      </c>
      <c r="BS119" s="3" t="s">
        <v>122</v>
      </c>
      <c r="BT119" s="3" t="s">
        <v>122</v>
      </c>
      <c r="BU119" s="3" t="s">
        <v>122</v>
      </c>
      <c r="BV119" s="3" t="s">
        <v>122</v>
      </c>
      <c r="BW119" s="3" t="s">
        <v>122</v>
      </c>
      <c r="BX119" s="3" t="s">
        <v>122</v>
      </c>
      <c r="BY119" s="3" t="s">
        <v>122</v>
      </c>
      <c r="BZ119" s="3" t="s">
        <v>122</v>
      </c>
      <c r="CA119" s="3">
        <v>1</v>
      </c>
      <c r="CB119" s="3">
        <v>4.5</v>
      </c>
      <c r="CC119" s="3">
        <v>3</v>
      </c>
      <c r="CD119" s="3">
        <v>5</v>
      </c>
      <c r="CE119" s="3">
        <v>3</v>
      </c>
      <c r="CF119" s="3">
        <v>1</v>
      </c>
      <c r="CG119" s="4" t="s">
        <v>122</v>
      </c>
      <c r="CH119" s="3">
        <v>2</v>
      </c>
      <c r="CI119" s="4" t="s">
        <v>122</v>
      </c>
      <c r="CJ119" s="4" t="s">
        <v>122</v>
      </c>
      <c r="CK119" s="4" t="s">
        <v>122</v>
      </c>
      <c r="CL119" s="4" t="s">
        <v>122</v>
      </c>
      <c r="CM119" s="4" t="s">
        <v>122</v>
      </c>
      <c r="CN119" s="4" t="s">
        <v>122</v>
      </c>
      <c r="CO119" s="4" t="s">
        <v>125</v>
      </c>
      <c r="CP119" s="4" t="s">
        <v>122</v>
      </c>
      <c r="CQ119" s="4" t="s">
        <v>122</v>
      </c>
      <c r="CR119" s="4" t="s">
        <v>122</v>
      </c>
      <c r="CS119" s="3">
        <v>3</v>
      </c>
      <c r="CT119" s="3">
        <v>6</v>
      </c>
      <c r="CU119" s="42">
        <v>3</v>
      </c>
      <c r="CV119" cm="1">
        <f t="array" ref="CV119">_xlfn.IFS(CU119*1=2,1,CU119*1=4,1,TRUE,0)</f>
        <v>0</v>
      </c>
      <c r="CW119" cm="1">
        <f t="array" ref="CW119">_xlfn.IFS(CU119*1=1,1,CU119*1=2,1,TRUE,0)</f>
        <v>0</v>
      </c>
      <c r="CX119" s="3">
        <f t="shared" si="18"/>
        <v>4.5</v>
      </c>
      <c r="CY119" s="3">
        <f t="shared" si="11"/>
        <v>5</v>
      </c>
      <c r="CZ119" s="3" t="str" cm="1">
        <f t="array" ref="CZ119">_xlfn.IFS(BP119&lt;&gt;"", BP119, CV119=1,  AQ119, CV119=0,  AZ119)</f>
        <v/>
      </c>
      <c r="DA119" s="36" cm="1">
        <f t="array" ref="DA119">_xlfn.IFS(BO119&lt;&gt;"", BO119, CV119=0,  AQ119, CV119=1,  AZ119)</f>
        <v>5.5</v>
      </c>
      <c r="DB119" s="36">
        <f t="shared" si="12"/>
        <v>0.5</v>
      </c>
      <c r="DC119" s="3">
        <f t="shared" si="13"/>
        <v>0</v>
      </c>
      <c r="DD119" s="3">
        <f t="shared" si="14"/>
        <v>0.5</v>
      </c>
      <c r="DE119" s="60"/>
      <c r="DF119" s="3">
        <f t="shared" si="16"/>
        <v>0</v>
      </c>
      <c r="DG119" s="3">
        <f t="shared" si="17"/>
        <v>1</v>
      </c>
    </row>
    <row r="120" spans="1:111" x14ac:dyDescent="0.4">
      <c r="A120" s="3">
        <v>202503</v>
      </c>
      <c r="B120" s="3">
        <v>222</v>
      </c>
      <c r="C120" s="5">
        <v>45733.57744212963</v>
      </c>
      <c r="D120" s="5">
        <v>45733.58326388889</v>
      </c>
      <c r="E120" s="3">
        <v>0</v>
      </c>
      <c r="F120" s="4" t="s">
        <v>385</v>
      </c>
      <c r="G120" s="3">
        <v>100</v>
      </c>
      <c r="H120" s="3">
        <v>502</v>
      </c>
      <c r="I120" s="3">
        <v>1</v>
      </c>
      <c r="J120" s="5">
        <v>45733.583274062497</v>
      </c>
      <c r="K120" s="4" t="s">
        <v>449</v>
      </c>
      <c r="L120" s="4" t="s">
        <v>122</v>
      </c>
      <c r="M120" s="4" t="s">
        <v>122</v>
      </c>
      <c r="N120" s="4" t="s">
        <v>122</v>
      </c>
      <c r="O120" s="4" t="s">
        <v>122</v>
      </c>
      <c r="P120" s="3">
        <v>32.250300000000003</v>
      </c>
      <c r="Q120" s="3">
        <v>-110.94499999999999</v>
      </c>
      <c r="R120" s="4" t="s">
        <v>129</v>
      </c>
      <c r="S120" s="4" t="s">
        <v>124</v>
      </c>
      <c r="T120" s="4" t="s">
        <v>122</v>
      </c>
      <c r="U120" s="3">
        <v>1</v>
      </c>
      <c r="V120" s="3">
        <v>4</v>
      </c>
      <c r="W120" s="3">
        <v>5</v>
      </c>
      <c r="X120" s="3">
        <v>1</v>
      </c>
      <c r="Y120" s="3">
        <v>1</v>
      </c>
      <c r="Z120" s="3">
        <v>1</v>
      </c>
      <c r="AA120" s="3">
        <v>3</v>
      </c>
      <c r="AB120" s="4" t="s">
        <v>122</v>
      </c>
      <c r="AC120" s="4" t="s">
        <v>122</v>
      </c>
      <c r="AD120" s="4" t="s">
        <v>122</v>
      </c>
      <c r="AE120" s="4" t="s">
        <v>122</v>
      </c>
      <c r="AF120" s="4" t="s">
        <v>122</v>
      </c>
      <c r="AG120" s="3">
        <v>2</v>
      </c>
      <c r="AH120" s="3">
        <v>5</v>
      </c>
      <c r="AI120" s="3">
        <v>1</v>
      </c>
      <c r="AJ120" s="3">
        <v>7</v>
      </c>
      <c r="AK120" s="3">
        <v>8</v>
      </c>
      <c r="AL120" s="3">
        <v>9</v>
      </c>
      <c r="AM120" s="3">
        <v>6</v>
      </c>
      <c r="AN120" s="3">
        <v>4</v>
      </c>
      <c r="AO120" s="3">
        <v>1</v>
      </c>
      <c r="AP120" s="3">
        <v>3</v>
      </c>
      <c r="AQ120" s="3">
        <v>6</v>
      </c>
      <c r="AR120" s="3">
        <v>3</v>
      </c>
      <c r="AS120" s="3">
        <v>4</v>
      </c>
      <c r="AT120" s="3">
        <v>9</v>
      </c>
      <c r="AU120" s="3">
        <v>5</v>
      </c>
      <c r="AV120" s="3">
        <v>3</v>
      </c>
      <c r="AW120" s="3">
        <v>4</v>
      </c>
      <c r="AX120" s="3">
        <v>2</v>
      </c>
      <c r="AY120" s="3">
        <v>2</v>
      </c>
      <c r="AZ120" s="3">
        <v>4.5</v>
      </c>
      <c r="BA120" s="3">
        <v>2</v>
      </c>
      <c r="BB120" s="3">
        <v>5</v>
      </c>
      <c r="BC120" s="3">
        <v>7</v>
      </c>
      <c r="BD120" s="3">
        <v>3</v>
      </c>
      <c r="BE120" s="3" t="s">
        <v>122</v>
      </c>
      <c r="BF120" s="3" t="s">
        <v>122</v>
      </c>
      <c r="BG120" s="3" t="s">
        <v>122</v>
      </c>
      <c r="BH120" s="3" t="s">
        <v>122</v>
      </c>
      <c r="BI120" s="3" t="s">
        <v>122</v>
      </c>
      <c r="BJ120" s="3" t="s">
        <v>122</v>
      </c>
      <c r="BK120" s="3" t="s">
        <v>122</v>
      </c>
      <c r="BL120" s="3" t="s">
        <v>122</v>
      </c>
      <c r="BM120" s="3" t="s">
        <v>122</v>
      </c>
      <c r="BN120" s="3">
        <v>1</v>
      </c>
      <c r="BO120" s="3" t="s">
        <v>122</v>
      </c>
      <c r="BP120" s="3" t="s">
        <v>122</v>
      </c>
      <c r="BQ120" s="3" t="s">
        <v>122</v>
      </c>
      <c r="BR120" s="3" t="s">
        <v>122</v>
      </c>
      <c r="BS120" s="3" t="s">
        <v>122</v>
      </c>
      <c r="BT120" s="3" t="s">
        <v>122</v>
      </c>
      <c r="BU120" s="3" t="s">
        <v>122</v>
      </c>
      <c r="BV120" s="3" t="s">
        <v>122</v>
      </c>
      <c r="BW120" s="3" t="s">
        <v>122</v>
      </c>
      <c r="BX120" s="3" t="s">
        <v>122</v>
      </c>
      <c r="BY120" s="3" t="s">
        <v>122</v>
      </c>
      <c r="BZ120" s="3" t="s">
        <v>122</v>
      </c>
      <c r="CA120" s="3" t="s">
        <v>122</v>
      </c>
      <c r="CB120" s="3" t="s">
        <v>122</v>
      </c>
      <c r="CC120" s="3" t="s">
        <v>122</v>
      </c>
      <c r="CD120" s="3" t="s">
        <v>122</v>
      </c>
      <c r="CE120" s="3" t="s">
        <v>122</v>
      </c>
      <c r="CF120" s="3">
        <v>1</v>
      </c>
      <c r="CG120" s="4" t="s">
        <v>122</v>
      </c>
      <c r="CH120" s="3">
        <v>2</v>
      </c>
      <c r="CI120" s="4" t="s">
        <v>122</v>
      </c>
      <c r="CJ120" s="4" t="s">
        <v>122</v>
      </c>
      <c r="CK120" s="4" t="s">
        <v>122</v>
      </c>
      <c r="CL120" s="4" t="s">
        <v>125</v>
      </c>
      <c r="CM120" s="4" t="s">
        <v>122</v>
      </c>
      <c r="CN120" s="4" t="s">
        <v>122</v>
      </c>
      <c r="CO120" s="4" t="s">
        <v>122</v>
      </c>
      <c r="CP120" s="4" t="s">
        <v>122</v>
      </c>
      <c r="CQ120" s="4" t="s">
        <v>122</v>
      </c>
      <c r="CR120" s="4" t="s">
        <v>122</v>
      </c>
      <c r="CS120" s="3">
        <v>3</v>
      </c>
      <c r="CT120" s="3">
        <v>2</v>
      </c>
      <c r="CU120" s="42">
        <v>2</v>
      </c>
      <c r="CV120" cm="1">
        <f t="array" ref="CV120">_xlfn.IFS(CU120*1=2,1,CU120*1=4,1,TRUE,0)</f>
        <v>1</v>
      </c>
      <c r="CW120" cm="1">
        <f t="array" ref="CW120">_xlfn.IFS(CU120*1=1,1,CU120*1=2,1,TRUE,0)</f>
        <v>1</v>
      </c>
      <c r="CX120" s="3">
        <f t="shared" si="18"/>
        <v>5</v>
      </c>
      <c r="CY120" s="3">
        <f t="shared" si="11"/>
        <v>7</v>
      </c>
      <c r="CZ120" s="3" cm="1">
        <f t="array" ref="CZ120">_xlfn.IFS(BP120&lt;&gt;"", BP120, CV120=1,  AQ120, CV120=0,  AZ120)</f>
        <v>6</v>
      </c>
      <c r="DA120" s="36" cm="1">
        <f t="array" ref="DA120">_xlfn.IFS(BO120&lt;&gt;"", BO120, CV120=0,  AQ120, CV120=1,  AZ120)</f>
        <v>4.5</v>
      </c>
      <c r="DB120" s="36">
        <f t="shared" si="12"/>
        <v>2</v>
      </c>
      <c r="DC120" s="3">
        <f t="shared" si="13"/>
        <v>0</v>
      </c>
      <c r="DD120" s="3">
        <f t="shared" si="14"/>
        <v>1</v>
      </c>
      <c r="DE120" s="3">
        <f t="shared" si="15"/>
        <v>2</v>
      </c>
      <c r="DF120" s="3">
        <f t="shared" si="16"/>
        <v>-0.5</v>
      </c>
      <c r="DG120" s="3">
        <f t="shared" si="17"/>
        <v>0</v>
      </c>
    </row>
    <row r="121" spans="1:111" x14ac:dyDescent="0.4">
      <c r="A121" s="3">
        <v>202503</v>
      </c>
      <c r="B121" s="3">
        <v>222</v>
      </c>
      <c r="C121" s="5">
        <v>45733.594942129632</v>
      </c>
      <c r="D121" s="5">
        <v>45733.599548611113</v>
      </c>
      <c r="E121" s="3">
        <v>0</v>
      </c>
      <c r="F121" s="4" t="s">
        <v>126</v>
      </c>
      <c r="G121" s="3">
        <v>100</v>
      </c>
      <c r="H121" s="3">
        <v>397</v>
      </c>
      <c r="I121" s="3">
        <v>1</v>
      </c>
      <c r="J121" s="5">
        <v>45733.599558981485</v>
      </c>
      <c r="K121" s="4" t="s">
        <v>450</v>
      </c>
      <c r="L121" s="4" t="s">
        <v>122</v>
      </c>
      <c r="M121" s="4" t="s">
        <v>122</v>
      </c>
      <c r="N121" s="4" t="s">
        <v>122</v>
      </c>
      <c r="O121" s="4" t="s">
        <v>122</v>
      </c>
      <c r="P121" s="3">
        <v>32.250300000000003</v>
      </c>
      <c r="Q121" s="3">
        <v>-110.94499999999999</v>
      </c>
      <c r="R121" s="4" t="s">
        <v>129</v>
      </c>
      <c r="S121" s="4" t="s">
        <v>124</v>
      </c>
      <c r="T121" s="4" t="s">
        <v>122</v>
      </c>
      <c r="U121" s="3">
        <v>1</v>
      </c>
      <c r="V121" s="3">
        <v>3</v>
      </c>
      <c r="W121" s="3">
        <v>3</v>
      </c>
      <c r="X121" s="3">
        <v>1</v>
      </c>
      <c r="Y121" s="3">
        <v>1</v>
      </c>
      <c r="Z121" s="3">
        <v>1</v>
      </c>
      <c r="AA121" s="3">
        <v>1</v>
      </c>
      <c r="AB121" s="4" t="s">
        <v>122</v>
      </c>
      <c r="AC121" s="4" t="s">
        <v>122</v>
      </c>
      <c r="AD121" s="4" t="s">
        <v>122</v>
      </c>
      <c r="AE121" s="4" t="s">
        <v>122</v>
      </c>
      <c r="AF121" s="4" t="s">
        <v>122</v>
      </c>
      <c r="AG121" s="3">
        <v>2</v>
      </c>
      <c r="AH121" s="3">
        <v>0</v>
      </c>
      <c r="AI121" s="3" t="s">
        <v>122</v>
      </c>
      <c r="AJ121" s="3">
        <v>6</v>
      </c>
      <c r="AK121" s="3">
        <v>8</v>
      </c>
      <c r="AL121" s="3">
        <v>4</v>
      </c>
      <c r="AM121" s="3">
        <v>6</v>
      </c>
      <c r="AN121" s="3">
        <v>6</v>
      </c>
      <c r="AO121" s="3">
        <v>2</v>
      </c>
      <c r="AP121" s="3">
        <v>3</v>
      </c>
      <c r="AQ121" s="3">
        <v>0</v>
      </c>
      <c r="AR121" s="3" t="s">
        <v>122</v>
      </c>
      <c r="AS121" s="3">
        <v>4</v>
      </c>
      <c r="AT121" s="3">
        <v>7</v>
      </c>
      <c r="AU121" s="3">
        <v>4</v>
      </c>
      <c r="AV121" s="3">
        <v>4</v>
      </c>
      <c r="AW121" s="3">
        <v>6</v>
      </c>
      <c r="AX121" s="3">
        <v>4</v>
      </c>
      <c r="AY121" s="3">
        <v>4</v>
      </c>
      <c r="AZ121" s="3">
        <v>0</v>
      </c>
      <c r="BA121" s="3" t="s">
        <v>122</v>
      </c>
      <c r="BB121" s="3">
        <v>0</v>
      </c>
      <c r="BC121" s="3">
        <v>0</v>
      </c>
      <c r="BD121" s="3">
        <v>2</v>
      </c>
      <c r="BE121" s="3" t="s">
        <v>122</v>
      </c>
      <c r="BF121" s="3" t="s">
        <v>122</v>
      </c>
      <c r="BG121" s="3" t="s">
        <v>122</v>
      </c>
      <c r="BH121" s="3" t="s">
        <v>122</v>
      </c>
      <c r="BI121" s="3" t="s">
        <v>122</v>
      </c>
      <c r="BJ121" s="3" t="s">
        <v>122</v>
      </c>
      <c r="BK121" s="3" t="s">
        <v>122</v>
      </c>
      <c r="BL121" s="3" t="s">
        <v>122</v>
      </c>
      <c r="BM121" s="3" t="s">
        <v>122</v>
      </c>
      <c r="BN121" s="3">
        <v>7</v>
      </c>
      <c r="BO121" s="3" t="s">
        <v>122</v>
      </c>
      <c r="BP121" s="3" t="s">
        <v>122</v>
      </c>
      <c r="BQ121" s="3" t="s">
        <v>122</v>
      </c>
      <c r="BR121" s="3" t="s">
        <v>122</v>
      </c>
      <c r="BS121" s="3" t="s">
        <v>122</v>
      </c>
      <c r="BT121" s="3" t="s">
        <v>122</v>
      </c>
      <c r="BU121" s="3" t="s">
        <v>122</v>
      </c>
      <c r="BV121" s="3" t="s">
        <v>122</v>
      </c>
      <c r="BW121" s="3" t="s">
        <v>122</v>
      </c>
      <c r="BX121" s="3" t="s">
        <v>122</v>
      </c>
      <c r="BY121" s="3" t="s">
        <v>122</v>
      </c>
      <c r="BZ121" s="3" t="s">
        <v>122</v>
      </c>
      <c r="CA121" s="3" t="s">
        <v>122</v>
      </c>
      <c r="CB121" s="3" t="s">
        <v>122</v>
      </c>
      <c r="CC121" s="3" t="s">
        <v>122</v>
      </c>
      <c r="CD121" s="3" t="s">
        <v>122</v>
      </c>
      <c r="CE121" s="3" t="s">
        <v>122</v>
      </c>
      <c r="CF121" s="3">
        <v>2</v>
      </c>
      <c r="CG121" s="4" t="s">
        <v>122</v>
      </c>
      <c r="CH121" s="3">
        <v>2</v>
      </c>
      <c r="CI121" s="4" t="s">
        <v>122</v>
      </c>
      <c r="CJ121" s="4" t="s">
        <v>122</v>
      </c>
      <c r="CK121" s="4" t="s">
        <v>122</v>
      </c>
      <c r="CL121" s="4" t="s">
        <v>122</v>
      </c>
      <c r="CM121" s="4" t="s">
        <v>122</v>
      </c>
      <c r="CN121" s="4" t="s">
        <v>122</v>
      </c>
      <c r="CO121" s="4" t="s">
        <v>125</v>
      </c>
      <c r="CP121" s="4" t="s">
        <v>122</v>
      </c>
      <c r="CQ121" s="4" t="s">
        <v>122</v>
      </c>
      <c r="CR121" s="4" t="s">
        <v>122</v>
      </c>
      <c r="CS121" s="3">
        <v>3</v>
      </c>
      <c r="CT121" s="3">
        <v>1</v>
      </c>
      <c r="CU121" s="42">
        <v>1</v>
      </c>
      <c r="CV121" cm="1">
        <f t="array" ref="CV121">_xlfn.IFS(CU121*1=2,1,CU121*1=4,1,TRUE,0)</f>
        <v>0</v>
      </c>
      <c r="CW121" cm="1">
        <f t="array" ref="CW121">_xlfn.IFS(CU121*1=1,1,CU121*1=2,1,TRUE,0)</f>
        <v>1</v>
      </c>
      <c r="CX121" s="3">
        <f t="shared" si="18"/>
        <v>0</v>
      </c>
      <c r="CY121" s="3">
        <f t="shared" si="11"/>
        <v>0</v>
      </c>
      <c r="CZ121" s="3" cm="1">
        <f t="array" ref="CZ121">_xlfn.IFS(BP121&lt;&gt;"", BP121, CV121=1,  AQ121, CV121=0,  AZ121)</f>
        <v>0</v>
      </c>
      <c r="DA121" s="36" cm="1">
        <f t="array" ref="DA121">_xlfn.IFS(BO121&lt;&gt;"", BO121, CV121=0,  AQ121, CV121=1,  AZ121)</f>
        <v>0</v>
      </c>
      <c r="DB121" s="36">
        <f t="shared" si="12"/>
        <v>0</v>
      </c>
      <c r="DC121" s="3">
        <f t="shared" si="13"/>
        <v>0</v>
      </c>
      <c r="DD121" s="3">
        <f t="shared" si="14"/>
        <v>0</v>
      </c>
      <c r="DE121" s="3">
        <f t="shared" si="15"/>
        <v>0</v>
      </c>
      <c r="DF121" s="3">
        <f t="shared" si="16"/>
        <v>0</v>
      </c>
      <c r="DG121" s="3">
        <f t="shared" si="17"/>
        <v>0</v>
      </c>
    </row>
    <row r="122" spans="1:111" x14ac:dyDescent="0.4">
      <c r="A122" s="3">
        <v>202503</v>
      </c>
      <c r="B122" s="3">
        <v>222</v>
      </c>
      <c r="C122" s="5">
        <v>45733.601979166669</v>
      </c>
      <c r="D122" s="5">
        <v>45733.607569444444</v>
      </c>
      <c r="E122" s="3">
        <v>0</v>
      </c>
      <c r="F122" s="4" t="s">
        <v>451</v>
      </c>
      <c r="G122" s="3">
        <v>100</v>
      </c>
      <c r="H122" s="3">
        <v>483</v>
      </c>
      <c r="I122" s="3">
        <v>1</v>
      </c>
      <c r="J122" s="5">
        <v>45733.607587233797</v>
      </c>
      <c r="K122" s="4" t="s">
        <v>452</v>
      </c>
      <c r="L122" s="4" t="s">
        <v>122</v>
      </c>
      <c r="M122" s="4" t="s">
        <v>122</v>
      </c>
      <c r="N122" s="4" t="s">
        <v>122</v>
      </c>
      <c r="O122" s="4" t="s">
        <v>122</v>
      </c>
      <c r="P122" s="3">
        <v>33.453200000000002</v>
      </c>
      <c r="Q122" s="3">
        <v>-112.0748</v>
      </c>
      <c r="R122" s="4" t="s">
        <v>129</v>
      </c>
      <c r="S122" s="4" t="s">
        <v>124</v>
      </c>
      <c r="T122" s="4" t="s">
        <v>122</v>
      </c>
      <c r="U122" s="3">
        <v>1</v>
      </c>
      <c r="V122" s="3">
        <v>5</v>
      </c>
      <c r="W122" s="3">
        <v>5</v>
      </c>
      <c r="X122" s="3">
        <v>1</v>
      </c>
      <c r="Y122" s="3">
        <v>1</v>
      </c>
      <c r="Z122" s="3">
        <v>1</v>
      </c>
      <c r="AA122" s="3">
        <v>1</v>
      </c>
      <c r="AB122" s="4" t="s">
        <v>122</v>
      </c>
      <c r="AC122" s="4" t="s">
        <v>122</v>
      </c>
      <c r="AD122" s="4" t="s">
        <v>122</v>
      </c>
      <c r="AE122" s="4" t="s">
        <v>122</v>
      </c>
      <c r="AF122" s="4" t="s">
        <v>122</v>
      </c>
      <c r="AG122" s="3">
        <v>2</v>
      </c>
      <c r="AH122" s="3">
        <v>2</v>
      </c>
      <c r="AI122" s="4">
        <v>2</v>
      </c>
      <c r="AJ122" s="3">
        <v>7</v>
      </c>
      <c r="AK122" s="3">
        <v>8</v>
      </c>
      <c r="AL122" s="3">
        <v>8</v>
      </c>
      <c r="AM122" s="3">
        <v>6</v>
      </c>
      <c r="AN122" s="3">
        <v>7</v>
      </c>
      <c r="AO122" s="3">
        <v>3</v>
      </c>
      <c r="AP122" s="3">
        <v>2</v>
      </c>
      <c r="AQ122" s="4">
        <v>2</v>
      </c>
      <c r="AR122" s="4">
        <v>2</v>
      </c>
      <c r="AS122" s="3">
        <v>8</v>
      </c>
      <c r="AT122" s="3">
        <v>7</v>
      </c>
      <c r="AU122" s="3">
        <v>5</v>
      </c>
      <c r="AV122" s="3">
        <v>8</v>
      </c>
      <c r="AW122" s="3">
        <v>9</v>
      </c>
      <c r="AX122" s="3">
        <v>3</v>
      </c>
      <c r="AY122" s="3">
        <v>3</v>
      </c>
      <c r="AZ122" s="4">
        <v>2</v>
      </c>
      <c r="BA122" s="4">
        <v>2</v>
      </c>
      <c r="BB122" s="3">
        <v>5</v>
      </c>
      <c r="BC122" s="3">
        <v>2</v>
      </c>
      <c r="BD122" s="3">
        <v>2</v>
      </c>
      <c r="BE122" s="3" t="s">
        <v>122</v>
      </c>
      <c r="BF122" s="3" t="s">
        <v>122</v>
      </c>
      <c r="BG122" s="3" t="s">
        <v>122</v>
      </c>
      <c r="BH122" s="3" t="s">
        <v>122</v>
      </c>
      <c r="BI122" s="3" t="s">
        <v>122</v>
      </c>
      <c r="BJ122" s="3" t="s">
        <v>122</v>
      </c>
      <c r="BK122" s="3" t="s">
        <v>122</v>
      </c>
      <c r="BL122" s="3" t="s">
        <v>122</v>
      </c>
      <c r="BM122" s="3" t="s">
        <v>122</v>
      </c>
      <c r="BN122" s="3">
        <v>1</v>
      </c>
      <c r="BO122" s="3" t="s">
        <v>122</v>
      </c>
      <c r="BP122" s="3" t="s">
        <v>122</v>
      </c>
      <c r="BQ122" s="3" t="s">
        <v>122</v>
      </c>
      <c r="BR122" s="3" t="s">
        <v>122</v>
      </c>
      <c r="BS122" s="3" t="s">
        <v>122</v>
      </c>
      <c r="BT122" s="3" t="s">
        <v>122</v>
      </c>
      <c r="BU122" s="3" t="s">
        <v>122</v>
      </c>
      <c r="BV122" s="3" t="s">
        <v>122</v>
      </c>
      <c r="BW122" s="3" t="s">
        <v>122</v>
      </c>
      <c r="BX122" s="3" t="s">
        <v>122</v>
      </c>
      <c r="BY122" s="3" t="s">
        <v>122</v>
      </c>
      <c r="BZ122" s="3" t="s">
        <v>122</v>
      </c>
      <c r="CA122" s="3" t="s">
        <v>122</v>
      </c>
      <c r="CB122" s="3" t="s">
        <v>122</v>
      </c>
      <c r="CC122" s="3" t="s">
        <v>122</v>
      </c>
      <c r="CD122" s="3" t="s">
        <v>122</v>
      </c>
      <c r="CE122" s="3" t="s">
        <v>122</v>
      </c>
      <c r="CF122" s="3">
        <v>1</v>
      </c>
      <c r="CG122" s="4" t="s">
        <v>122</v>
      </c>
      <c r="CH122" s="3">
        <v>2</v>
      </c>
      <c r="CI122" s="4" t="s">
        <v>122</v>
      </c>
      <c r="CJ122" s="4" t="s">
        <v>122</v>
      </c>
      <c r="CK122" s="4" t="s">
        <v>122</v>
      </c>
      <c r="CL122" s="4" t="s">
        <v>122</v>
      </c>
      <c r="CM122" s="4" t="s">
        <v>125</v>
      </c>
      <c r="CN122" s="4" t="s">
        <v>122</v>
      </c>
      <c r="CO122" s="4" t="s">
        <v>125</v>
      </c>
      <c r="CP122" s="4" t="s">
        <v>122</v>
      </c>
      <c r="CQ122" s="4" t="s">
        <v>122</v>
      </c>
      <c r="CR122" s="4" t="s">
        <v>122</v>
      </c>
      <c r="CS122" s="3">
        <v>3</v>
      </c>
      <c r="CT122" s="3">
        <v>2</v>
      </c>
      <c r="CU122" s="42">
        <v>2</v>
      </c>
      <c r="CV122" cm="1">
        <f t="array" ref="CV122">_xlfn.IFS(CU122*1=2,1,CU122*1=4,1,TRUE,0)</f>
        <v>1</v>
      </c>
      <c r="CW122" cm="1">
        <f t="array" ref="CW122">_xlfn.IFS(CU122*1=1,1,CU122*1=2,1,TRUE,0)</f>
        <v>1</v>
      </c>
      <c r="CX122" s="3">
        <f t="shared" si="18"/>
        <v>5</v>
      </c>
      <c r="CY122" s="3">
        <f t="shared" si="11"/>
        <v>2</v>
      </c>
      <c r="CZ122" s="3" cm="1">
        <f t="array" ref="CZ122">_xlfn.IFS(BP122&lt;&gt;"", BP122, CV122=1,  AQ122, CV122=0,  AZ122)</f>
        <v>2</v>
      </c>
      <c r="DA122" s="36" cm="1">
        <f t="array" ref="DA122">_xlfn.IFS(BO122&lt;&gt;"", BO122, CV122=0,  AQ122, CV122=1,  AZ122)</f>
        <v>2</v>
      </c>
      <c r="DB122" s="36">
        <f t="shared" si="12"/>
        <v>0</v>
      </c>
      <c r="DC122" s="3">
        <f t="shared" si="13"/>
        <v>3</v>
      </c>
      <c r="DD122" s="3">
        <f t="shared" si="14"/>
        <v>0</v>
      </c>
      <c r="DE122" s="3">
        <f t="shared" si="15"/>
        <v>0</v>
      </c>
      <c r="DF122" s="3">
        <f t="shared" si="16"/>
        <v>0</v>
      </c>
      <c r="DG122" s="3">
        <f t="shared" si="17"/>
        <v>3</v>
      </c>
    </row>
    <row r="123" spans="1:111" x14ac:dyDescent="0.4">
      <c r="A123" s="3">
        <v>202503</v>
      </c>
      <c r="B123" s="3">
        <v>222</v>
      </c>
      <c r="C123" s="5">
        <v>45733.607592592591</v>
      </c>
      <c r="D123" s="5">
        <v>45733.612233796295</v>
      </c>
      <c r="E123" s="3">
        <v>0</v>
      </c>
      <c r="F123" s="4" t="s">
        <v>453</v>
      </c>
      <c r="G123" s="3">
        <v>100</v>
      </c>
      <c r="H123" s="3">
        <v>401</v>
      </c>
      <c r="I123" s="3">
        <v>1</v>
      </c>
      <c r="J123" s="5">
        <v>45733.612279050925</v>
      </c>
      <c r="K123" s="4" t="s">
        <v>454</v>
      </c>
      <c r="L123" s="4" t="s">
        <v>122</v>
      </c>
      <c r="M123" s="4" t="s">
        <v>122</v>
      </c>
      <c r="N123" s="4" t="s">
        <v>122</v>
      </c>
      <c r="O123" s="4" t="s">
        <v>122</v>
      </c>
      <c r="P123" s="3">
        <v>32.2699</v>
      </c>
      <c r="Q123" s="3">
        <v>-110.9853</v>
      </c>
      <c r="R123" s="4" t="s">
        <v>129</v>
      </c>
      <c r="S123" s="4" t="s">
        <v>124</v>
      </c>
      <c r="T123" s="4" t="s">
        <v>122</v>
      </c>
      <c r="U123" s="3">
        <v>0</v>
      </c>
      <c r="V123" s="3">
        <v>3</v>
      </c>
      <c r="W123" s="3">
        <v>4</v>
      </c>
      <c r="X123" s="3">
        <v>1</v>
      </c>
      <c r="Y123" s="3">
        <v>1</v>
      </c>
      <c r="Z123" s="3">
        <v>1</v>
      </c>
      <c r="AA123" s="3">
        <v>1</v>
      </c>
      <c r="AB123" s="4" t="s">
        <v>122</v>
      </c>
      <c r="AC123" s="4" t="s">
        <v>122</v>
      </c>
      <c r="AD123" s="4" t="s">
        <v>122</v>
      </c>
      <c r="AE123" s="4" t="s">
        <v>122</v>
      </c>
      <c r="AF123" s="4" t="s">
        <v>122</v>
      </c>
      <c r="AG123" s="3">
        <v>2</v>
      </c>
      <c r="AH123" s="3">
        <v>2</v>
      </c>
      <c r="AI123" s="3">
        <v>3</v>
      </c>
      <c r="AJ123" s="3">
        <v>7</v>
      </c>
      <c r="AK123" s="3">
        <v>7</v>
      </c>
      <c r="AL123" s="3">
        <v>6</v>
      </c>
      <c r="AM123" s="3">
        <v>6</v>
      </c>
      <c r="AN123" s="3">
        <v>8</v>
      </c>
      <c r="AO123" s="3">
        <v>2</v>
      </c>
      <c r="AP123" s="3">
        <v>3</v>
      </c>
      <c r="AQ123" s="3">
        <v>4</v>
      </c>
      <c r="AR123" s="3">
        <v>3</v>
      </c>
      <c r="AS123" s="3">
        <v>2</v>
      </c>
      <c r="AT123" s="3">
        <v>6</v>
      </c>
      <c r="AU123" s="3">
        <v>1</v>
      </c>
      <c r="AV123" s="3">
        <v>2</v>
      </c>
      <c r="AW123" s="3">
        <v>6</v>
      </c>
      <c r="AX123" s="3">
        <v>1</v>
      </c>
      <c r="AY123" s="3">
        <v>3</v>
      </c>
      <c r="AZ123" s="3">
        <v>4</v>
      </c>
      <c r="BA123" s="3">
        <v>3</v>
      </c>
      <c r="BB123" s="3">
        <v>2</v>
      </c>
      <c r="BC123" s="3">
        <v>2</v>
      </c>
      <c r="BD123" s="3">
        <v>3</v>
      </c>
      <c r="BE123" s="3" t="s">
        <v>122</v>
      </c>
      <c r="BF123" s="3" t="s">
        <v>122</v>
      </c>
      <c r="BG123" s="3" t="s">
        <v>122</v>
      </c>
      <c r="BH123" s="3" t="s">
        <v>122</v>
      </c>
      <c r="BI123" s="3" t="s">
        <v>122</v>
      </c>
      <c r="BJ123" s="3" t="s">
        <v>122</v>
      </c>
      <c r="BK123" s="3" t="s">
        <v>122</v>
      </c>
      <c r="BL123" s="3" t="s">
        <v>122</v>
      </c>
      <c r="BM123" s="3" t="s">
        <v>122</v>
      </c>
      <c r="BN123" s="3">
        <v>1</v>
      </c>
      <c r="BO123" s="3" t="s">
        <v>122</v>
      </c>
      <c r="BP123" s="3" t="s">
        <v>122</v>
      </c>
      <c r="BQ123" s="3" t="s">
        <v>122</v>
      </c>
      <c r="BR123" s="3" t="s">
        <v>122</v>
      </c>
      <c r="BS123" s="3" t="s">
        <v>122</v>
      </c>
      <c r="BT123" s="3" t="s">
        <v>122</v>
      </c>
      <c r="BU123" s="3" t="s">
        <v>122</v>
      </c>
      <c r="BV123" s="3" t="s">
        <v>122</v>
      </c>
      <c r="BW123" s="3" t="s">
        <v>122</v>
      </c>
      <c r="BX123" s="3" t="s">
        <v>122</v>
      </c>
      <c r="BY123" s="3" t="s">
        <v>122</v>
      </c>
      <c r="BZ123" s="3" t="s">
        <v>122</v>
      </c>
      <c r="CA123" s="3" t="s">
        <v>122</v>
      </c>
      <c r="CB123" s="3" t="s">
        <v>122</v>
      </c>
      <c r="CC123" s="3" t="s">
        <v>122</v>
      </c>
      <c r="CD123" s="3" t="s">
        <v>122</v>
      </c>
      <c r="CE123" s="3" t="s">
        <v>122</v>
      </c>
      <c r="CF123" s="3">
        <v>1</v>
      </c>
      <c r="CG123" s="4" t="s">
        <v>122</v>
      </c>
      <c r="CH123" s="3">
        <v>2</v>
      </c>
      <c r="CI123" s="4" t="s">
        <v>122</v>
      </c>
      <c r="CJ123" s="4" t="s">
        <v>122</v>
      </c>
      <c r="CK123" s="4" t="s">
        <v>122</v>
      </c>
      <c r="CL123" s="4" t="s">
        <v>122</v>
      </c>
      <c r="CM123" s="4" t="s">
        <v>122</v>
      </c>
      <c r="CN123" s="4" t="s">
        <v>122</v>
      </c>
      <c r="CO123" s="4" t="s">
        <v>125</v>
      </c>
      <c r="CP123" s="4" t="s">
        <v>122</v>
      </c>
      <c r="CQ123" s="4" t="s">
        <v>122</v>
      </c>
      <c r="CR123" s="4" t="s">
        <v>122</v>
      </c>
      <c r="CS123" s="3">
        <v>4</v>
      </c>
      <c r="CT123" s="3">
        <v>6</v>
      </c>
      <c r="CU123" s="42">
        <v>2</v>
      </c>
      <c r="CV123" cm="1">
        <f t="array" ref="CV123">_xlfn.IFS(CU123*1=2,1,CU123*1=4,1,TRUE,0)</f>
        <v>1</v>
      </c>
      <c r="CW123" cm="1">
        <f t="array" ref="CW123">_xlfn.IFS(CU123*1=1,1,CU123*1=2,1,TRUE,0)</f>
        <v>1</v>
      </c>
      <c r="CX123" s="3">
        <f t="shared" si="18"/>
        <v>2</v>
      </c>
      <c r="CY123" s="3">
        <f t="shared" si="11"/>
        <v>2</v>
      </c>
      <c r="CZ123" s="3" cm="1">
        <f t="array" ref="CZ123">_xlfn.IFS(BP123&lt;&gt;"", BP123, CV123=1,  AQ123, CV123=0,  AZ123)</f>
        <v>4</v>
      </c>
      <c r="DA123" s="36" cm="1">
        <f t="array" ref="DA123">_xlfn.IFS(BO123&lt;&gt;"", BO123, CV123=0,  AQ123, CV123=1,  AZ123)</f>
        <v>4</v>
      </c>
      <c r="DB123" s="36">
        <f t="shared" si="12"/>
        <v>0</v>
      </c>
      <c r="DC123" s="3">
        <f t="shared" si="13"/>
        <v>0</v>
      </c>
      <c r="DD123" s="3">
        <f t="shared" si="14"/>
        <v>2</v>
      </c>
      <c r="DE123" s="3">
        <f t="shared" si="15"/>
        <v>0</v>
      </c>
      <c r="DF123" s="3">
        <f t="shared" si="16"/>
        <v>2</v>
      </c>
      <c r="DG123" s="3">
        <f t="shared" si="17"/>
        <v>0</v>
      </c>
    </row>
    <row r="124" spans="1:111" x14ac:dyDescent="0.4">
      <c r="A124" s="3">
        <v>202503</v>
      </c>
      <c r="B124" s="3">
        <v>222</v>
      </c>
      <c r="C124" s="5">
        <v>45733.607592592591</v>
      </c>
      <c r="D124" s="5">
        <v>45733.615358796298</v>
      </c>
      <c r="E124" s="3">
        <v>0</v>
      </c>
      <c r="F124" s="4" t="s">
        <v>455</v>
      </c>
      <c r="G124" s="3">
        <v>100</v>
      </c>
      <c r="H124" s="3">
        <v>671</v>
      </c>
      <c r="I124" s="3">
        <v>1</v>
      </c>
      <c r="J124" s="5">
        <v>45733.615380138886</v>
      </c>
      <c r="K124" s="4" t="s">
        <v>456</v>
      </c>
      <c r="L124" s="4" t="s">
        <v>122</v>
      </c>
      <c r="M124" s="4" t="s">
        <v>122</v>
      </c>
      <c r="N124" s="4" t="s">
        <v>122</v>
      </c>
      <c r="O124" s="4" t="s">
        <v>122</v>
      </c>
      <c r="P124" s="3">
        <v>36.086100000000002</v>
      </c>
      <c r="Q124" s="3">
        <v>-115.25409999999999</v>
      </c>
      <c r="R124" s="4" t="s">
        <v>129</v>
      </c>
      <c r="S124" s="4" t="s">
        <v>124</v>
      </c>
      <c r="T124" s="4" t="s">
        <v>122</v>
      </c>
      <c r="U124" s="3">
        <v>1</v>
      </c>
      <c r="V124" s="3">
        <v>2</v>
      </c>
      <c r="W124" s="3">
        <v>2</v>
      </c>
      <c r="X124" s="3">
        <v>1</v>
      </c>
      <c r="Y124" s="3">
        <v>1</v>
      </c>
      <c r="Z124" s="3">
        <v>2</v>
      </c>
      <c r="AA124" s="3">
        <v>1</v>
      </c>
      <c r="AB124" s="4" t="s">
        <v>122</v>
      </c>
      <c r="AC124" s="4" t="s">
        <v>122</v>
      </c>
      <c r="AD124" s="4" t="s">
        <v>122</v>
      </c>
      <c r="AE124" s="4" t="s">
        <v>122</v>
      </c>
      <c r="AF124" s="4" t="s">
        <v>122</v>
      </c>
      <c r="AG124" s="3">
        <v>2</v>
      </c>
      <c r="AH124" s="3">
        <v>5</v>
      </c>
      <c r="AI124" s="3">
        <v>3</v>
      </c>
      <c r="AJ124" s="3">
        <v>4</v>
      </c>
      <c r="AK124" s="3">
        <v>6</v>
      </c>
      <c r="AL124" s="3">
        <v>5</v>
      </c>
      <c r="AM124" s="3">
        <v>4</v>
      </c>
      <c r="AN124" s="3">
        <v>8</v>
      </c>
      <c r="AO124" s="3">
        <v>2</v>
      </c>
      <c r="AP124" s="3">
        <v>4</v>
      </c>
      <c r="AQ124" s="4">
        <v>4</v>
      </c>
      <c r="AR124" s="4">
        <v>3</v>
      </c>
      <c r="AS124" s="3">
        <v>7</v>
      </c>
      <c r="AT124" s="3">
        <v>8</v>
      </c>
      <c r="AU124" s="3">
        <v>6</v>
      </c>
      <c r="AV124" s="3">
        <v>7</v>
      </c>
      <c r="AW124" s="3">
        <v>8</v>
      </c>
      <c r="AX124" s="3">
        <v>1</v>
      </c>
      <c r="AY124" s="3">
        <v>3</v>
      </c>
      <c r="AZ124" s="4">
        <v>5.5</v>
      </c>
      <c r="BA124" s="4">
        <v>3</v>
      </c>
      <c r="BB124" s="3">
        <v>7</v>
      </c>
      <c r="BC124" s="3">
        <v>5</v>
      </c>
      <c r="BD124" s="3">
        <v>3</v>
      </c>
      <c r="BE124" s="3" t="s">
        <v>122</v>
      </c>
      <c r="BF124" s="3" t="s">
        <v>122</v>
      </c>
      <c r="BG124" s="3" t="s">
        <v>122</v>
      </c>
      <c r="BH124" s="3" t="s">
        <v>122</v>
      </c>
      <c r="BI124" s="3" t="s">
        <v>122</v>
      </c>
      <c r="BJ124" s="3" t="s">
        <v>122</v>
      </c>
      <c r="BK124" s="3" t="s">
        <v>122</v>
      </c>
      <c r="BL124" s="3" t="s">
        <v>122</v>
      </c>
      <c r="BM124" s="3" t="s">
        <v>122</v>
      </c>
      <c r="BN124" s="3">
        <v>2</v>
      </c>
      <c r="BO124" s="3" t="s">
        <v>122</v>
      </c>
      <c r="BP124" s="3" t="s">
        <v>122</v>
      </c>
      <c r="BQ124" s="3" t="s">
        <v>122</v>
      </c>
      <c r="BR124" s="3" t="s">
        <v>122</v>
      </c>
      <c r="BS124" s="3" t="s">
        <v>122</v>
      </c>
      <c r="BT124" s="3" t="s">
        <v>122</v>
      </c>
      <c r="BU124" s="3" t="s">
        <v>122</v>
      </c>
      <c r="BV124" s="3" t="s">
        <v>122</v>
      </c>
      <c r="BW124" s="3" t="s">
        <v>122</v>
      </c>
      <c r="BX124" s="3" t="s">
        <v>122</v>
      </c>
      <c r="BY124" s="3" t="s">
        <v>122</v>
      </c>
      <c r="BZ124" s="3" t="s">
        <v>122</v>
      </c>
      <c r="CA124" s="3" t="s">
        <v>122</v>
      </c>
      <c r="CB124" s="3" t="s">
        <v>122</v>
      </c>
      <c r="CC124" s="3" t="s">
        <v>122</v>
      </c>
      <c r="CD124" s="3" t="s">
        <v>122</v>
      </c>
      <c r="CE124" s="3" t="s">
        <v>122</v>
      </c>
      <c r="CF124" s="3">
        <v>2</v>
      </c>
      <c r="CG124" s="4" t="s">
        <v>122</v>
      </c>
      <c r="CH124" s="3">
        <v>2</v>
      </c>
      <c r="CI124" s="4" t="s">
        <v>122</v>
      </c>
      <c r="CJ124" s="4" t="s">
        <v>122</v>
      </c>
      <c r="CK124" s="4" t="s">
        <v>122</v>
      </c>
      <c r="CL124" s="4" t="s">
        <v>122</v>
      </c>
      <c r="CM124" s="4" t="s">
        <v>122</v>
      </c>
      <c r="CN124" s="4" t="s">
        <v>122</v>
      </c>
      <c r="CO124" s="4" t="s">
        <v>125</v>
      </c>
      <c r="CP124" s="4" t="s">
        <v>122</v>
      </c>
      <c r="CQ124" s="4" t="s">
        <v>122</v>
      </c>
      <c r="CR124" s="4" t="s">
        <v>122</v>
      </c>
      <c r="CS124" s="3">
        <v>4</v>
      </c>
      <c r="CT124" s="3">
        <v>5</v>
      </c>
      <c r="CU124" s="42">
        <v>2</v>
      </c>
      <c r="CV124" cm="1">
        <f t="array" ref="CV124">_xlfn.IFS(CU124*1=2,1,CU124*1=4,1,TRUE,0)</f>
        <v>1</v>
      </c>
      <c r="CW124" cm="1">
        <f t="array" ref="CW124">_xlfn.IFS(CU124*1=1,1,CU124*1=2,1,TRUE,0)</f>
        <v>1</v>
      </c>
      <c r="CX124" s="3">
        <f t="shared" si="18"/>
        <v>7</v>
      </c>
      <c r="CY124" s="3">
        <f t="shared" si="11"/>
        <v>5</v>
      </c>
      <c r="CZ124" s="3" cm="1">
        <f t="array" ref="CZ124">_xlfn.IFS(BP124&lt;&gt;"", BP124, CV124=1,  AQ124, CV124=0,  AZ124)</f>
        <v>4</v>
      </c>
      <c r="DA124" s="36" cm="1">
        <f t="array" ref="DA124">_xlfn.IFS(BO124&lt;&gt;"", BO124, CV124=0,  AQ124, CV124=1,  AZ124)</f>
        <v>5.5</v>
      </c>
      <c r="DB124" s="36">
        <f t="shared" si="12"/>
        <v>0</v>
      </c>
      <c r="DC124" s="3">
        <f t="shared" si="13"/>
        <v>2</v>
      </c>
      <c r="DD124" s="3">
        <f t="shared" si="14"/>
        <v>-1</v>
      </c>
      <c r="DE124" s="3">
        <f t="shared" si="15"/>
        <v>0</v>
      </c>
      <c r="DF124" s="3">
        <f t="shared" si="16"/>
        <v>0.5</v>
      </c>
      <c r="DG124" s="3">
        <f t="shared" si="17"/>
        <v>2</v>
      </c>
    </row>
    <row r="125" spans="1:111" x14ac:dyDescent="0.4">
      <c r="A125" s="3">
        <v>202503</v>
      </c>
      <c r="B125" s="3">
        <v>222</v>
      </c>
      <c r="C125" s="5">
        <v>45733.609027777777</v>
      </c>
      <c r="D125" s="5">
        <v>45733.615879629629</v>
      </c>
      <c r="E125" s="3">
        <v>0</v>
      </c>
      <c r="F125" s="4" t="s">
        <v>457</v>
      </c>
      <c r="G125" s="3">
        <v>100</v>
      </c>
      <c r="H125" s="3">
        <v>592</v>
      </c>
      <c r="I125" s="3">
        <v>1</v>
      </c>
      <c r="J125" s="5">
        <v>45733.615895567127</v>
      </c>
      <c r="K125" s="4" t="s">
        <v>458</v>
      </c>
      <c r="L125" s="4" t="s">
        <v>122</v>
      </c>
      <c r="M125" s="4" t="s">
        <v>122</v>
      </c>
      <c r="N125" s="4" t="s">
        <v>122</v>
      </c>
      <c r="O125" s="4" t="s">
        <v>122</v>
      </c>
      <c r="P125" s="3">
        <v>32.250300000000003</v>
      </c>
      <c r="Q125" s="3">
        <v>-110.94499999999999</v>
      </c>
      <c r="R125" s="4" t="s">
        <v>129</v>
      </c>
      <c r="S125" s="4" t="s">
        <v>124</v>
      </c>
      <c r="T125" s="4" t="s">
        <v>122</v>
      </c>
      <c r="U125" s="3">
        <v>1</v>
      </c>
      <c r="V125" s="3">
        <v>3</v>
      </c>
      <c r="W125" s="3">
        <v>3</v>
      </c>
      <c r="X125" s="3">
        <v>1</v>
      </c>
      <c r="Y125" s="3">
        <v>1</v>
      </c>
      <c r="Z125" s="3">
        <v>1</v>
      </c>
      <c r="AA125" s="3">
        <v>1</v>
      </c>
      <c r="AB125" s="4" t="s">
        <v>122</v>
      </c>
      <c r="AC125" s="4" t="s">
        <v>122</v>
      </c>
      <c r="AD125" s="4" t="s">
        <v>122</v>
      </c>
      <c r="AE125" s="4" t="s">
        <v>122</v>
      </c>
      <c r="AF125" s="4" t="s">
        <v>122</v>
      </c>
      <c r="AG125" s="3">
        <v>4</v>
      </c>
      <c r="AH125" s="3">
        <v>0</v>
      </c>
      <c r="AI125" s="3" t="s">
        <v>122</v>
      </c>
      <c r="AJ125" s="3">
        <v>7</v>
      </c>
      <c r="AK125" s="3">
        <v>8</v>
      </c>
      <c r="AL125" s="3">
        <v>8</v>
      </c>
      <c r="AM125" s="3">
        <v>6</v>
      </c>
      <c r="AN125" s="3">
        <v>6</v>
      </c>
      <c r="AO125" s="3">
        <v>4</v>
      </c>
      <c r="AP125" s="3">
        <v>4</v>
      </c>
      <c r="AQ125" s="4" t="s">
        <v>122</v>
      </c>
      <c r="AR125" s="4" t="s">
        <v>122</v>
      </c>
      <c r="AS125" s="3">
        <v>6</v>
      </c>
      <c r="AT125" s="3">
        <v>6</v>
      </c>
      <c r="AU125" s="3">
        <v>5</v>
      </c>
      <c r="AV125" s="3">
        <v>4</v>
      </c>
      <c r="AW125" s="3">
        <v>4</v>
      </c>
      <c r="AX125" s="3">
        <v>2</v>
      </c>
      <c r="AY125" s="3">
        <v>2</v>
      </c>
      <c r="AZ125" s="4" t="s">
        <v>122</v>
      </c>
      <c r="BA125" s="4" t="s">
        <v>122</v>
      </c>
      <c r="BB125" s="3" t="s">
        <v>122</v>
      </c>
      <c r="BC125" s="3" t="s">
        <v>122</v>
      </c>
      <c r="BD125" s="3" t="s">
        <v>122</v>
      </c>
      <c r="BE125" s="3" t="s">
        <v>122</v>
      </c>
      <c r="BF125" s="3" t="s">
        <v>122</v>
      </c>
      <c r="BG125" s="3" t="s">
        <v>122</v>
      </c>
      <c r="BH125" s="3" t="s">
        <v>122</v>
      </c>
      <c r="BI125" s="3" t="s">
        <v>122</v>
      </c>
      <c r="BJ125" s="3" t="s">
        <v>122</v>
      </c>
      <c r="BK125" s="3" t="s">
        <v>122</v>
      </c>
      <c r="BL125" s="3" t="s">
        <v>122</v>
      </c>
      <c r="BM125" s="3" t="s">
        <v>122</v>
      </c>
      <c r="BN125" s="3" t="s">
        <v>122</v>
      </c>
      <c r="BO125" s="3">
        <v>0</v>
      </c>
      <c r="BP125" s="3">
        <v>0</v>
      </c>
      <c r="BQ125" s="3">
        <v>3</v>
      </c>
      <c r="BR125" s="3" t="s">
        <v>122</v>
      </c>
      <c r="BS125" s="3" t="s">
        <v>122</v>
      </c>
      <c r="BT125" s="3" t="s">
        <v>122</v>
      </c>
      <c r="BU125" s="3" t="s">
        <v>122</v>
      </c>
      <c r="BV125" s="3" t="s">
        <v>122</v>
      </c>
      <c r="BW125" s="3" t="s">
        <v>122</v>
      </c>
      <c r="BX125" s="3" t="s">
        <v>122</v>
      </c>
      <c r="BY125" s="3" t="s">
        <v>122</v>
      </c>
      <c r="BZ125" s="3" t="s">
        <v>122</v>
      </c>
      <c r="CA125" s="3">
        <v>8</v>
      </c>
      <c r="CB125" s="3">
        <v>0</v>
      </c>
      <c r="CC125" s="3" t="s">
        <v>122</v>
      </c>
      <c r="CD125" s="3">
        <v>0</v>
      </c>
      <c r="CE125" s="3" t="s">
        <v>122</v>
      </c>
      <c r="CF125" s="3">
        <v>-999</v>
      </c>
      <c r="CG125" s="4" t="s">
        <v>122</v>
      </c>
      <c r="CH125" s="3">
        <v>3</v>
      </c>
      <c r="CI125" s="4" t="s">
        <v>122</v>
      </c>
      <c r="CJ125" s="4" t="s">
        <v>122</v>
      </c>
      <c r="CK125" s="4" t="s">
        <v>122</v>
      </c>
      <c r="CL125" s="4" t="s">
        <v>122</v>
      </c>
      <c r="CM125" s="4" t="s">
        <v>122</v>
      </c>
      <c r="CN125" s="4" t="s">
        <v>122</v>
      </c>
      <c r="CO125" s="4" t="s">
        <v>122</v>
      </c>
      <c r="CP125" s="4" t="s">
        <v>122</v>
      </c>
      <c r="CQ125" s="4" t="s">
        <v>125</v>
      </c>
      <c r="CR125" s="4" t="s">
        <v>122</v>
      </c>
      <c r="CS125" s="3">
        <v>4</v>
      </c>
      <c r="CT125" s="3">
        <v>4</v>
      </c>
      <c r="CU125" s="42">
        <v>4</v>
      </c>
      <c r="CV125" cm="1">
        <f t="array" ref="CV125">_xlfn.IFS(CU125*1=2,1,CU125*1=4,1,TRUE,0)</f>
        <v>1</v>
      </c>
      <c r="CW125" cm="1">
        <f t="array" ref="CW125">_xlfn.IFS(CU125*1=1,1,CU125*1=2,1,TRUE,0)</f>
        <v>0</v>
      </c>
      <c r="CX125" s="3">
        <f t="shared" si="18"/>
        <v>0</v>
      </c>
      <c r="CY125" s="3">
        <f t="shared" si="11"/>
        <v>0</v>
      </c>
      <c r="CZ125" s="3" cm="1">
        <f t="array" ref="CZ125">_xlfn.IFS(BP125&lt;&gt;"", BP125, CV125=1,  AQ125, CV125=0,  AZ125)</f>
        <v>0</v>
      </c>
      <c r="DA125" s="36" cm="1">
        <f t="array" ref="DA125">_xlfn.IFS(BO125&lt;&gt;"", BO125, CV125=0,  AQ125, CV125=1,  AZ125)</f>
        <v>0</v>
      </c>
      <c r="DB125" s="36">
        <f t="shared" si="12"/>
        <v>0</v>
      </c>
      <c r="DC125" s="3">
        <f t="shared" si="13"/>
        <v>0</v>
      </c>
      <c r="DD125" s="3">
        <f t="shared" si="14"/>
        <v>0</v>
      </c>
      <c r="DE125" s="3">
        <f t="shared" si="15"/>
        <v>0</v>
      </c>
      <c r="DF125" s="3">
        <f t="shared" si="16"/>
        <v>0</v>
      </c>
      <c r="DG125" s="3">
        <f t="shared" si="17"/>
        <v>0</v>
      </c>
    </row>
    <row r="126" spans="1:111" x14ac:dyDescent="0.4">
      <c r="A126" s="3">
        <v>202503</v>
      </c>
      <c r="B126" s="3">
        <v>222</v>
      </c>
      <c r="C126" s="5">
        <v>45733.609398148146</v>
      </c>
      <c r="D126" s="5">
        <v>45733.618888888886</v>
      </c>
      <c r="E126" s="3">
        <v>0</v>
      </c>
      <c r="F126" s="4" t="s">
        <v>263</v>
      </c>
      <c r="G126" s="3">
        <v>100</v>
      </c>
      <c r="H126" s="3">
        <v>819</v>
      </c>
      <c r="I126" s="3">
        <v>1</v>
      </c>
      <c r="J126" s="5">
        <v>45733.618903437498</v>
      </c>
      <c r="K126" s="4" t="s">
        <v>461</v>
      </c>
      <c r="L126" s="4" t="s">
        <v>122</v>
      </c>
      <c r="M126" s="4" t="s">
        <v>122</v>
      </c>
      <c r="N126" s="4" t="s">
        <v>122</v>
      </c>
      <c r="O126" s="4" t="s">
        <v>122</v>
      </c>
      <c r="P126" s="3">
        <v>32.250300000000003</v>
      </c>
      <c r="Q126" s="3">
        <v>-110.94499999999999</v>
      </c>
      <c r="R126" s="4" t="s">
        <v>129</v>
      </c>
      <c r="S126" s="4" t="s">
        <v>124</v>
      </c>
      <c r="T126" s="4" t="s">
        <v>122</v>
      </c>
      <c r="U126" s="3">
        <v>1</v>
      </c>
      <c r="V126" s="3">
        <v>1</v>
      </c>
      <c r="W126" s="3">
        <v>1</v>
      </c>
      <c r="X126" s="3">
        <v>1</v>
      </c>
      <c r="Y126" s="3">
        <v>3</v>
      </c>
      <c r="Z126" s="3">
        <v>2</v>
      </c>
      <c r="AA126" s="3">
        <v>1</v>
      </c>
      <c r="AB126" s="4" t="s">
        <v>122</v>
      </c>
      <c r="AC126" s="4" t="s">
        <v>122</v>
      </c>
      <c r="AD126" s="4" t="s">
        <v>122</v>
      </c>
      <c r="AE126" s="4" t="s">
        <v>122</v>
      </c>
      <c r="AF126" s="4" t="s">
        <v>122</v>
      </c>
      <c r="AG126" s="3">
        <v>1</v>
      </c>
      <c r="AH126" s="3">
        <v>5</v>
      </c>
      <c r="AI126" s="3">
        <v>2</v>
      </c>
      <c r="AJ126" s="3">
        <v>6</v>
      </c>
      <c r="AK126" s="3">
        <v>7</v>
      </c>
      <c r="AL126" s="3">
        <v>7</v>
      </c>
      <c r="AM126" s="3">
        <v>5</v>
      </c>
      <c r="AN126" s="3">
        <v>8</v>
      </c>
      <c r="AO126" s="3">
        <v>4</v>
      </c>
      <c r="AP126" s="3">
        <v>3</v>
      </c>
      <c r="AQ126" s="4">
        <v>4</v>
      </c>
      <c r="AR126" s="4">
        <v>1</v>
      </c>
      <c r="AS126" s="3">
        <v>6</v>
      </c>
      <c r="AT126" s="3">
        <v>6</v>
      </c>
      <c r="AU126" s="3">
        <v>7</v>
      </c>
      <c r="AV126" s="3">
        <v>4</v>
      </c>
      <c r="AW126" s="3">
        <v>5</v>
      </c>
      <c r="AX126" s="3">
        <v>4</v>
      </c>
      <c r="AY126" s="3">
        <v>2</v>
      </c>
      <c r="AZ126" s="4">
        <v>4</v>
      </c>
      <c r="BA126" s="4">
        <v>1</v>
      </c>
      <c r="BB126" s="3">
        <v>4.5</v>
      </c>
      <c r="BC126" s="3">
        <v>4</v>
      </c>
      <c r="BD126" s="3">
        <v>1</v>
      </c>
      <c r="BE126" s="3" t="s">
        <v>122</v>
      </c>
      <c r="BF126" s="3" t="s">
        <v>122</v>
      </c>
      <c r="BG126" s="3" t="s">
        <v>122</v>
      </c>
      <c r="BH126" s="3" t="s">
        <v>122</v>
      </c>
      <c r="BI126" s="3" t="s">
        <v>122</v>
      </c>
      <c r="BJ126" s="3" t="s">
        <v>122</v>
      </c>
      <c r="BK126" s="3" t="s">
        <v>122</v>
      </c>
      <c r="BL126" s="3" t="s">
        <v>122</v>
      </c>
      <c r="BM126" s="3" t="s">
        <v>122</v>
      </c>
      <c r="BN126" s="3">
        <v>6</v>
      </c>
      <c r="BO126" s="3" t="s">
        <v>122</v>
      </c>
      <c r="BP126" s="3" t="s">
        <v>122</v>
      </c>
      <c r="BQ126" s="3" t="s">
        <v>122</v>
      </c>
      <c r="BR126" s="3" t="s">
        <v>122</v>
      </c>
      <c r="BS126" s="3" t="s">
        <v>122</v>
      </c>
      <c r="BT126" s="3" t="s">
        <v>122</v>
      </c>
      <c r="BU126" s="3" t="s">
        <v>122</v>
      </c>
      <c r="BV126" s="3" t="s">
        <v>122</v>
      </c>
      <c r="BW126" s="3" t="s">
        <v>122</v>
      </c>
      <c r="BX126" s="3" t="s">
        <v>122</v>
      </c>
      <c r="BY126" s="3" t="s">
        <v>122</v>
      </c>
      <c r="BZ126" s="3" t="s">
        <v>122</v>
      </c>
      <c r="CA126" s="3" t="s">
        <v>122</v>
      </c>
      <c r="CB126" s="3" t="s">
        <v>122</v>
      </c>
      <c r="CC126" s="3" t="s">
        <v>122</v>
      </c>
      <c r="CD126" s="3" t="s">
        <v>122</v>
      </c>
      <c r="CE126" s="3" t="s">
        <v>122</v>
      </c>
      <c r="CF126" s="3">
        <v>2</v>
      </c>
      <c r="CG126" s="4" t="s">
        <v>122</v>
      </c>
      <c r="CH126" s="3">
        <v>2</v>
      </c>
      <c r="CI126" s="4" t="s">
        <v>122</v>
      </c>
      <c r="CJ126" s="4" t="s">
        <v>122</v>
      </c>
      <c r="CK126" s="4" t="s">
        <v>122</v>
      </c>
      <c r="CL126" s="4" t="s">
        <v>122</v>
      </c>
      <c r="CM126" s="4" t="s">
        <v>122</v>
      </c>
      <c r="CN126" s="4" t="s">
        <v>122</v>
      </c>
      <c r="CO126" s="4" t="s">
        <v>125</v>
      </c>
      <c r="CP126" s="4" t="s">
        <v>122</v>
      </c>
      <c r="CQ126" s="4" t="s">
        <v>122</v>
      </c>
      <c r="CR126" s="4" t="s">
        <v>122</v>
      </c>
      <c r="CS126" s="3">
        <v>3</v>
      </c>
      <c r="CT126" s="3">
        <v>-999</v>
      </c>
      <c r="CU126" s="42">
        <v>1</v>
      </c>
      <c r="CV126" cm="1">
        <f t="array" ref="CV126">_xlfn.IFS(CU126*1=2,1,CU126*1=4,1,TRUE,0)</f>
        <v>0</v>
      </c>
      <c r="CW126" cm="1">
        <f t="array" ref="CW126">_xlfn.IFS(CU126*1=1,1,CU126*1=2,1,TRUE,0)</f>
        <v>1</v>
      </c>
      <c r="CX126" s="3">
        <f t="shared" si="18"/>
        <v>4.5</v>
      </c>
      <c r="CY126" s="3">
        <f t="shared" si="11"/>
        <v>4</v>
      </c>
      <c r="CZ126" s="3" cm="1">
        <f t="array" ref="CZ126">_xlfn.IFS(BP126&lt;&gt;"", BP126, CV126=1,  AQ126, CV126=0,  AZ126)</f>
        <v>4</v>
      </c>
      <c r="DA126" s="36" cm="1">
        <f t="array" ref="DA126">_xlfn.IFS(BO126&lt;&gt;"", BO126, CV126=0,  AQ126, CV126=1,  AZ126)</f>
        <v>4</v>
      </c>
      <c r="DB126" s="36">
        <f t="shared" si="12"/>
        <v>-1</v>
      </c>
      <c r="DC126" s="3">
        <f t="shared" si="13"/>
        <v>-0.5</v>
      </c>
      <c r="DD126" s="3">
        <f t="shared" si="14"/>
        <v>-1</v>
      </c>
      <c r="DE126" s="3">
        <f t="shared" si="15"/>
        <v>-1</v>
      </c>
      <c r="DF126" s="3">
        <f t="shared" si="16"/>
        <v>-1</v>
      </c>
      <c r="DG126" s="3">
        <f t="shared" si="17"/>
        <v>-0.5</v>
      </c>
    </row>
    <row r="127" spans="1:111" x14ac:dyDescent="0.4">
      <c r="A127" s="3">
        <v>202503</v>
      </c>
      <c r="B127" s="3">
        <v>222</v>
      </c>
      <c r="C127" s="5">
        <v>45733.610150462962</v>
      </c>
      <c r="D127" s="5">
        <v>45733.617013888892</v>
      </c>
      <c r="E127" s="3">
        <v>0</v>
      </c>
      <c r="F127" s="4" t="s">
        <v>459</v>
      </c>
      <c r="G127" s="3">
        <v>100</v>
      </c>
      <c r="H127" s="3">
        <v>592</v>
      </c>
      <c r="I127" s="3">
        <v>1</v>
      </c>
      <c r="J127" s="5">
        <v>45733.617025775464</v>
      </c>
      <c r="K127" s="4" t="s">
        <v>460</v>
      </c>
      <c r="L127" s="4" t="s">
        <v>122</v>
      </c>
      <c r="M127" s="4" t="s">
        <v>122</v>
      </c>
      <c r="N127" s="4" t="s">
        <v>122</v>
      </c>
      <c r="O127" s="4" t="s">
        <v>122</v>
      </c>
      <c r="P127" s="3">
        <v>32.250300000000003</v>
      </c>
      <c r="Q127" s="3">
        <v>-110.94499999999999</v>
      </c>
      <c r="R127" s="4" t="s">
        <v>129</v>
      </c>
      <c r="S127" s="4" t="s">
        <v>124</v>
      </c>
      <c r="T127" s="4" t="s">
        <v>122</v>
      </c>
      <c r="U127" s="3">
        <v>1</v>
      </c>
      <c r="V127" s="3">
        <v>1</v>
      </c>
      <c r="W127" s="3">
        <v>4</v>
      </c>
      <c r="X127" s="3">
        <v>1</v>
      </c>
      <c r="Y127" s="3">
        <v>1</v>
      </c>
      <c r="Z127" s="3">
        <v>1</v>
      </c>
      <c r="AA127" s="3">
        <v>1</v>
      </c>
      <c r="AB127" s="4" t="s">
        <v>122</v>
      </c>
      <c r="AC127" s="4" t="s">
        <v>122</v>
      </c>
      <c r="AD127" s="4" t="s">
        <v>122</v>
      </c>
      <c r="AE127" s="4" t="s">
        <v>122</v>
      </c>
      <c r="AF127" s="4" t="s">
        <v>122</v>
      </c>
      <c r="AG127" s="3">
        <v>3</v>
      </c>
      <c r="AH127" s="3">
        <v>6</v>
      </c>
      <c r="AI127" s="3">
        <v>1</v>
      </c>
      <c r="AJ127" s="3">
        <v>4</v>
      </c>
      <c r="AK127" s="3">
        <v>7</v>
      </c>
      <c r="AL127" s="3">
        <v>3</v>
      </c>
      <c r="AM127" s="3">
        <v>3</v>
      </c>
      <c r="AN127" s="3">
        <v>6</v>
      </c>
      <c r="AO127" s="3">
        <v>4</v>
      </c>
      <c r="AP127" s="3">
        <v>1</v>
      </c>
      <c r="AQ127" s="3" t="s">
        <v>122</v>
      </c>
      <c r="AR127" s="3" t="s">
        <v>122</v>
      </c>
      <c r="AS127" s="3">
        <v>6</v>
      </c>
      <c r="AT127" s="3">
        <v>7</v>
      </c>
      <c r="AU127" s="3">
        <v>6</v>
      </c>
      <c r="AV127" s="3">
        <v>5</v>
      </c>
      <c r="AW127" s="3">
        <v>6</v>
      </c>
      <c r="AX127" s="3">
        <v>3</v>
      </c>
      <c r="AY127" s="3">
        <v>2</v>
      </c>
      <c r="AZ127" s="3" t="s">
        <v>122</v>
      </c>
      <c r="BA127" s="3" t="s">
        <v>122</v>
      </c>
      <c r="BB127" s="3" t="s">
        <v>122</v>
      </c>
      <c r="BC127" s="3" t="s">
        <v>122</v>
      </c>
      <c r="BD127" s="3" t="s">
        <v>122</v>
      </c>
      <c r="BE127" s="3" t="s">
        <v>122</v>
      </c>
      <c r="BF127" s="3" t="s">
        <v>122</v>
      </c>
      <c r="BG127" s="3" t="s">
        <v>122</v>
      </c>
      <c r="BH127" s="3" t="s">
        <v>122</v>
      </c>
      <c r="BI127" s="3" t="s">
        <v>122</v>
      </c>
      <c r="BJ127" s="3" t="s">
        <v>122</v>
      </c>
      <c r="BK127" s="3" t="s">
        <v>122</v>
      </c>
      <c r="BL127" s="3" t="s">
        <v>122</v>
      </c>
      <c r="BM127" s="3" t="s">
        <v>122</v>
      </c>
      <c r="BN127" s="3" t="s">
        <v>122</v>
      </c>
      <c r="BO127" s="3">
        <v>6</v>
      </c>
      <c r="BP127" s="3">
        <v>6</v>
      </c>
      <c r="BQ127" s="3">
        <v>1</v>
      </c>
      <c r="BR127" s="3" t="s">
        <v>122</v>
      </c>
      <c r="BS127" s="3" t="s">
        <v>122</v>
      </c>
      <c r="BT127" s="3" t="s">
        <v>122</v>
      </c>
      <c r="BU127" s="3" t="s">
        <v>122</v>
      </c>
      <c r="BV127" s="3" t="s">
        <v>122</v>
      </c>
      <c r="BW127" s="3" t="s">
        <v>122</v>
      </c>
      <c r="BX127" s="3" t="s">
        <v>122</v>
      </c>
      <c r="BY127" s="3" t="s">
        <v>122</v>
      </c>
      <c r="BZ127" s="3" t="s">
        <v>122</v>
      </c>
      <c r="CA127" s="3" t="s">
        <v>122</v>
      </c>
      <c r="CB127" s="3">
        <v>6</v>
      </c>
      <c r="CC127" s="3">
        <v>1</v>
      </c>
      <c r="CD127" s="3">
        <v>6</v>
      </c>
      <c r="CE127" s="3">
        <v>1</v>
      </c>
      <c r="CF127" s="3">
        <v>1</v>
      </c>
      <c r="CG127" s="4" t="s">
        <v>122</v>
      </c>
      <c r="CH127" s="3">
        <v>2</v>
      </c>
      <c r="CI127" s="4" t="s">
        <v>122</v>
      </c>
      <c r="CJ127" s="4" t="s">
        <v>122</v>
      </c>
      <c r="CK127" s="4" t="s">
        <v>122</v>
      </c>
      <c r="CL127" s="4" t="s">
        <v>122</v>
      </c>
      <c r="CM127" s="4" t="s">
        <v>122</v>
      </c>
      <c r="CN127" s="4" t="s">
        <v>122</v>
      </c>
      <c r="CO127" s="4" t="s">
        <v>125</v>
      </c>
      <c r="CP127" s="4" t="s">
        <v>122</v>
      </c>
      <c r="CQ127" s="4" t="s">
        <v>122</v>
      </c>
      <c r="CR127" s="4" t="s">
        <v>122</v>
      </c>
      <c r="CS127" s="3">
        <v>4</v>
      </c>
      <c r="CT127" s="3">
        <v>2</v>
      </c>
      <c r="CU127" s="42">
        <v>3</v>
      </c>
      <c r="CV127" cm="1">
        <f t="array" ref="CV127">_xlfn.IFS(CU127*1=2,1,CU127*1=4,1,TRUE,0)</f>
        <v>0</v>
      </c>
      <c r="CW127" cm="1">
        <f t="array" ref="CW127">_xlfn.IFS(CU127*1=1,1,CU127*1=2,1,TRUE,0)</f>
        <v>0</v>
      </c>
      <c r="CX127" s="3">
        <f t="shared" si="18"/>
        <v>6</v>
      </c>
      <c r="CY127" s="3">
        <f t="shared" si="11"/>
        <v>6</v>
      </c>
      <c r="CZ127" s="3" cm="1">
        <f t="array" ref="CZ127">_xlfn.IFS(BP127&lt;&gt;"", BP127, CV127=1,  AQ127, CV127=0,  AZ127)</f>
        <v>6</v>
      </c>
      <c r="DA127" s="36" cm="1">
        <f t="array" ref="DA127">_xlfn.IFS(BO127&lt;&gt;"", BO127, CV127=0,  AQ127, CV127=1,  AZ127)</f>
        <v>6</v>
      </c>
      <c r="DB127" s="36">
        <f t="shared" si="12"/>
        <v>0</v>
      </c>
      <c r="DC127" s="3">
        <f t="shared" si="13"/>
        <v>0</v>
      </c>
      <c r="DD127" s="3">
        <f t="shared" si="14"/>
        <v>0</v>
      </c>
      <c r="DE127" s="3">
        <f t="shared" si="15"/>
        <v>0</v>
      </c>
      <c r="DF127" s="3">
        <f t="shared" si="16"/>
        <v>0</v>
      </c>
      <c r="DG127" s="3">
        <f t="shared" si="17"/>
        <v>0</v>
      </c>
    </row>
    <row r="128" spans="1:111" x14ac:dyDescent="0.4">
      <c r="A128" s="3">
        <v>202503</v>
      </c>
      <c r="B128" s="3">
        <v>222</v>
      </c>
      <c r="C128" s="5">
        <v>45733.620752314811</v>
      </c>
      <c r="D128" s="5">
        <v>45733.629189814812</v>
      </c>
      <c r="E128" s="3">
        <v>0</v>
      </c>
      <c r="F128" s="4" t="s">
        <v>462</v>
      </c>
      <c r="G128" s="3">
        <v>100</v>
      </c>
      <c r="H128" s="3">
        <v>728</v>
      </c>
      <c r="I128" s="3">
        <v>1</v>
      </c>
      <c r="J128" s="5">
        <v>45733.629204282406</v>
      </c>
      <c r="K128" s="4" t="s">
        <v>463</v>
      </c>
      <c r="L128" s="4" t="s">
        <v>122</v>
      </c>
      <c r="M128" s="4" t="s">
        <v>122</v>
      </c>
      <c r="N128" s="4" t="s">
        <v>122</v>
      </c>
      <c r="O128" s="4" t="s">
        <v>122</v>
      </c>
      <c r="P128" s="3">
        <v>32.250300000000003</v>
      </c>
      <c r="Q128" s="3">
        <v>-110.94499999999999</v>
      </c>
      <c r="R128" s="4" t="s">
        <v>129</v>
      </c>
      <c r="S128" s="4" t="s">
        <v>124</v>
      </c>
      <c r="T128" s="4" t="s">
        <v>122</v>
      </c>
      <c r="U128" s="3">
        <v>1</v>
      </c>
      <c r="V128" s="3">
        <v>2</v>
      </c>
      <c r="W128" s="3">
        <v>2</v>
      </c>
      <c r="X128" s="3">
        <v>1</v>
      </c>
      <c r="Y128" s="3">
        <v>3</v>
      </c>
      <c r="Z128" s="3">
        <v>2</v>
      </c>
      <c r="AA128" s="3">
        <v>1</v>
      </c>
      <c r="AB128" s="4" t="s">
        <v>122</v>
      </c>
      <c r="AC128" s="4" t="s">
        <v>122</v>
      </c>
      <c r="AD128" s="4" t="s">
        <v>122</v>
      </c>
      <c r="AE128" s="4" t="s">
        <v>122</v>
      </c>
      <c r="AF128" s="4" t="s">
        <v>122</v>
      </c>
      <c r="AG128" s="3">
        <v>2</v>
      </c>
      <c r="AH128" s="3">
        <v>4.5</v>
      </c>
      <c r="AI128" s="3">
        <v>2</v>
      </c>
      <c r="AJ128" s="3">
        <v>6</v>
      </c>
      <c r="AK128" s="3">
        <v>7</v>
      </c>
      <c r="AL128" s="3">
        <v>8</v>
      </c>
      <c r="AM128" s="3">
        <v>4</v>
      </c>
      <c r="AN128" s="3">
        <v>7</v>
      </c>
      <c r="AO128" s="3">
        <v>3</v>
      </c>
      <c r="AP128" s="3">
        <v>3</v>
      </c>
      <c r="AQ128" s="4" t="s">
        <v>122</v>
      </c>
      <c r="AR128" s="4" t="s">
        <v>122</v>
      </c>
      <c r="AS128" s="3">
        <v>5</v>
      </c>
      <c r="AT128" s="3">
        <v>8</v>
      </c>
      <c r="AU128" s="3">
        <v>7</v>
      </c>
      <c r="AV128" s="3">
        <v>6</v>
      </c>
      <c r="AW128" s="3">
        <v>7</v>
      </c>
      <c r="AX128" s="3">
        <v>4</v>
      </c>
      <c r="AY128" s="3">
        <v>2</v>
      </c>
      <c r="AZ128" s="4" t="s">
        <v>122</v>
      </c>
      <c r="BA128" s="4" t="s">
        <v>122</v>
      </c>
      <c r="BB128" s="3" t="s">
        <v>122</v>
      </c>
      <c r="BC128" s="3" t="s">
        <v>122</v>
      </c>
      <c r="BD128" s="3" t="s">
        <v>122</v>
      </c>
      <c r="BE128" s="3" t="s">
        <v>122</v>
      </c>
      <c r="BF128" s="3" t="s">
        <v>122</v>
      </c>
      <c r="BG128" s="3" t="s">
        <v>122</v>
      </c>
      <c r="BH128" s="3" t="s">
        <v>122</v>
      </c>
      <c r="BI128" s="3" t="s">
        <v>122</v>
      </c>
      <c r="BJ128" s="3" t="s">
        <v>122</v>
      </c>
      <c r="BK128" s="3" t="s">
        <v>122</v>
      </c>
      <c r="BL128" s="3" t="s">
        <v>122</v>
      </c>
      <c r="BM128" s="3" t="s">
        <v>122</v>
      </c>
      <c r="BN128" s="3" t="s">
        <v>122</v>
      </c>
      <c r="BO128" s="3">
        <v>4.5</v>
      </c>
      <c r="BP128" s="3">
        <v>5</v>
      </c>
      <c r="BQ128" s="3">
        <v>2</v>
      </c>
      <c r="BR128" s="3" t="s">
        <v>122</v>
      </c>
      <c r="BS128" s="3" t="s">
        <v>122</v>
      </c>
      <c r="BT128" s="3" t="s">
        <v>122</v>
      </c>
      <c r="BU128" s="3" t="s">
        <v>122</v>
      </c>
      <c r="BV128" s="3" t="s">
        <v>122</v>
      </c>
      <c r="BW128" s="3" t="s">
        <v>122</v>
      </c>
      <c r="BX128" s="3" t="s">
        <v>122</v>
      </c>
      <c r="BY128" s="3" t="s">
        <v>122</v>
      </c>
      <c r="BZ128" s="3" t="s">
        <v>122</v>
      </c>
      <c r="CA128" s="3">
        <v>7</v>
      </c>
      <c r="CB128" s="3">
        <v>4.5</v>
      </c>
      <c r="CC128" s="3">
        <v>1</v>
      </c>
      <c r="CD128" s="3">
        <v>4</v>
      </c>
      <c r="CE128" s="3">
        <v>3</v>
      </c>
      <c r="CF128" s="3">
        <v>1</v>
      </c>
      <c r="CG128" s="4" t="s">
        <v>122</v>
      </c>
      <c r="CH128" s="3">
        <v>2</v>
      </c>
      <c r="CI128" s="4" t="s">
        <v>122</v>
      </c>
      <c r="CJ128" s="4" t="s">
        <v>122</v>
      </c>
      <c r="CK128" s="4" t="s">
        <v>125</v>
      </c>
      <c r="CL128" s="4" t="s">
        <v>122</v>
      </c>
      <c r="CM128" s="4" t="s">
        <v>122</v>
      </c>
      <c r="CN128" s="4" t="s">
        <v>122</v>
      </c>
      <c r="CO128" s="4" t="s">
        <v>122</v>
      </c>
      <c r="CP128" s="4" t="s">
        <v>122</v>
      </c>
      <c r="CQ128" s="4" t="s">
        <v>122</v>
      </c>
      <c r="CR128" s="4" t="s">
        <v>122</v>
      </c>
      <c r="CS128" s="3">
        <v>3</v>
      </c>
      <c r="CT128" s="3">
        <v>1</v>
      </c>
      <c r="CU128" s="42">
        <v>3</v>
      </c>
      <c r="CV128" cm="1">
        <f t="array" ref="CV128">_xlfn.IFS(CU128*1=2,1,CU128*1=4,1,TRUE,0)</f>
        <v>0</v>
      </c>
      <c r="CW128" cm="1">
        <f t="array" ref="CW128">_xlfn.IFS(CU128*1=1,1,CU128*1=2,1,TRUE,0)</f>
        <v>0</v>
      </c>
      <c r="CX128" s="3">
        <f t="shared" si="18"/>
        <v>4.5</v>
      </c>
      <c r="CY128" s="3">
        <f t="shared" si="11"/>
        <v>4</v>
      </c>
      <c r="CZ128" s="3" cm="1">
        <f t="array" ref="CZ128">_xlfn.IFS(BP128&lt;&gt;"", BP128, CV128=1,  AQ128, CV128=0,  AZ128)</f>
        <v>5</v>
      </c>
      <c r="DA128" s="36" cm="1">
        <f t="array" ref="DA128">_xlfn.IFS(BO128&lt;&gt;"", BO128, CV128=0,  AQ128, CV128=1,  AZ128)</f>
        <v>4.5</v>
      </c>
      <c r="DB128" s="36">
        <f t="shared" si="12"/>
        <v>-0.5</v>
      </c>
      <c r="DC128" s="3">
        <f t="shared" si="13"/>
        <v>0</v>
      </c>
      <c r="DD128" s="3">
        <f t="shared" si="14"/>
        <v>-0.5</v>
      </c>
      <c r="DE128" s="3">
        <f t="shared" si="15"/>
        <v>0.5</v>
      </c>
      <c r="DF128" s="3">
        <f t="shared" si="16"/>
        <v>0</v>
      </c>
      <c r="DG128" s="3">
        <f t="shared" si="17"/>
        <v>0</v>
      </c>
    </row>
    <row r="129" spans="1:111" x14ac:dyDescent="0.4">
      <c r="A129" s="3">
        <v>202503</v>
      </c>
      <c r="B129" s="3">
        <v>222</v>
      </c>
      <c r="C129" s="5">
        <v>45733.6250462963</v>
      </c>
      <c r="D129" s="5">
        <v>45733.63113425926</v>
      </c>
      <c r="E129" s="3">
        <v>0</v>
      </c>
      <c r="F129" s="4" t="s">
        <v>464</v>
      </c>
      <c r="G129" s="3">
        <v>100</v>
      </c>
      <c r="H129" s="3">
        <v>526</v>
      </c>
      <c r="I129" s="3">
        <v>1</v>
      </c>
      <c r="J129" s="5">
        <v>45733.631150844907</v>
      </c>
      <c r="K129" s="4" t="s">
        <v>465</v>
      </c>
      <c r="L129" s="4" t="s">
        <v>122</v>
      </c>
      <c r="M129" s="4" t="s">
        <v>122</v>
      </c>
      <c r="N129" s="4" t="s">
        <v>122</v>
      </c>
      <c r="O129" s="4" t="s">
        <v>122</v>
      </c>
      <c r="P129" s="3">
        <v>32.2699</v>
      </c>
      <c r="Q129" s="3">
        <v>-110.9853</v>
      </c>
      <c r="R129" s="4" t="s">
        <v>129</v>
      </c>
      <c r="S129" s="4" t="s">
        <v>124</v>
      </c>
      <c r="T129" s="4" t="s">
        <v>122</v>
      </c>
      <c r="U129" s="3">
        <v>1</v>
      </c>
      <c r="V129" s="3">
        <v>4</v>
      </c>
      <c r="W129" s="3">
        <v>2</v>
      </c>
      <c r="X129" s="3">
        <v>2</v>
      </c>
      <c r="Y129" s="3">
        <v>1</v>
      </c>
      <c r="Z129" s="3">
        <v>1</v>
      </c>
      <c r="AA129" s="3">
        <v>1</v>
      </c>
      <c r="AB129" s="4" t="s">
        <v>122</v>
      </c>
      <c r="AC129" s="4" t="s">
        <v>122</v>
      </c>
      <c r="AD129" s="4" t="s">
        <v>122</v>
      </c>
      <c r="AE129" s="4" t="s">
        <v>122</v>
      </c>
      <c r="AF129" s="4" t="s">
        <v>125</v>
      </c>
      <c r="AG129" s="3">
        <v>4</v>
      </c>
      <c r="AH129" s="3">
        <v>5</v>
      </c>
      <c r="AI129" s="3">
        <v>3</v>
      </c>
      <c r="AJ129" s="3">
        <v>8</v>
      </c>
      <c r="AK129" s="3">
        <v>8</v>
      </c>
      <c r="AL129" s="3">
        <v>7</v>
      </c>
      <c r="AM129" s="3">
        <v>9</v>
      </c>
      <c r="AN129" s="3">
        <v>7</v>
      </c>
      <c r="AO129" s="3">
        <v>3</v>
      </c>
      <c r="AP129" s="3">
        <v>4</v>
      </c>
      <c r="AQ129" s="4" t="s">
        <v>122</v>
      </c>
      <c r="AR129" s="4" t="s">
        <v>122</v>
      </c>
      <c r="AS129" s="3">
        <v>5</v>
      </c>
      <c r="AT129" s="3">
        <v>8</v>
      </c>
      <c r="AU129" s="3">
        <v>4</v>
      </c>
      <c r="AV129" s="3">
        <v>5</v>
      </c>
      <c r="AW129" s="3">
        <v>6</v>
      </c>
      <c r="AX129" s="3">
        <v>2</v>
      </c>
      <c r="AY129" s="3">
        <v>2</v>
      </c>
      <c r="AZ129" s="4" t="s">
        <v>122</v>
      </c>
      <c r="BA129" s="4" t="s">
        <v>122</v>
      </c>
      <c r="BB129" s="3" t="s">
        <v>122</v>
      </c>
      <c r="BC129" s="3" t="s">
        <v>122</v>
      </c>
      <c r="BD129" s="3" t="s">
        <v>122</v>
      </c>
      <c r="BE129" s="3" t="s">
        <v>122</v>
      </c>
      <c r="BF129" s="3" t="s">
        <v>122</v>
      </c>
      <c r="BG129" s="3" t="s">
        <v>122</v>
      </c>
      <c r="BH129" s="3" t="s">
        <v>122</v>
      </c>
      <c r="BI129" s="3" t="s">
        <v>122</v>
      </c>
      <c r="BJ129" s="3" t="s">
        <v>122</v>
      </c>
      <c r="BK129" s="3" t="s">
        <v>122</v>
      </c>
      <c r="BL129" s="3" t="s">
        <v>122</v>
      </c>
      <c r="BM129" s="3" t="s">
        <v>122</v>
      </c>
      <c r="BN129" s="3" t="s">
        <v>122</v>
      </c>
      <c r="BO129" s="3">
        <v>5</v>
      </c>
      <c r="BP129" s="3">
        <v>5</v>
      </c>
      <c r="BQ129" s="3">
        <v>3</v>
      </c>
      <c r="BR129" s="3" t="s">
        <v>122</v>
      </c>
      <c r="BS129" s="3" t="s">
        <v>122</v>
      </c>
      <c r="BT129" s="3" t="s">
        <v>122</v>
      </c>
      <c r="BU129" s="3" t="s">
        <v>122</v>
      </c>
      <c r="BV129" s="3" t="s">
        <v>122</v>
      </c>
      <c r="BW129" s="3" t="s">
        <v>122</v>
      </c>
      <c r="BX129" s="3" t="s">
        <v>122</v>
      </c>
      <c r="BY129" s="3" t="s">
        <v>122</v>
      </c>
      <c r="BZ129" s="3" t="s">
        <v>122</v>
      </c>
      <c r="CA129" s="3">
        <v>7</v>
      </c>
      <c r="CB129" s="3">
        <v>5</v>
      </c>
      <c r="CC129" s="3">
        <v>3</v>
      </c>
      <c r="CD129" s="3">
        <v>6</v>
      </c>
      <c r="CE129" s="3">
        <v>3</v>
      </c>
      <c r="CF129" s="3">
        <v>1</v>
      </c>
      <c r="CG129" s="4" t="s">
        <v>122</v>
      </c>
      <c r="CH129" s="3">
        <v>3</v>
      </c>
      <c r="CI129" s="4" t="s">
        <v>122</v>
      </c>
      <c r="CJ129" s="4" t="s">
        <v>122</v>
      </c>
      <c r="CK129" s="4" t="s">
        <v>122</v>
      </c>
      <c r="CL129" s="4" t="s">
        <v>122</v>
      </c>
      <c r="CM129" s="4" t="s">
        <v>122</v>
      </c>
      <c r="CN129" s="4" t="s">
        <v>122</v>
      </c>
      <c r="CO129" s="4" t="s">
        <v>125</v>
      </c>
      <c r="CP129" s="4" t="s">
        <v>122</v>
      </c>
      <c r="CQ129" s="4" t="s">
        <v>122</v>
      </c>
      <c r="CR129" s="4" t="s">
        <v>122</v>
      </c>
      <c r="CS129" s="3">
        <v>4</v>
      </c>
      <c r="CT129" s="3">
        <v>4</v>
      </c>
      <c r="CU129" s="42">
        <v>4</v>
      </c>
      <c r="CV129" cm="1">
        <f t="array" ref="CV129">_xlfn.IFS(CU129*1=2,1,CU129*1=4,1,TRUE,0)</f>
        <v>1</v>
      </c>
      <c r="CW129" cm="1">
        <f t="array" ref="CW129">_xlfn.IFS(CU129*1=1,1,CU129*1=2,1,TRUE,0)</f>
        <v>0</v>
      </c>
      <c r="CX129" s="3">
        <f t="shared" si="18"/>
        <v>5</v>
      </c>
      <c r="CY129" s="3">
        <f t="shared" si="11"/>
        <v>6</v>
      </c>
      <c r="CZ129" s="3" cm="1">
        <f t="array" ref="CZ129">_xlfn.IFS(BP129&lt;&gt;"", BP129, CV129=1,  AQ129, CV129=0,  AZ129)</f>
        <v>5</v>
      </c>
      <c r="DA129" s="36" cm="1">
        <f t="array" ref="DA129">_xlfn.IFS(BO129&lt;&gt;"", BO129, CV129=0,  AQ129, CV129=1,  AZ129)</f>
        <v>5</v>
      </c>
      <c r="DB129" s="36">
        <f t="shared" si="12"/>
        <v>1</v>
      </c>
      <c r="DC129" s="3">
        <f t="shared" si="13"/>
        <v>0</v>
      </c>
      <c r="DD129" s="3">
        <f t="shared" si="14"/>
        <v>1</v>
      </c>
      <c r="DE129" s="3">
        <f t="shared" si="15"/>
        <v>0</v>
      </c>
      <c r="DF129" s="3">
        <f t="shared" si="16"/>
        <v>0</v>
      </c>
      <c r="DG129" s="3">
        <f t="shared" si="17"/>
        <v>0</v>
      </c>
    </row>
    <row r="130" spans="1:111" x14ac:dyDescent="0.4">
      <c r="A130" s="3">
        <v>202503</v>
      </c>
      <c r="B130" s="3">
        <v>222</v>
      </c>
      <c r="C130" s="5">
        <v>45733.628182870372</v>
      </c>
      <c r="D130" s="5">
        <v>45733.634675925925</v>
      </c>
      <c r="E130" s="3">
        <v>0</v>
      </c>
      <c r="F130" s="4" t="s">
        <v>466</v>
      </c>
      <c r="G130" s="3">
        <v>100</v>
      </c>
      <c r="H130" s="3">
        <v>560</v>
      </c>
      <c r="I130" s="3">
        <v>1</v>
      </c>
      <c r="J130" s="5">
        <v>45733.634689421298</v>
      </c>
      <c r="K130" s="4" t="s">
        <v>467</v>
      </c>
      <c r="L130" s="4" t="s">
        <v>122</v>
      </c>
      <c r="M130" s="4" t="s">
        <v>122</v>
      </c>
      <c r="N130" s="4" t="s">
        <v>122</v>
      </c>
      <c r="O130" s="4" t="s">
        <v>122</v>
      </c>
      <c r="P130" s="3">
        <v>33.562899999999999</v>
      </c>
      <c r="Q130" s="3">
        <v>-112.0519</v>
      </c>
      <c r="R130" s="4" t="s">
        <v>129</v>
      </c>
      <c r="S130" s="4" t="s">
        <v>124</v>
      </c>
      <c r="T130" s="4" t="s">
        <v>122</v>
      </c>
      <c r="U130" s="3">
        <v>1</v>
      </c>
      <c r="V130" s="3">
        <v>2</v>
      </c>
      <c r="W130" s="3">
        <v>3</v>
      </c>
      <c r="X130" s="3">
        <v>1</v>
      </c>
      <c r="Y130" s="3">
        <v>1</v>
      </c>
      <c r="Z130" s="3">
        <v>1</v>
      </c>
      <c r="AA130" s="3">
        <v>1</v>
      </c>
      <c r="AB130" s="4" t="s">
        <v>122</v>
      </c>
      <c r="AC130" s="4" t="s">
        <v>122</v>
      </c>
      <c r="AD130" s="4" t="s">
        <v>122</v>
      </c>
      <c r="AE130" s="4" t="s">
        <v>122</v>
      </c>
      <c r="AF130" s="4" t="s">
        <v>122</v>
      </c>
      <c r="AG130" s="3">
        <v>4</v>
      </c>
      <c r="AH130" s="3">
        <v>6</v>
      </c>
      <c r="AI130" s="3">
        <v>2</v>
      </c>
      <c r="AJ130" s="3">
        <v>8</v>
      </c>
      <c r="AK130" s="3">
        <v>7</v>
      </c>
      <c r="AL130" s="3">
        <v>9</v>
      </c>
      <c r="AM130" s="3">
        <v>8</v>
      </c>
      <c r="AN130" s="3">
        <v>7</v>
      </c>
      <c r="AO130" s="3">
        <v>3</v>
      </c>
      <c r="AP130" s="3">
        <v>2</v>
      </c>
      <c r="AQ130" s="3">
        <v>6</v>
      </c>
      <c r="AR130" s="3">
        <v>2</v>
      </c>
      <c r="AS130" s="3">
        <v>7</v>
      </c>
      <c r="AT130" s="3">
        <v>7</v>
      </c>
      <c r="AU130" s="3">
        <v>7</v>
      </c>
      <c r="AV130" s="3">
        <v>6</v>
      </c>
      <c r="AW130" s="3">
        <v>7</v>
      </c>
      <c r="AX130" s="3">
        <v>4</v>
      </c>
      <c r="AY130" s="3">
        <v>3</v>
      </c>
      <c r="AZ130" s="3">
        <v>5</v>
      </c>
      <c r="BA130" s="4">
        <v>2</v>
      </c>
      <c r="BB130" s="3">
        <v>6</v>
      </c>
      <c r="BC130" s="3">
        <v>5.5</v>
      </c>
      <c r="BD130" s="3">
        <v>1</v>
      </c>
      <c r="BE130" s="3" t="s">
        <v>122</v>
      </c>
      <c r="BF130" s="3" t="s">
        <v>122</v>
      </c>
      <c r="BG130" s="3" t="s">
        <v>122</v>
      </c>
      <c r="BH130" s="3" t="s">
        <v>122</v>
      </c>
      <c r="BI130" s="3" t="s">
        <v>122</v>
      </c>
      <c r="BJ130" s="3" t="s">
        <v>122</v>
      </c>
      <c r="BK130" s="3" t="s">
        <v>122</v>
      </c>
      <c r="BL130" s="3" t="s">
        <v>122</v>
      </c>
      <c r="BM130" s="3" t="s">
        <v>122</v>
      </c>
      <c r="BN130" s="3">
        <v>4</v>
      </c>
      <c r="BO130" s="3" t="s">
        <v>122</v>
      </c>
      <c r="BP130" s="3" t="s">
        <v>122</v>
      </c>
      <c r="BQ130" s="3" t="s">
        <v>122</v>
      </c>
      <c r="BR130" s="3" t="s">
        <v>122</v>
      </c>
      <c r="BS130" s="3" t="s">
        <v>122</v>
      </c>
      <c r="BT130" s="3" t="s">
        <v>122</v>
      </c>
      <c r="BU130" s="3" t="s">
        <v>122</v>
      </c>
      <c r="BV130" s="3" t="s">
        <v>122</v>
      </c>
      <c r="BW130" s="3" t="s">
        <v>122</v>
      </c>
      <c r="BX130" s="3" t="s">
        <v>122</v>
      </c>
      <c r="BY130" s="3" t="s">
        <v>122</v>
      </c>
      <c r="BZ130" s="3" t="s">
        <v>122</v>
      </c>
      <c r="CA130" s="3" t="s">
        <v>122</v>
      </c>
      <c r="CB130" s="3" t="s">
        <v>122</v>
      </c>
      <c r="CC130" s="3" t="s">
        <v>122</v>
      </c>
      <c r="CD130" s="3" t="s">
        <v>122</v>
      </c>
      <c r="CE130" s="3" t="s">
        <v>122</v>
      </c>
      <c r="CF130" s="3">
        <v>1</v>
      </c>
      <c r="CG130" s="4" t="s">
        <v>122</v>
      </c>
      <c r="CH130" s="3">
        <v>2</v>
      </c>
      <c r="CI130" s="4" t="s">
        <v>122</v>
      </c>
      <c r="CJ130" s="4" t="s">
        <v>122</v>
      </c>
      <c r="CK130" s="4" t="s">
        <v>122</v>
      </c>
      <c r="CL130" s="4" t="s">
        <v>122</v>
      </c>
      <c r="CM130" s="4" t="s">
        <v>122</v>
      </c>
      <c r="CN130" s="4" t="s">
        <v>122</v>
      </c>
      <c r="CO130" s="4" t="s">
        <v>125</v>
      </c>
      <c r="CP130" s="4" t="s">
        <v>122</v>
      </c>
      <c r="CQ130" s="4" t="s">
        <v>122</v>
      </c>
      <c r="CR130" s="4" t="s">
        <v>122</v>
      </c>
      <c r="CS130" s="3">
        <v>4</v>
      </c>
      <c r="CT130" s="3">
        <v>3</v>
      </c>
      <c r="CU130" s="42">
        <v>1</v>
      </c>
      <c r="CV130" cm="1">
        <f t="array" ref="CV130">_xlfn.IFS(CU130*1=2,1,CU130*1=4,1,TRUE,0)</f>
        <v>0</v>
      </c>
      <c r="CW130" cm="1">
        <f t="array" ref="CW130">_xlfn.IFS(CU130*1=1,1,CU130*1=2,1,TRUE,0)</f>
        <v>1</v>
      </c>
      <c r="CX130" s="3">
        <f t="shared" si="18"/>
        <v>6</v>
      </c>
      <c r="CY130" s="3">
        <f t="shared" si="11"/>
        <v>5.5</v>
      </c>
      <c r="CZ130" s="3" cm="1">
        <f t="array" ref="CZ130">_xlfn.IFS(BP130&lt;&gt;"", BP130, CV130=1,  AQ130, CV130=0,  AZ130)</f>
        <v>5</v>
      </c>
      <c r="DA130" s="36" cm="1">
        <f t="array" ref="DA130">_xlfn.IFS(BO130&lt;&gt;"", BO130, CV130=0,  AQ130, CV130=1,  AZ130)</f>
        <v>6</v>
      </c>
      <c r="DB130" s="36">
        <f t="shared" si="12"/>
        <v>-0.5</v>
      </c>
      <c r="DC130" s="3">
        <f t="shared" si="13"/>
        <v>0</v>
      </c>
      <c r="DD130" s="3">
        <f t="shared" si="14"/>
        <v>-1</v>
      </c>
      <c r="DE130" s="3">
        <f t="shared" si="15"/>
        <v>-0.5</v>
      </c>
      <c r="DF130" s="3">
        <f t="shared" si="16"/>
        <v>0</v>
      </c>
      <c r="DG130" s="3">
        <f t="shared" si="17"/>
        <v>0</v>
      </c>
    </row>
    <row r="131" spans="1:111" x14ac:dyDescent="0.4">
      <c r="A131" s="3">
        <v>202503</v>
      </c>
      <c r="B131" s="3">
        <v>222</v>
      </c>
      <c r="C131" s="5">
        <v>45733.628946759258</v>
      </c>
      <c r="D131" s="5">
        <v>45733.635810185187</v>
      </c>
      <c r="E131" s="3">
        <v>0</v>
      </c>
      <c r="F131" s="4" t="s">
        <v>468</v>
      </c>
      <c r="G131" s="3">
        <v>100</v>
      </c>
      <c r="H131" s="3">
        <v>593</v>
      </c>
      <c r="I131" s="3">
        <v>1</v>
      </c>
      <c r="J131" s="5">
        <v>45733.635831805557</v>
      </c>
      <c r="K131" s="4" t="s">
        <v>469</v>
      </c>
      <c r="L131" s="4" t="s">
        <v>122</v>
      </c>
      <c r="M131" s="4" t="s">
        <v>122</v>
      </c>
      <c r="N131" s="4" t="s">
        <v>122</v>
      </c>
      <c r="O131" s="4" t="s">
        <v>122</v>
      </c>
      <c r="P131" s="3">
        <v>32.250300000000003</v>
      </c>
      <c r="Q131" s="3">
        <v>-110.94499999999999</v>
      </c>
      <c r="R131" s="4" t="s">
        <v>129</v>
      </c>
      <c r="S131" s="4" t="s">
        <v>124</v>
      </c>
      <c r="T131" s="4" t="s">
        <v>122</v>
      </c>
      <c r="U131" s="3">
        <v>1</v>
      </c>
      <c r="V131" s="3">
        <v>2</v>
      </c>
      <c r="W131" s="3">
        <v>2</v>
      </c>
      <c r="X131" s="3">
        <v>2</v>
      </c>
      <c r="Y131" s="3">
        <v>2</v>
      </c>
      <c r="Z131" s="3">
        <v>3</v>
      </c>
      <c r="AA131" s="3">
        <v>2</v>
      </c>
      <c r="AB131" s="4" t="s">
        <v>122</v>
      </c>
      <c r="AC131" s="4" t="s">
        <v>125</v>
      </c>
      <c r="AD131" s="4" t="s">
        <v>122</v>
      </c>
      <c r="AE131" s="4" t="s">
        <v>122</v>
      </c>
      <c r="AF131" s="4" t="s">
        <v>122</v>
      </c>
      <c r="AG131" s="3">
        <v>4</v>
      </c>
      <c r="AH131" s="3">
        <v>5</v>
      </c>
      <c r="AI131" s="3">
        <v>3</v>
      </c>
      <c r="AJ131" s="3">
        <v>6</v>
      </c>
      <c r="AK131" s="3">
        <v>8</v>
      </c>
      <c r="AL131" s="3">
        <v>8</v>
      </c>
      <c r="AM131" s="3">
        <v>6</v>
      </c>
      <c r="AN131" s="3">
        <v>8</v>
      </c>
      <c r="AO131" s="3">
        <v>2</v>
      </c>
      <c r="AP131" s="3">
        <v>3</v>
      </c>
      <c r="AQ131" s="4" t="s">
        <v>122</v>
      </c>
      <c r="AR131" s="4" t="s">
        <v>122</v>
      </c>
      <c r="AS131" s="3">
        <v>7</v>
      </c>
      <c r="AT131" s="3">
        <v>8</v>
      </c>
      <c r="AU131" s="3">
        <v>6</v>
      </c>
      <c r="AV131" s="3">
        <v>7</v>
      </c>
      <c r="AW131" s="3">
        <v>6</v>
      </c>
      <c r="AX131" s="3">
        <v>2</v>
      </c>
      <c r="AY131" s="3">
        <v>2</v>
      </c>
      <c r="AZ131" s="4" t="s">
        <v>122</v>
      </c>
      <c r="BA131" s="4" t="s">
        <v>122</v>
      </c>
      <c r="BB131" s="3" t="s">
        <v>122</v>
      </c>
      <c r="BC131" s="3" t="s">
        <v>122</v>
      </c>
      <c r="BD131" s="3" t="s">
        <v>122</v>
      </c>
      <c r="BE131" s="3" t="s">
        <v>122</v>
      </c>
      <c r="BF131" s="3" t="s">
        <v>122</v>
      </c>
      <c r="BG131" s="3" t="s">
        <v>122</v>
      </c>
      <c r="BH131" s="3" t="s">
        <v>122</v>
      </c>
      <c r="BI131" s="3" t="s">
        <v>122</v>
      </c>
      <c r="BJ131" s="3" t="s">
        <v>122</v>
      </c>
      <c r="BK131" s="3" t="s">
        <v>122</v>
      </c>
      <c r="BL131" s="3" t="s">
        <v>122</v>
      </c>
      <c r="BM131" s="3" t="s">
        <v>122</v>
      </c>
      <c r="BN131" s="3" t="s">
        <v>122</v>
      </c>
      <c r="BO131" s="3">
        <v>5</v>
      </c>
      <c r="BP131" s="3">
        <v>5</v>
      </c>
      <c r="BQ131" s="3">
        <v>2</v>
      </c>
      <c r="BR131" s="3" t="s">
        <v>122</v>
      </c>
      <c r="BS131" s="3" t="s">
        <v>122</v>
      </c>
      <c r="BT131" s="3" t="s">
        <v>122</v>
      </c>
      <c r="BU131" s="3" t="s">
        <v>122</v>
      </c>
      <c r="BV131" s="3" t="s">
        <v>122</v>
      </c>
      <c r="BW131" s="3" t="s">
        <v>122</v>
      </c>
      <c r="BX131" s="3" t="s">
        <v>122</v>
      </c>
      <c r="BY131" s="3" t="s">
        <v>122</v>
      </c>
      <c r="BZ131" s="3" t="s">
        <v>122</v>
      </c>
      <c r="CA131" s="3">
        <v>1</v>
      </c>
      <c r="CB131" s="3">
        <v>5</v>
      </c>
      <c r="CC131" s="3">
        <v>3</v>
      </c>
      <c r="CD131" s="3">
        <v>5.5</v>
      </c>
      <c r="CE131" s="3">
        <v>3</v>
      </c>
      <c r="CF131" s="3">
        <v>2</v>
      </c>
      <c r="CG131" s="4" t="s">
        <v>122</v>
      </c>
      <c r="CH131" s="3">
        <v>3</v>
      </c>
      <c r="CI131" s="4" t="s">
        <v>122</v>
      </c>
      <c r="CJ131" s="4" t="s">
        <v>122</v>
      </c>
      <c r="CK131" s="4" t="s">
        <v>122</v>
      </c>
      <c r="CL131" s="4" t="s">
        <v>122</v>
      </c>
      <c r="CM131" s="4" t="s">
        <v>122</v>
      </c>
      <c r="CN131" s="4" t="s">
        <v>122</v>
      </c>
      <c r="CO131" s="4" t="s">
        <v>125</v>
      </c>
      <c r="CP131" s="4" t="s">
        <v>122</v>
      </c>
      <c r="CQ131" s="4" t="s">
        <v>122</v>
      </c>
      <c r="CR131" s="4" t="s">
        <v>122</v>
      </c>
      <c r="CS131" s="3">
        <v>5</v>
      </c>
      <c r="CT131" s="3">
        <v>5</v>
      </c>
      <c r="CU131" s="42">
        <v>3</v>
      </c>
      <c r="CV131" cm="1">
        <f t="array" ref="CV131">_xlfn.IFS(CU131*1=2,1,CU131*1=4,1,TRUE,0)</f>
        <v>0</v>
      </c>
      <c r="CW131" cm="1">
        <f t="array" ref="CW131">_xlfn.IFS(CU131*1=1,1,CU131*1=2,1,TRUE,0)</f>
        <v>0</v>
      </c>
      <c r="CX131" s="3">
        <f t="shared" ref="CX131:CX194" si="19">IF(BB131&lt;&gt;"",BB131,IF(CB131&lt;&gt;"",CB131,""))</f>
        <v>5</v>
      </c>
      <c r="CY131" s="3">
        <f t="shared" ref="CY131:CY194" si="20">IF(BC131&lt;&gt;"",BC131,IF(CD131&lt;&gt;"",CD131,""))</f>
        <v>5.5</v>
      </c>
      <c r="CZ131" s="3" cm="1">
        <f t="array" ref="CZ131">_xlfn.IFS(BP131&lt;&gt;"", BP131, CV131=1,  AQ131, CV131=0,  AZ131)</f>
        <v>5</v>
      </c>
      <c r="DA131" s="36" cm="1">
        <f t="array" ref="DA131">_xlfn.IFS(BO131&lt;&gt;"", BO131, CV131=0,  AQ131, CV131=1,  AZ131)</f>
        <v>5</v>
      </c>
      <c r="DB131" s="36">
        <f t="shared" ref="DB131:DB194" si="21">IF(COUNT(CY131,AH131)=2,CY131-AH131,"")</f>
        <v>0.5</v>
      </c>
      <c r="DC131" s="3">
        <f t="shared" ref="DC131:DC194" si="22">CX131-AH131</f>
        <v>0</v>
      </c>
      <c r="DD131" s="3">
        <f t="shared" ref="DD131:DD194" si="23">IF($CW131=1,CZ131-$AH131,CY131-$AH131)</f>
        <v>0.5</v>
      </c>
      <c r="DE131" s="3">
        <f t="shared" ref="DE131:DE194" si="24">IF($CW131=1,CY131-$AH131,CZ131-$AH131)</f>
        <v>0</v>
      </c>
      <c r="DF131" s="3">
        <f t="shared" ref="DF131:DF194" si="25">IF($CW131=1,$DA131-$AH131,$CX131-$AH131)</f>
        <v>0</v>
      </c>
      <c r="DG131" s="3">
        <f t="shared" ref="DG131:DG194" si="26">IF($CW131=1,$CX131-$AH131, $DA131-$AH131)</f>
        <v>0</v>
      </c>
    </row>
    <row r="132" spans="1:111" x14ac:dyDescent="0.4">
      <c r="A132" s="3">
        <v>202503</v>
      </c>
      <c r="B132" s="3">
        <v>222</v>
      </c>
      <c r="C132" s="5">
        <v>45733.630682870367</v>
      </c>
      <c r="D132" s="5">
        <v>45733.635983796295</v>
      </c>
      <c r="E132" s="3">
        <v>0</v>
      </c>
      <c r="F132" s="4" t="s">
        <v>470</v>
      </c>
      <c r="G132" s="3">
        <v>100</v>
      </c>
      <c r="H132" s="3">
        <v>458</v>
      </c>
      <c r="I132" s="3">
        <v>1</v>
      </c>
      <c r="J132" s="5">
        <v>45733.63600392361</v>
      </c>
      <c r="K132" s="4" t="s">
        <v>471</v>
      </c>
      <c r="L132" s="4" t="s">
        <v>122</v>
      </c>
      <c r="M132" s="4" t="s">
        <v>122</v>
      </c>
      <c r="N132" s="4" t="s">
        <v>122</v>
      </c>
      <c r="O132" s="4" t="s">
        <v>122</v>
      </c>
      <c r="P132" s="3">
        <v>32.406300000000002</v>
      </c>
      <c r="Q132" s="3">
        <v>-111.0633</v>
      </c>
      <c r="R132" s="4" t="s">
        <v>129</v>
      </c>
      <c r="S132" s="4" t="s">
        <v>124</v>
      </c>
      <c r="T132" s="4" t="s">
        <v>122</v>
      </c>
      <c r="U132" s="3">
        <v>1</v>
      </c>
      <c r="V132" s="3">
        <v>2</v>
      </c>
      <c r="W132" s="3">
        <v>1</v>
      </c>
      <c r="X132" s="3">
        <v>1</v>
      </c>
      <c r="Y132" s="3">
        <v>2</v>
      </c>
      <c r="Z132" s="3">
        <v>2</v>
      </c>
      <c r="AA132" s="3">
        <v>1</v>
      </c>
      <c r="AB132" s="4" t="s">
        <v>122</v>
      </c>
      <c r="AC132" s="4" t="s">
        <v>122</v>
      </c>
      <c r="AD132" s="4" t="s">
        <v>122</v>
      </c>
      <c r="AE132" s="4" t="s">
        <v>122</v>
      </c>
      <c r="AF132" s="4" t="s">
        <v>122</v>
      </c>
      <c r="AG132" s="3">
        <v>2</v>
      </c>
      <c r="AH132" s="3">
        <v>2</v>
      </c>
      <c r="AI132" s="3">
        <v>1</v>
      </c>
      <c r="AJ132" s="3">
        <v>1</v>
      </c>
      <c r="AK132" s="3">
        <v>7</v>
      </c>
      <c r="AL132" s="3">
        <v>8</v>
      </c>
      <c r="AM132" s="3">
        <v>1</v>
      </c>
      <c r="AN132" s="3">
        <v>5</v>
      </c>
      <c r="AO132" s="3">
        <v>5</v>
      </c>
      <c r="AP132" s="3">
        <v>2</v>
      </c>
      <c r="AQ132" s="3" t="s">
        <v>122</v>
      </c>
      <c r="AR132" s="3" t="s">
        <v>122</v>
      </c>
      <c r="AS132" s="3">
        <v>6</v>
      </c>
      <c r="AT132" s="3">
        <v>6</v>
      </c>
      <c r="AU132" s="3">
        <v>6</v>
      </c>
      <c r="AV132" s="3">
        <v>6</v>
      </c>
      <c r="AW132" s="3">
        <v>5</v>
      </c>
      <c r="AX132" s="3">
        <v>2</v>
      </c>
      <c r="AY132" s="3">
        <v>2</v>
      </c>
      <c r="AZ132" s="3" t="s">
        <v>122</v>
      </c>
      <c r="BA132" s="3" t="s">
        <v>122</v>
      </c>
      <c r="BB132" s="3" t="s">
        <v>122</v>
      </c>
      <c r="BC132" s="3" t="s">
        <v>122</v>
      </c>
      <c r="BD132" s="3" t="s">
        <v>122</v>
      </c>
      <c r="BE132" s="3" t="s">
        <v>122</v>
      </c>
      <c r="BF132" s="3" t="s">
        <v>122</v>
      </c>
      <c r="BG132" s="3" t="s">
        <v>122</v>
      </c>
      <c r="BH132" s="3" t="s">
        <v>122</v>
      </c>
      <c r="BI132" s="3" t="s">
        <v>122</v>
      </c>
      <c r="BJ132" s="3" t="s">
        <v>122</v>
      </c>
      <c r="BK132" s="3" t="s">
        <v>122</v>
      </c>
      <c r="BL132" s="3" t="s">
        <v>122</v>
      </c>
      <c r="BM132" s="3" t="s">
        <v>122</v>
      </c>
      <c r="BN132" s="3" t="s">
        <v>122</v>
      </c>
      <c r="BO132" s="3">
        <v>0</v>
      </c>
      <c r="BP132" s="3">
        <v>0</v>
      </c>
      <c r="BQ132" s="3">
        <v>2</v>
      </c>
      <c r="BR132" s="3" t="s">
        <v>122</v>
      </c>
      <c r="BS132" s="3" t="s">
        <v>122</v>
      </c>
      <c r="BT132" s="3" t="s">
        <v>122</v>
      </c>
      <c r="BU132" s="3" t="s">
        <v>122</v>
      </c>
      <c r="BV132" s="3" t="s">
        <v>122</v>
      </c>
      <c r="BW132" s="3" t="s">
        <v>122</v>
      </c>
      <c r="BX132" s="3" t="s">
        <v>122</v>
      </c>
      <c r="BY132" s="3" t="s">
        <v>122</v>
      </c>
      <c r="BZ132" s="3" t="s">
        <v>122</v>
      </c>
      <c r="CA132" s="3" t="s">
        <v>122</v>
      </c>
      <c r="CB132" s="3">
        <v>2</v>
      </c>
      <c r="CC132" s="3">
        <v>3</v>
      </c>
      <c r="CD132" s="3">
        <v>2</v>
      </c>
      <c r="CE132" s="3">
        <v>3</v>
      </c>
      <c r="CF132" s="3">
        <v>2</v>
      </c>
      <c r="CG132" s="4" t="s">
        <v>122</v>
      </c>
      <c r="CH132" s="3">
        <v>5</v>
      </c>
      <c r="CI132" s="4" t="s">
        <v>125</v>
      </c>
      <c r="CJ132" s="4" t="s">
        <v>122</v>
      </c>
      <c r="CK132" s="4" t="s">
        <v>122</v>
      </c>
      <c r="CL132" s="4" t="s">
        <v>122</v>
      </c>
      <c r="CM132" s="4" t="s">
        <v>122</v>
      </c>
      <c r="CN132" s="4" t="s">
        <v>122</v>
      </c>
      <c r="CO132" s="4" t="s">
        <v>122</v>
      </c>
      <c r="CP132" s="4" t="s">
        <v>122</v>
      </c>
      <c r="CQ132" s="4" t="s">
        <v>122</v>
      </c>
      <c r="CR132" s="4" t="s">
        <v>122</v>
      </c>
      <c r="CS132" s="3">
        <v>5</v>
      </c>
      <c r="CT132" s="3">
        <v>-999</v>
      </c>
      <c r="CU132" s="42">
        <v>4</v>
      </c>
      <c r="CV132" cm="1">
        <f t="array" ref="CV132">_xlfn.IFS(CU132*1=2,1,CU132*1=4,1,TRUE,0)</f>
        <v>1</v>
      </c>
      <c r="CW132" cm="1">
        <f t="array" ref="CW132">_xlfn.IFS(CU132*1=1,1,CU132*1=2,1,TRUE,0)</f>
        <v>0</v>
      </c>
      <c r="CX132" s="3">
        <f t="shared" si="19"/>
        <v>2</v>
      </c>
      <c r="CY132" s="3">
        <f t="shared" si="20"/>
        <v>2</v>
      </c>
      <c r="CZ132" s="3" cm="1">
        <f t="array" ref="CZ132">_xlfn.IFS(BP132&lt;&gt;"", BP132, CV132=1,  AQ132, CV132=0,  AZ132)</f>
        <v>0</v>
      </c>
      <c r="DA132" s="36" cm="1">
        <f t="array" ref="DA132">_xlfn.IFS(BO132&lt;&gt;"", BO132, CV132=0,  AQ132, CV132=1,  AZ132)</f>
        <v>0</v>
      </c>
      <c r="DB132" s="36">
        <f t="shared" si="21"/>
        <v>0</v>
      </c>
      <c r="DC132" s="3">
        <f t="shared" si="22"/>
        <v>0</v>
      </c>
      <c r="DD132" s="3">
        <f t="shared" si="23"/>
        <v>0</v>
      </c>
      <c r="DE132" s="3">
        <f t="shared" si="24"/>
        <v>-2</v>
      </c>
      <c r="DF132" s="3">
        <f t="shared" si="25"/>
        <v>0</v>
      </c>
      <c r="DG132" s="3">
        <f t="shared" si="26"/>
        <v>-2</v>
      </c>
    </row>
    <row r="133" spans="1:111" x14ac:dyDescent="0.4">
      <c r="A133" s="3">
        <v>202503</v>
      </c>
      <c r="B133" s="3">
        <v>222</v>
      </c>
      <c r="C133" s="5">
        <v>45733.633206018516</v>
      </c>
      <c r="D133" s="5">
        <v>45733.638356481482</v>
      </c>
      <c r="E133" s="3">
        <v>0</v>
      </c>
      <c r="F133" s="4" t="s">
        <v>472</v>
      </c>
      <c r="G133" s="3">
        <v>100</v>
      </c>
      <c r="H133" s="3">
        <v>445</v>
      </c>
      <c r="I133" s="3">
        <v>1</v>
      </c>
      <c r="J133" s="5">
        <v>45733.638377766205</v>
      </c>
      <c r="K133" s="4" t="s">
        <v>473</v>
      </c>
      <c r="L133" s="4" t="s">
        <v>122</v>
      </c>
      <c r="M133" s="4" t="s">
        <v>122</v>
      </c>
      <c r="N133" s="4" t="s">
        <v>122</v>
      </c>
      <c r="O133" s="4" t="s">
        <v>122</v>
      </c>
      <c r="P133" s="3">
        <v>32.250300000000003</v>
      </c>
      <c r="Q133" s="3">
        <v>-110.94499999999999</v>
      </c>
      <c r="R133" s="4" t="s">
        <v>129</v>
      </c>
      <c r="S133" s="4" t="s">
        <v>124</v>
      </c>
      <c r="T133" s="4" t="s">
        <v>122</v>
      </c>
      <c r="U133" s="3">
        <v>1</v>
      </c>
      <c r="V133" s="3">
        <v>3</v>
      </c>
      <c r="W133" s="3">
        <v>3</v>
      </c>
      <c r="X133" s="3">
        <v>1</v>
      </c>
      <c r="Y133" s="3">
        <v>1</v>
      </c>
      <c r="Z133" s="3">
        <v>1</v>
      </c>
      <c r="AA133" s="3">
        <v>1</v>
      </c>
      <c r="AB133" s="4" t="s">
        <v>122</v>
      </c>
      <c r="AC133" s="4" t="s">
        <v>122</v>
      </c>
      <c r="AD133" s="4" t="s">
        <v>122</v>
      </c>
      <c r="AE133" s="4" t="s">
        <v>122</v>
      </c>
      <c r="AF133" s="4" t="s">
        <v>122</v>
      </c>
      <c r="AG133" s="3">
        <v>4</v>
      </c>
      <c r="AH133" s="3">
        <v>4.5</v>
      </c>
      <c r="AI133" s="3">
        <v>3</v>
      </c>
      <c r="AJ133" s="3">
        <v>8</v>
      </c>
      <c r="AK133" s="3">
        <v>9</v>
      </c>
      <c r="AL133" s="3">
        <v>6</v>
      </c>
      <c r="AM133" s="3">
        <v>8</v>
      </c>
      <c r="AN133" s="3">
        <v>8</v>
      </c>
      <c r="AO133" s="3">
        <v>3</v>
      </c>
      <c r="AP133" s="3">
        <v>4</v>
      </c>
      <c r="AQ133" s="3">
        <v>5.5</v>
      </c>
      <c r="AR133" s="3">
        <v>3</v>
      </c>
      <c r="AS133" s="3">
        <v>3</v>
      </c>
      <c r="AT133" s="3">
        <v>7</v>
      </c>
      <c r="AU133" s="3">
        <v>4</v>
      </c>
      <c r="AV133" s="3">
        <v>2</v>
      </c>
      <c r="AW133" s="3">
        <v>6</v>
      </c>
      <c r="AX133" s="3">
        <v>5</v>
      </c>
      <c r="AY133" s="3">
        <v>4</v>
      </c>
      <c r="AZ133" s="3">
        <v>0</v>
      </c>
      <c r="BA133" s="3" t="s">
        <v>122</v>
      </c>
      <c r="BB133" s="3">
        <v>0</v>
      </c>
      <c r="BC133" s="3">
        <v>5.5</v>
      </c>
      <c r="BD133" s="3">
        <v>3</v>
      </c>
      <c r="BE133" s="3" t="s">
        <v>122</v>
      </c>
      <c r="BF133" s="3" t="s">
        <v>122</v>
      </c>
      <c r="BG133" s="3" t="s">
        <v>122</v>
      </c>
      <c r="BH133" s="3" t="s">
        <v>122</v>
      </c>
      <c r="BI133" s="3" t="s">
        <v>122</v>
      </c>
      <c r="BJ133" s="3" t="s">
        <v>122</v>
      </c>
      <c r="BK133" s="3" t="s">
        <v>122</v>
      </c>
      <c r="BL133" s="3" t="s">
        <v>122</v>
      </c>
      <c r="BM133" s="3" t="s">
        <v>122</v>
      </c>
      <c r="BN133" s="3">
        <v>1</v>
      </c>
      <c r="BO133" s="3" t="s">
        <v>122</v>
      </c>
      <c r="BP133" s="3" t="s">
        <v>122</v>
      </c>
      <c r="BQ133" s="3" t="s">
        <v>122</v>
      </c>
      <c r="BR133" s="3" t="s">
        <v>122</v>
      </c>
      <c r="BS133" s="3" t="s">
        <v>122</v>
      </c>
      <c r="BT133" s="3" t="s">
        <v>122</v>
      </c>
      <c r="BU133" s="3" t="s">
        <v>122</v>
      </c>
      <c r="BV133" s="3" t="s">
        <v>122</v>
      </c>
      <c r="BW133" s="3" t="s">
        <v>122</v>
      </c>
      <c r="BX133" s="3" t="s">
        <v>122</v>
      </c>
      <c r="BY133" s="3" t="s">
        <v>122</v>
      </c>
      <c r="BZ133" s="3" t="s">
        <v>122</v>
      </c>
      <c r="CA133" s="3" t="s">
        <v>122</v>
      </c>
      <c r="CB133" s="3" t="s">
        <v>122</v>
      </c>
      <c r="CC133" s="3" t="s">
        <v>122</v>
      </c>
      <c r="CD133" s="3" t="s">
        <v>122</v>
      </c>
      <c r="CE133" s="3" t="s">
        <v>122</v>
      </c>
      <c r="CF133" s="3">
        <v>1</v>
      </c>
      <c r="CG133" s="4" t="s">
        <v>122</v>
      </c>
      <c r="CH133" s="3">
        <v>2</v>
      </c>
      <c r="CI133" s="4" t="s">
        <v>122</v>
      </c>
      <c r="CJ133" s="4" t="s">
        <v>122</v>
      </c>
      <c r="CK133" s="4" t="s">
        <v>122</v>
      </c>
      <c r="CL133" s="4" t="s">
        <v>125</v>
      </c>
      <c r="CM133" s="4" t="s">
        <v>122</v>
      </c>
      <c r="CN133" s="4" t="s">
        <v>122</v>
      </c>
      <c r="CO133" s="4" t="s">
        <v>122</v>
      </c>
      <c r="CP133" s="4" t="s">
        <v>122</v>
      </c>
      <c r="CQ133" s="4" t="s">
        <v>122</v>
      </c>
      <c r="CR133" s="4" t="s">
        <v>122</v>
      </c>
      <c r="CS133" s="3">
        <v>3</v>
      </c>
      <c r="CT133" s="3">
        <v>1</v>
      </c>
      <c r="CU133" s="42">
        <v>2</v>
      </c>
      <c r="CV133" cm="1">
        <f t="array" ref="CV133">_xlfn.IFS(CU133*1=2,1,CU133*1=4,1,TRUE,0)</f>
        <v>1</v>
      </c>
      <c r="CW133" cm="1">
        <f t="array" ref="CW133">_xlfn.IFS(CU133*1=1,1,CU133*1=2,1,TRUE,0)</f>
        <v>1</v>
      </c>
      <c r="CX133" s="3">
        <f t="shared" si="19"/>
        <v>0</v>
      </c>
      <c r="CY133" s="3">
        <f t="shared" si="20"/>
        <v>5.5</v>
      </c>
      <c r="CZ133" s="3" cm="1">
        <f t="array" ref="CZ133">_xlfn.IFS(BP133&lt;&gt;"", BP133, CV133=1,  AQ133, CV133=0,  AZ133)</f>
        <v>5.5</v>
      </c>
      <c r="DA133" s="36" cm="1">
        <f t="array" ref="DA133">_xlfn.IFS(BO133&lt;&gt;"", BO133, CV133=0,  AQ133, CV133=1,  AZ133)</f>
        <v>0</v>
      </c>
      <c r="DB133" s="36">
        <f t="shared" si="21"/>
        <v>1</v>
      </c>
      <c r="DC133" s="3">
        <f t="shared" si="22"/>
        <v>-4.5</v>
      </c>
      <c r="DD133" s="3">
        <f t="shared" si="23"/>
        <v>1</v>
      </c>
      <c r="DE133" s="3">
        <f t="shared" si="24"/>
        <v>1</v>
      </c>
      <c r="DF133" s="3">
        <f t="shared" si="25"/>
        <v>-4.5</v>
      </c>
      <c r="DG133" s="3">
        <f t="shared" si="26"/>
        <v>-4.5</v>
      </c>
    </row>
    <row r="134" spans="1:111" x14ac:dyDescent="0.4">
      <c r="A134" s="3">
        <v>202503</v>
      </c>
      <c r="B134" s="3">
        <v>222</v>
      </c>
      <c r="C134" s="5">
        <v>45733.634525462963</v>
      </c>
      <c r="D134" s="5">
        <v>45733.640706018516</v>
      </c>
      <c r="E134" s="3">
        <v>0</v>
      </c>
      <c r="F134" s="4" t="s">
        <v>474</v>
      </c>
      <c r="G134" s="3">
        <v>100</v>
      </c>
      <c r="H134" s="3">
        <v>534</v>
      </c>
      <c r="I134" s="3">
        <v>1</v>
      </c>
      <c r="J134" s="5">
        <v>45733.640727939812</v>
      </c>
      <c r="K134" s="4" t="s">
        <v>475</v>
      </c>
      <c r="L134" s="4" t="s">
        <v>122</v>
      </c>
      <c r="M134" s="4" t="s">
        <v>122</v>
      </c>
      <c r="N134" s="4" t="s">
        <v>122</v>
      </c>
      <c r="O134" s="4" t="s">
        <v>122</v>
      </c>
      <c r="P134" s="3">
        <v>32.250300000000003</v>
      </c>
      <c r="Q134" s="3">
        <v>-110.94499999999999</v>
      </c>
      <c r="R134" s="4" t="s">
        <v>129</v>
      </c>
      <c r="S134" s="4" t="s">
        <v>124</v>
      </c>
      <c r="T134" s="4" t="s">
        <v>122</v>
      </c>
      <c r="U134" s="3">
        <v>1</v>
      </c>
      <c r="V134" s="3">
        <v>2</v>
      </c>
      <c r="W134" s="3">
        <v>1</v>
      </c>
      <c r="X134" s="3">
        <v>2</v>
      </c>
      <c r="Y134" s="3">
        <v>4</v>
      </c>
      <c r="Z134" s="3">
        <v>3</v>
      </c>
      <c r="AA134" s="3">
        <v>1</v>
      </c>
      <c r="AB134" s="4" t="s">
        <v>122</v>
      </c>
      <c r="AC134" s="4" t="s">
        <v>122</v>
      </c>
      <c r="AD134" s="4" t="s">
        <v>125</v>
      </c>
      <c r="AE134" s="4" t="s">
        <v>122</v>
      </c>
      <c r="AF134" s="4" t="s">
        <v>122</v>
      </c>
      <c r="AG134" s="3">
        <v>3</v>
      </c>
      <c r="AH134" s="3">
        <v>5</v>
      </c>
      <c r="AI134" s="3">
        <v>1</v>
      </c>
      <c r="AJ134" s="3">
        <v>7</v>
      </c>
      <c r="AK134" s="3">
        <v>5</v>
      </c>
      <c r="AL134" s="3">
        <v>6</v>
      </c>
      <c r="AM134" s="3">
        <v>7</v>
      </c>
      <c r="AN134" s="3">
        <v>8</v>
      </c>
      <c r="AO134" s="3">
        <v>2</v>
      </c>
      <c r="AP134" s="3">
        <v>3</v>
      </c>
      <c r="AQ134" s="3" t="s">
        <v>122</v>
      </c>
      <c r="AR134" s="3" t="s">
        <v>122</v>
      </c>
      <c r="AS134" s="3">
        <v>7</v>
      </c>
      <c r="AT134" s="3">
        <v>5</v>
      </c>
      <c r="AU134" s="3">
        <v>7</v>
      </c>
      <c r="AV134" s="3">
        <v>6</v>
      </c>
      <c r="AW134" s="3">
        <v>8</v>
      </c>
      <c r="AX134" s="3">
        <v>3</v>
      </c>
      <c r="AY134" s="3">
        <v>3</v>
      </c>
      <c r="AZ134" s="3" t="s">
        <v>122</v>
      </c>
      <c r="BA134" s="3" t="s">
        <v>122</v>
      </c>
      <c r="BB134" s="3" t="s">
        <v>122</v>
      </c>
      <c r="BC134" s="3" t="s">
        <v>122</v>
      </c>
      <c r="BD134" s="3" t="s">
        <v>122</v>
      </c>
      <c r="BE134" s="3" t="s">
        <v>122</v>
      </c>
      <c r="BF134" s="3" t="s">
        <v>122</v>
      </c>
      <c r="BG134" s="3" t="s">
        <v>122</v>
      </c>
      <c r="BH134" s="3" t="s">
        <v>122</v>
      </c>
      <c r="BI134" s="3" t="s">
        <v>122</v>
      </c>
      <c r="BJ134" s="3" t="s">
        <v>122</v>
      </c>
      <c r="BK134" s="3" t="s">
        <v>122</v>
      </c>
      <c r="BL134" s="3" t="s">
        <v>122</v>
      </c>
      <c r="BM134" s="3" t="s">
        <v>122</v>
      </c>
      <c r="BN134" s="3" t="s">
        <v>122</v>
      </c>
      <c r="BO134" s="3">
        <v>6</v>
      </c>
      <c r="BP134" s="3">
        <v>5</v>
      </c>
      <c r="BQ134" s="3">
        <v>2</v>
      </c>
      <c r="BR134" s="3" t="s">
        <v>122</v>
      </c>
      <c r="BS134" s="3" t="s">
        <v>122</v>
      </c>
      <c r="BT134" s="3" t="s">
        <v>122</v>
      </c>
      <c r="BU134" s="3" t="s">
        <v>122</v>
      </c>
      <c r="BV134" s="3" t="s">
        <v>122</v>
      </c>
      <c r="BW134" s="3" t="s">
        <v>122</v>
      </c>
      <c r="BX134" s="3" t="s">
        <v>122</v>
      </c>
      <c r="BY134" s="3" t="s">
        <v>122</v>
      </c>
      <c r="BZ134" s="3" t="s">
        <v>122</v>
      </c>
      <c r="CA134" s="3">
        <v>5</v>
      </c>
      <c r="CB134" s="3">
        <v>5.5</v>
      </c>
      <c r="CC134" s="3">
        <v>3</v>
      </c>
      <c r="CD134" s="3">
        <v>5</v>
      </c>
      <c r="CE134" s="3">
        <v>2</v>
      </c>
      <c r="CF134" s="3">
        <v>2</v>
      </c>
      <c r="CG134" s="4" t="s">
        <v>122</v>
      </c>
      <c r="CH134" s="3">
        <v>2</v>
      </c>
      <c r="CI134" s="4" t="s">
        <v>122</v>
      </c>
      <c r="CJ134" s="4" t="s">
        <v>122</v>
      </c>
      <c r="CK134" s="4" t="s">
        <v>122</v>
      </c>
      <c r="CL134" s="4" t="s">
        <v>122</v>
      </c>
      <c r="CM134" s="4" t="s">
        <v>122</v>
      </c>
      <c r="CN134" s="4" t="s">
        <v>122</v>
      </c>
      <c r="CO134" s="4" t="s">
        <v>125</v>
      </c>
      <c r="CP134" s="4" t="s">
        <v>122</v>
      </c>
      <c r="CQ134" s="4" t="s">
        <v>122</v>
      </c>
      <c r="CR134" s="4" t="s">
        <v>122</v>
      </c>
      <c r="CS134" s="3">
        <v>3</v>
      </c>
      <c r="CT134" s="3">
        <v>-999</v>
      </c>
      <c r="CU134" s="42">
        <v>4</v>
      </c>
      <c r="CV134" cm="1">
        <f t="array" ref="CV134">_xlfn.IFS(CU134*1=2,1,CU134*1=4,1,TRUE,0)</f>
        <v>1</v>
      </c>
      <c r="CW134" cm="1">
        <f t="array" ref="CW134">_xlfn.IFS(CU134*1=1,1,CU134*1=2,1,TRUE,0)</f>
        <v>0</v>
      </c>
      <c r="CX134" s="3">
        <f t="shared" si="19"/>
        <v>5.5</v>
      </c>
      <c r="CY134" s="3">
        <f t="shared" si="20"/>
        <v>5</v>
      </c>
      <c r="CZ134" s="3" cm="1">
        <f t="array" ref="CZ134">_xlfn.IFS(BP134&lt;&gt;"", BP134, CV134=1,  AQ134, CV134=0,  AZ134)</f>
        <v>5</v>
      </c>
      <c r="DA134" s="36" cm="1">
        <f t="array" ref="DA134">_xlfn.IFS(BO134&lt;&gt;"", BO134, CV134=0,  AQ134, CV134=1,  AZ134)</f>
        <v>6</v>
      </c>
      <c r="DB134" s="36">
        <f t="shared" si="21"/>
        <v>0</v>
      </c>
      <c r="DC134" s="3">
        <f t="shared" si="22"/>
        <v>0.5</v>
      </c>
      <c r="DD134" s="3">
        <f t="shared" si="23"/>
        <v>0</v>
      </c>
      <c r="DE134" s="3">
        <f t="shared" si="24"/>
        <v>0</v>
      </c>
      <c r="DF134" s="3">
        <f t="shared" si="25"/>
        <v>0.5</v>
      </c>
      <c r="DG134" s="3">
        <f t="shared" si="26"/>
        <v>1</v>
      </c>
    </row>
    <row r="135" spans="1:111" x14ac:dyDescent="0.4">
      <c r="A135" s="3">
        <v>202503</v>
      </c>
      <c r="B135" s="3">
        <v>222</v>
      </c>
      <c r="C135" s="5">
        <v>45733.63622685185</v>
      </c>
      <c r="D135" s="5">
        <v>45733.642118055555</v>
      </c>
      <c r="E135" s="3">
        <v>0</v>
      </c>
      <c r="F135" s="4" t="s">
        <v>476</v>
      </c>
      <c r="G135" s="3">
        <v>100</v>
      </c>
      <c r="H135" s="3">
        <v>508</v>
      </c>
      <c r="I135" s="3">
        <v>1</v>
      </c>
      <c r="J135" s="5">
        <v>45733.642133587964</v>
      </c>
      <c r="K135" s="4" t="s">
        <v>477</v>
      </c>
      <c r="L135" s="4" t="s">
        <v>122</v>
      </c>
      <c r="M135" s="4" t="s">
        <v>122</v>
      </c>
      <c r="N135" s="4" t="s">
        <v>122</v>
      </c>
      <c r="O135" s="4" t="s">
        <v>122</v>
      </c>
      <c r="P135" s="3">
        <v>32.338299999999997</v>
      </c>
      <c r="Q135" s="3">
        <v>-111.0455</v>
      </c>
      <c r="R135" s="4" t="s">
        <v>129</v>
      </c>
      <c r="S135" s="4" t="s">
        <v>124</v>
      </c>
      <c r="T135" s="4" t="s">
        <v>122</v>
      </c>
      <c r="U135" s="3">
        <v>1</v>
      </c>
      <c r="V135" s="3">
        <v>2</v>
      </c>
      <c r="W135" s="3">
        <v>2</v>
      </c>
      <c r="X135" s="3">
        <v>1</v>
      </c>
      <c r="Y135" s="3">
        <v>3</v>
      </c>
      <c r="Z135" s="3">
        <v>2</v>
      </c>
      <c r="AA135" s="3">
        <v>1</v>
      </c>
      <c r="AB135" s="4" t="s">
        <v>122</v>
      </c>
      <c r="AC135" s="4" t="s">
        <v>122</v>
      </c>
      <c r="AD135" s="4" t="s">
        <v>122</v>
      </c>
      <c r="AE135" s="4" t="s">
        <v>122</v>
      </c>
      <c r="AF135" s="4" t="s">
        <v>122</v>
      </c>
      <c r="AG135" s="3">
        <v>3</v>
      </c>
      <c r="AH135" s="3">
        <v>5</v>
      </c>
      <c r="AI135" s="3">
        <v>2</v>
      </c>
      <c r="AJ135" s="3">
        <v>7</v>
      </c>
      <c r="AK135" s="3">
        <v>7</v>
      </c>
      <c r="AL135" s="3">
        <v>6</v>
      </c>
      <c r="AM135" s="3">
        <v>8</v>
      </c>
      <c r="AN135" s="3">
        <v>8</v>
      </c>
      <c r="AO135" s="3">
        <v>3</v>
      </c>
      <c r="AP135" s="3">
        <v>4</v>
      </c>
      <c r="AQ135" s="4">
        <v>5.5</v>
      </c>
      <c r="AR135" s="4">
        <v>2</v>
      </c>
      <c r="AS135" s="3">
        <v>6</v>
      </c>
      <c r="AT135" s="3">
        <v>7</v>
      </c>
      <c r="AU135" s="3">
        <v>6</v>
      </c>
      <c r="AV135" s="3">
        <v>6</v>
      </c>
      <c r="AW135" s="3">
        <v>7</v>
      </c>
      <c r="AX135" s="3">
        <v>4</v>
      </c>
      <c r="AY135" s="3">
        <v>2</v>
      </c>
      <c r="AZ135" s="4">
        <v>4</v>
      </c>
      <c r="BA135" s="4">
        <v>2</v>
      </c>
      <c r="BB135" s="3">
        <v>5</v>
      </c>
      <c r="BC135" s="3">
        <v>4</v>
      </c>
      <c r="BD135" s="3">
        <v>2</v>
      </c>
      <c r="BE135" s="3" t="s">
        <v>122</v>
      </c>
      <c r="BF135" s="3" t="s">
        <v>122</v>
      </c>
      <c r="BG135" s="3" t="s">
        <v>122</v>
      </c>
      <c r="BH135" s="3" t="s">
        <v>122</v>
      </c>
      <c r="BI135" s="3" t="s">
        <v>122</v>
      </c>
      <c r="BJ135" s="3" t="s">
        <v>122</v>
      </c>
      <c r="BK135" s="3" t="s">
        <v>122</v>
      </c>
      <c r="BL135" s="3" t="s">
        <v>122</v>
      </c>
      <c r="BM135" s="3" t="s">
        <v>122</v>
      </c>
      <c r="BN135" s="3">
        <v>1</v>
      </c>
      <c r="BO135" s="3" t="s">
        <v>122</v>
      </c>
      <c r="BP135" s="3" t="s">
        <v>122</v>
      </c>
      <c r="BQ135" s="3" t="s">
        <v>122</v>
      </c>
      <c r="BR135" s="3" t="s">
        <v>122</v>
      </c>
      <c r="BS135" s="3" t="s">
        <v>122</v>
      </c>
      <c r="BT135" s="3" t="s">
        <v>122</v>
      </c>
      <c r="BU135" s="3" t="s">
        <v>122</v>
      </c>
      <c r="BV135" s="3" t="s">
        <v>122</v>
      </c>
      <c r="BW135" s="3" t="s">
        <v>122</v>
      </c>
      <c r="BX135" s="3" t="s">
        <v>122</v>
      </c>
      <c r="BY135" s="3" t="s">
        <v>122</v>
      </c>
      <c r="BZ135" s="3" t="s">
        <v>122</v>
      </c>
      <c r="CA135" s="3" t="s">
        <v>122</v>
      </c>
      <c r="CB135" s="3" t="s">
        <v>122</v>
      </c>
      <c r="CC135" s="3" t="s">
        <v>122</v>
      </c>
      <c r="CD135" s="3" t="s">
        <v>122</v>
      </c>
      <c r="CE135" s="3" t="s">
        <v>122</v>
      </c>
      <c r="CF135" s="3">
        <v>1</v>
      </c>
      <c r="CG135" s="4" t="s">
        <v>122</v>
      </c>
      <c r="CH135" s="3">
        <v>2</v>
      </c>
      <c r="CI135" s="4" t="s">
        <v>122</v>
      </c>
      <c r="CJ135" s="4" t="s">
        <v>122</v>
      </c>
      <c r="CK135" s="4" t="s">
        <v>122</v>
      </c>
      <c r="CL135" s="4" t="s">
        <v>122</v>
      </c>
      <c r="CM135" s="4" t="s">
        <v>122</v>
      </c>
      <c r="CN135" s="4" t="s">
        <v>122</v>
      </c>
      <c r="CO135" s="4" t="s">
        <v>125</v>
      </c>
      <c r="CP135" s="4" t="s">
        <v>122</v>
      </c>
      <c r="CQ135" s="4" t="s">
        <v>122</v>
      </c>
      <c r="CR135" s="4" t="s">
        <v>122</v>
      </c>
      <c r="CS135" s="3">
        <v>3</v>
      </c>
      <c r="CT135" s="3">
        <v>1</v>
      </c>
      <c r="CU135" s="42">
        <v>1</v>
      </c>
      <c r="CV135" cm="1">
        <f t="array" ref="CV135">_xlfn.IFS(CU135*1=2,1,CU135*1=4,1,TRUE,0)</f>
        <v>0</v>
      </c>
      <c r="CW135" cm="1">
        <f t="array" ref="CW135">_xlfn.IFS(CU135*1=1,1,CU135*1=2,1,TRUE,0)</f>
        <v>1</v>
      </c>
      <c r="CX135" s="3">
        <f t="shared" si="19"/>
        <v>5</v>
      </c>
      <c r="CY135" s="3">
        <f t="shared" si="20"/>
        <v>4</v>
      </c>
      <c r="CZ135" s="3" cm="1">
        <f t="array" ref="CZ135">_xlfn.IFS(BP135&lt;&gt;"", BP135, CV135=1,  AQ135, CV135=0,  AZ135)</f>
        <v>4</v>
      </c>
      <c r="DA135" s="36" cm="1">
        <f t="array" ref="DA135">_xlfn.IFS(BO135&lt;&gt;"", BO135, CV135=0,  AQ135, CV135=1,  AZ135)</f>
        <v>5.5</v>
      </c>
      <c r="DB135" s="36">
        <f t="shared" si="21"/>
        <v>-1</v>
      </c>
      <c r="DC135" s="3">
        <f t="shared" si="22"/>
        <v>0</v>
      </c>
      <c r="DD135" s="3">
        <f t="shared" si="23"/>
        <v>-1</v>
      </c>
      <c r="DE135" s="3">
        <f t="shared" si="24"/>
        <v>-1</v>
      </c>
      <c r="DF135" s="3">
        <f t="shared" si="25"/>
        <v>0.5</v>
      </c>
      <c r="DG135" s="3">
        <f t="shared" si="26"/>
        <v>0</v>
      </c>
    </row>
    <row r="136" spans="1:111" x14ac:dyDescent="0.4">
      <c r="A136" s="3">
        <v>202503</v>
      </c>
      <c r="B136" s="3">
        <v>222</v>
      </c>
      <c r="C136" s="5">
        <v>45733.636956018519</v>
      </c>
      <c r="D136" s="5">
        <v>45733.642280092594</v>
      </c>
      <c r="E136" s="3">
        <v>0</v>
      </c>
      <c r="F136" s="4" t="s">
        <v>271</v>
      </c>
      <c r="G136" s="3">
        <v>100</v>
      </c>
      <c r="H136" s="3">
        <v>459</v>
      </c>
      <c r="I136" s="3">
        <v>1</v>
      </c>
      <c r="J136" s="5">
        <v>45733.642292534721</v>
      </c>
      <c r="K136" s="4" t="s">
        <v>478</v>
      </c>
      <c r="L136" s="4" t="s">
        <v>122</v>
      </c>
      <c r="M136" s="4" t="s">
        <v>122</v>
      </c>
      <c r="N136" s="4" t="s">
        <v>122</v>
      </c>
      <c r="O136" s="4" t="s">
        <v>122</v>
      </c>
      <c r="P136" s="3">
        <v>32.250300000000003</v>
      </c>
      <c r="Q136" s="3">
        <v>-110.94499999999999</v>
      </c>
      <c r="R136" s="4" t="s">
        <v>129</v>
      </c>
      <c r="S136" s="4" t="s">
        <v>124</v>
      </c>
      <c r="T136" s="4" t="s">
        <v>122</v>
      </c>
      <c r="U136" s="3">
        <v>1</v>
      </c>
      <c r="V136" s="3">
        <v>4</v>
      </c>
      <c r="W136" s="3">
        <v>3</v>
      </c>
      <c r="X136" s="3">
        <v>1</v>
      </c>
      <c r="Y136" s="3">
        <v>1</v>
      </c>
      <c r="Z136" s="3">
        <v>2</v>
      </c>
      <c r="AA136" s="3">
        <v>1</v>
      </c>
      <c r="AB136" s="4" t="s">
        <v>122</v>
      </c>
      <c r="AC136" s="4" t="s">
        <v>122</v>
      </c>
      <c r="AD136" s="4" t="s">
        <v>122</v>
      </c>
      <c r="AE136" s="4" t="s">
        <v>122</v>
      </c>
      <c r="AF136" s="4" t="s">
        <v>122</v>
      </c>
      <c r="AG136" s="3">
        <v>4</v>
      </c>
      <c r="AH136" s="3">
        <v>4</v>
      </c>
      <c r="AI136" s="3">
        <v>2</v>
      </c>
      <c r="AJ136" s="3">
        <v>8</v>
      </c>
      <c r="AK136" s="3">
        <v>8</v>
      </c>
      <c r="AL136" s="3">
        <v>7</v>
      </c>
      <c r="AM136" s="3">
        <v>8</v>
      </c>
      <c r="AN136" s="3">
        <v>8</v>
      </c>
      <c r="AO136" s="3">
        <v>3</v>
      </c>
      <c r="AP136" s="3">
        <v>3</v>
      </c>
      <c r="AQ136" s="4">
        <v>5</v>
      </c>
      <c r="AR136" s="4">
        <v>2</v>
      </c>
      <c r="AS136" s="3">
        <v>6</v>
      </c>
      <c r="AT136" s="3">
        <v>6</v>
      </c>
      <c r="AU136" s="3">
        <v>4</v>
      </c>
      <c r="AV136" s="3">
        <v>8</v>
      </c>
      <c r="AW136" s="3">
        <v>8</v>
      </c>
      <c r="AX136" s="3">
        <v>3</v>
      </c>
      <c r="AY136" s="3">
        <v>3</v>
      </c>
      <c r="AZ136" s="4">
        <v>5</v>
      </c>
      <c r="BA136" s="4">
        <v>2</v>
      </c>
      <c r="BB136" s="3">
        <v>4.5</v>
      </c>
      <c r="BC136" s="3">
        <v>5</v>
      </c>
      <c r="BD136" s="3">
        <v>2</v>
      </c>
      <c r="BE136" s="3" t="s">
        <v>122</v>
      </c>
      <c r="BF136" s="3" t="s">
        <v>122</v>
      </c>
      <c r="BG136" s="3" t="s">
        <v>122</v>
      </c>
      <c r="BH136" s="3" t="s">
        <v>122</v>
      </c>
      <c r="BI136" s="3" t="s">
        <v>122</v>
      </c>
      <c r="BJ136" s="3" t="s">
        <v>122</v>
      </c>
      <c r="BK136" s="3" t="s">
        <v>122</v>
      </c>
      <c r="BL136" s="3" t="s">
        <v>122</v>
      </c>
      <c r="BM136" s="3" t="s">
        <v>122</v>
      </c>
      <c r="BN136" s="3">
        <v>1</v>
      </c>
      <c r="BO136" s="3" t="s">
        <v>122</v>
      </c>
      <c r="BP136" s="3" t="s">
        <v>122</v>
      </c>
      <c r="BQ136" s="3" t="s">
        <v>122</v>
      </c>
      <c r="BR136" s="3" t="s">
        <v>122</v>
      </c>
      <c r="BS136" s="3" t="s">
        <v>122</v>
      </c>
      <c r="BT136" s="3" t="s">
        <v>122</v>
      </c>
      <c r="BU136" s="3" t="s">
        <v>122</v>
      </c>
      <c r="BV136" s="3" t="s">
        <v>122</v>
      </c>
      <c r="BW136" s="3" t="s">
        <v>122</v>
      </c>
      <c r="BX136" s="3" t="s">
        <v>122</v>
      </c>
      <c r="BY136" s="3" t="s">
        <v>122</v>
      </c>
      <c r="BZ136" s="3" t="s">
        <v>122</v>
      </c>
      <c r="CA136" s="3" t="s">
        <v>122</v>
      </c>
      <c r="CB136" s="3" t="s">
        <v>122</v>
      </c>
      <c r="CC136" s="3" t="s">
        <v>122</v>
      </c>
      <c r="CD136" s="3" t="s">
        <v>122</v>
      </c>
      <c r="CE136" s="3" t="s">
        <v>122</v>
      </c>
      <c r="CF136" s="3">
        <v>1</v>
      </c>
      <c r="CG136" s="4" t="s">
        <v>122</v>
      </c>
      <c r="CH136" s="3">
        <v>2</v>
      </c>
      <c r="CI136" s="4" t="s">
        <v>122</v>
      </c>
      <c r="CJ136" s="4" t="s">
        <v>122</v>
      </c>
      <c r="CK136" s="4" t="s">
        <v>122</v>
      </c>
      <c r="CL136" s="4" t="s">
        <v>122</v>
      </c>
      <c r="CM136" s="4" t="s">
        <v>122</v>
      </c>
      <c r="CN136" s="4" t="s">
        <v>122</v>
      </c>
      <c r="CO136" s="4" t="s">
        <v>125</v>
      </c>
      <c r="CP136" s="4" t="s">
        <v>122</v>
      </c>
      <c r="CQ136" s="4" t="s">
        <v>122</v>
      </c>
      <c r="CR136" s="4" t="s">
        <v>122</v>
      </c>
      <c r="CS136" s="3">
        <v>3</v>
      </c>
      <c r="CT136" s="3">
        <v>-999</v>
      </c>
      <c r="CU136" s="42">
        <v>2</v>
      </c>
      <c r="CV136" cm="1">
        <f t="array" ref="CV136">_xlfn.IFS(CU136*1=2,1,CU136*1=4,1,TRUE,0)</f>
        <v>1</v>
      </c>
      <c r="CW136" cm="1">
        <f t="array" ref="CW136">_xlfn.IFS(CU136*1=1,1,CU136*1=2,1,TRUE,0)</f>
        <v>1</v>
      </c>
      <c r="CX136" s="3">
        <f t="shared" si="19"/>
        <v>4.5</v>
      </c>
      <c r="CY136" s="3">
        <f t="shared" si="20"/>
        <v>5</v>
      </c>
      <c r="CZ136" s="3" cm="1">
        <f t="array" ref="CZ136">_xlfn.IFS(BP136&lt;&gt;"", BP136, CV136=1,  AQ136, CV136=0,  AZ136)</f>
        <v>5</v>
      </c>
      <c r="DA136" s="36" cm="1">
        <f t="array" ref="DA136">_xlfn.IFS(BO136&lt;&gt;"", BO136, CV136=0,  AQ136, CV136=1,  AZ136)</f>
        <v>5</v>
      </c>
      <c r="DB136" s="36">
        <f t="shared" si="21"/>
        <v>1</v>
      </c>
      <c r="DC136" s="3">
        <f t="shared" si="22"/>
        <v>0.5</v>
      </c>
      <c r="DD136" s="3">
        <f t="shared" si="23"/>
        <v>1</v>
      </c>
      <c r="DE136" s="3">
        <f t="shared" si="24"/>
        <v>1</v>
      </c>
      <c r="DF136" s="3">
        <f t="shared" si="25"/>
        <v>1</v>
      </c>
      <c r="DG136" s="3">
        <f t="shared" si="26"/>
        <v>0.5</v>
      </c>
    </row>
    <row r="137" spans="1:111" x14ac:dyDescent="0.4">
      <c r="A137" s="3">
        <v>202503</v>
      </c>
      <c r="B137" s="3">
        <v>222</v>
      </c>
      <c r="C137" s="5">
        <v>45733.636979166666</v>
      </c>
      <c r="D137" s="5">
        <v>45733.643067129633</v>
      </c>
      <c r="E137" s="3">
        <v>0</v>
      </c>
      <c r="F137" s="4" t="s">
        <v>479</v>
      </c>
      <c r="G137" s="3">
        <v>100</v>
      </c>
      <c r="H137" s="3">
        <v>525</v>
      </c>
      <c r="I137" s="3">
        <v>1</v>
      </c>
      <c r="J137" s="5">
        <v>45733.643081840281</v>
      </c>
      <c r="K137" s="4" t="s">
        <v>480</v>
      </c>
      <c r="L137" s="4" t="s">
        <v>122</v>
      </c>
      <c r="M137" s="4" t="s">
        <v>122</v>
      </c>
      <c r="N137" s="4" t="s">
        <v>122</v>
      </c>
      <c r="O137" s="4" t="s">
        <v>122</v>
      </c>
      <c r="P137" s="3">
        <v>36.172400000000003</v>
      </c>
      <c r="Q137" s="3">
        <v>-115.0677</v>
      </c>
      <c r="R137" s="4" t="s">
        <v>129</v>
      </c>
      <c r="S137" s="4" t="s">
        <v>124</v>
      </c>
      <c r="T137" s="4" t="s">
        <v>122</v>
      </c>
      <c r="U137" s="3">
        <v>1</v>
      </c>
      <c r="V137" s="3">
        <v>3</v>
      </c>
      <c r="W137" s="3">
        <v>2</v>
      </c>
      <c r="X137" s="3">
        <v>1</v>
      </c>
      <c r="Y137" s="3">
        <v>1</v>
      </c>
      <c r="Z137" s="3">
        <v>1</v>
      </c>
      <c r="AA137" s="3">
        <v>1</v>
      </c>
      <c r="AB137" s="4" t="s">
        <v>122</v>
      </c>
      <c r="AC137" s="4" t="s">
        <v>122</v>
      </c>
      <c r="AD137" s="4" t="s">
        <v>122</v>
      </c>
      <c r="AE137" s="4" t="s">
        <v>122</v>
      </c>
      <c r="AF137" s="4" t="s">
        <v>122</v>
      </c>
      <c r="AG137" s="3">
        <v>3</v>
      </c>
      <c r="AH137" s="3">
        <v>6</v>
      </c>
      <c r="AI137" s="3">
        <v>3</v>
      </c>
      <c r="AJ137" s="3">
        <v>7</v>
      </c>
      <c r="AK137" s="3">
        <v>8</v>
      </c>
      <c r="AL137" s="3">
        <v>8</v>
      </c>
      <c r="AM137" s="3">
        <v>7</v>
      </c>
      <c r="AN137" s="3">
        <v>8</v>
      </c>
      <c r="AO137" s="3">
        <v>4</v>
      </c>
      <c r="AP137" s="3">
        <v>3</v>
      </c>
      <c r="AQ137" s="4">
        <v>7</v>
      </c>
      <c r="AR137" s="4">
        <v>2</v>
      </c>
      <c r="AS137" s="3">
        <v>6</v>
      </c>
      <c r="AT137" s="3">
        <v>8</v>
      </c>
      <c r="AU137" s="3">
        <v>6</v>
      </c>
      <c r="AV137" s="3">
        <v>4</v>
      </c>
      <c r="AW137" s="3">
        <v>8</v>
      </c>
      <c r="AX137" s="3">
        <v>1</v>
      </c>
      <c r="AY137" s="3">
        <v>3</v>
      </c>
      <c r="AZ137" s="4">
        <v>5</v>
      </c>
      <c r="BA137" s="4">
        <v>2</v>
      </c>
      <c r="BB137" s="3">
        <v>5</v>
      </c>
      <c r="BC137" s="3">
        <v>6</v>
      </c>
      <c r="BD137" s="3">
        <v>2</v>
      </c>
      <c r="BE137" s="3" t="s">
        <v>122</v>
      </c>
      <c r="BF137" s="3" t="s">
        <v>122</v>
      </c>
      <c r="BG137" s="3" t="s">
        <v>122</v>
      </c>
      <c r="BH137" s="3" t="s">
        <v>122</v>
      </c>
      <c r="BI137" s="3" t="s">
        <v>122</v>
      </c>
      <c r="BJ137" s="3" t="s">
        <v>122</v>
      </c>
      <c r="BK137" s="3" t="s">
        <v>122</v>
      </c>
      <c r="BL137" s="3" t="s">
        <v>122</v>
      </c>
      <c r="BM137" s="3" t="s">
        <v>122</v>
      </c>
      <c r="BN137" s="3">
        <v>1</v>
      </c>
      <c r="BO137" s="3" t="s">
        <v>122</v>
      </c>
      <c r="BP137" s="3" t="s">
        <v>122</v>
      </c>
      <c r="BQ137" s="3" t="s">
        <v>122</v>
      </c>
      <c r="BR137" s="3" t="s">
        <v>122</v>
      </c>
      <c r="BS137" s="3" t="s">
        <v>122</v>
      </c>
      <c r="BT137" s="3" t="s">
        <v>122</v>
      </c>
      <c r="BU137" s="3" t="s">
        <v>122</v>
      </c>
      <c r="BV137" s="3" t="s">
        <v>122</v>
      </c>
      <c r="BW137" s="3" t="s">
        <v>122</v>
      </c>
      <c r="BX137" s="3" t="s">
        <v>122</v>
      </c>
      <c r="BY137" s="3" t="s">
        <v>122</v>
      </c>
      <c r="BZ137" s="3" t="s">
        <v>122</v>
      </c>
      <c r="CA137" s="3" t="s">
        <v>122</v>
      </c>
      <c r="CB137" s="3" t="s">
        <v>122</v>
      </c>
      <c r="CC137" s="3" t="s">
        <v>122</v>
      </c>
      <c r="CD137" s="3" t="s">
        <v>122</v>
      </c>
      <c r="CE137" s="3" t="s">
        <v>122</v>
      </c>
      <c r="CF137" s="3">
        <v>2</v>
      </c>
      <c r="CG137" s="4" t="s">
        <v>122</v>
      </c>
      <c r="CH137" s="3">
        <v>5</v>
      </c>
      <c r="CI137" s="4" t="s">
        <v>122</v>
      </c>
      <c r="CJ137" s="4" t="s">
        <v>122</v>
      </c>
      <c r="CK137" s="4" t="s">
        <v>122</v>
      </c>
      <c r="CL137" s="4" t="s">
        <v>122</v>
      </c>
      <c r="CM137" s="4" t="s">
        <v>122</v>
      </c>
      <c r="CN137" s="4" t="s">
        <v>122</v>
      </c>
      <c r="CO137" s="4" t="s">
        <v>125</v>
      </c>
      <c r="CP137" s="4" t="s">
        <v>122</v>
      </c>
      <c r="CQ137" s="4" t="s">
        <v>122</v>
      </c>
      <c r="CR137" s="4" t="s">
        <v>122</v>
      </c>
      <c r="CS137" s="3">
        <v>5</v>
      </c>
      <c r="CT137" s="3">
        <v>5</v>
      </c>
      <c r="CU137" s="42">
        <v>2</v>
      </c>
      <c r="CV137" cm="1">
        <f t="array" ref="CV137">_xlfn.IFS(CU137*1=2,1,CU137*1=4,1,TRUE,0)</f>
        <v>1</v>
      </c>
      <c r="CW137" cm="1">
        <f t="array" ref="CW137">_xlfn.IFS(CU137*1=1,1,CU137*1=2,1,TRUE,0)</f>
        <v>1</v>
      </c>
      <c r="CX137" s="3">
        <f t="shared" si="19"/>
        <v>5</v>
      </c>
      <c r="CY137" s="3">
        <f t="shared" si="20"/>
        <v>6</v>
      </c>
      <c r="CZ137" s="3" cm="1">
        <f t="array" ref="CZ137">_xlfn.IFS(BP137&lt;&gt;"", BP137, CV137=1,  AQ137, CV137=0,  AZ137)</f>
        <v>7</v>
      </c>
      <c r="DA137" s="36" cm="1">
        <f t="array" ref="DA137">_xlfn.IFS(BO137&lt;&gt;"", BO137, CV137=0,  AQ137, CV137=1,  AZ137)</f>
        <v>5</v>
      </c>
      <c r="DB137" s="36">
        <f t="shared" si="21"/>
        <v>0</v>
      </c>
      <c r="DC137" s="3">
        <f t="shared" si="22"/>
        <v>-1</v>
      </c>
      <c r="DD137" s="3">
        <f t="shared" si="23"/>
        <v>1</v>
      </c>
      <c r="DE137" s="3">
        <f t="shared" si="24"/>
        <v>0</v>
      </c>
      <c r="DF137" s="3">
        <f t="shared" si="25"/>
        <v>-1</v>
      </c>
      <c r="DG137" s="3">
        <f t="shared" si="26"/>
        <v>-1</v>
      </c>
    </row>
    <row r="138" spans="1:111" x14ac:dyDescent="0.4">
      <c r="A138" s="3">
        <v>202503</v>
      </c>
      <c r="B138" s="3">
        <v>222</v>
      </c>
      <c r="C138" s="5">
        <v>45733.641134259262</v>
      </c>
      <c r="D138" s="5">
        <v>45733.647245370368</v>
      </c>
      <c r="E138" s="3">
        <v>0</v>
      </c>
      <c r="F138" s="4" t="s">
        <v>127</v>
      </c>
      <c r="G138" s="3">
        <v>100</v>
      </c>
      <c r="H138" s="3">
        <v>527</v>
      </c>
      <c r="I138" s="3">
        <v>1</v>
      </c>
      <c r="J138" s="5">
        <v>45733.647260393518</v>
      </c>
      <c r="K138" s="4" t="s">
        <v>481</v>
      </c>
      <c r="L138" s="4" t="s">
        <v>122</v>
      </c>
      <c r="M138" s="4" t="s">
        <v>122</v>
      </c>
      <c r="N138" s="4" t="s">
        <v>122</v>
      </c>
      <c r="O138" s="4" t="s">
        <v>122</v>
      </c>
      <c r="P138" s="3">
        <v>32.250300000000003</v>
      </c>
      <c r="Q138" s="3">
        <v>-110.94499999999999</v>
      </c>
      <c r="R138" s="4" t="s">
        <v>129</v>
      </c>
      <c r="S138" s="4" t="s">
        <v>124</v>
      </c>
      <c r="T138" s="4" t="s">
        <v>122</v>
      </c>
      <c r="U138" s="3">
        <v>1</v>
      </c>
      <c r="V138" s="3">
        <v>2</v>
      </c>
      <c r="W138" s="3">
        <v>4</v>
      </c>
      <c r="X138" s="3">
        <v>1</v>
      </c>
      <c r="Y138" s="3">
        <v>1</v>
      </c>
      <c r="Z138" s="3">
        <v>1</v>
      </c>
      <c r="AA138" s="3">
        <v>1</v>
      </c>
      <c r="AB138" s="4" t="s">
        <v>122</v>
      </c>
      <c r="AC138" s="4" t="s">
        <v>122</v>
      </c>
      <c r="AD138" s="4" t="s">
        <v>122</v>
      </c>
      <c r="AE138" s="4" t="s">
        <v>122</v>
      </c>
      <c r="AF138" s="4" t="s">
        <v>122</v>
      </c>
      <c r="AG138" s="3">
        <v>2</v>
      </c>
      <c r="AH138" s="3">
        <v>2</v>
      </c>
      <c r="AI138" s="3">
        <v>3</v>
      </c>
      <c r="AJ138" s="3">
        <v>4</v>
      </c>
      <c r="AK138" s="3">
        <v>9</v>
      </c>
      <c r="AL138" s="3">
        <v>6</v>
      </c>
      <c r="AM138" s="3">
        <v>4</v>
      </c>
      <c r="AN138" s="3">
        <v>7</v>
      </c>
      <c r="AO138" s="3">
        <v>1</v>
      </c>
      <c r="AP138" s="3">
        <v>1</v>
      </c>
      <c r="AQ138" s="4" t="s">
        <v>122</v>
      </c>
      <c r="AR138" s="4" t="s">
        <v>122</v>
      </c>
      <c r="AS138" s="3">
        <v>8</v>
      </c>
      <c r="AT138" s="3">
        <v>9</v>
      </c>
      <c r="AU138" s="3">
        <v>8</v>
      </c>
      <c r="AV138" s="3">
        <v>8</v>
      </c>
      <c r="AW138" s="3">
        <v>8</v>
      </c>
      <c r="AX138" s="3">
        <v>3</v>
      </c>
      <c r="AY138" s="3">
        <v>4</v>
      </c>
      <c r="AZ138" s="4" t="s">
        <v>122</v>
      </c>
      <c r="BA138" s="4" t="s">
        <v>122</v>
      </c>
      <c r="BB138" s="3" t="s">
        <v>122</v>
      </c>
      <c r="BC138" s="3" t="s">
        <v>122</v>
      </c>
      <c r="BD138" s="3" t="s">
        <v>122</v>
      </c>
      <c r="BE138" s="3" t="s">
        <v>122</v>
      </c>
      <c r="BF138" s="3" t="s">
        <v>122</v>
      </c>
      <c r="BG138" s="3" t="s">
        <v>122</v>
      </c>
      <c r="BH138" s="3" t="s">
        <v>122</v>
      </c>
      <c r="BI138" s="3" t="s">
        <v>122</v>
      </c>
      <c r="BJ138" s="3" t="s">
        <v>122</v>
      </c>
      <c r="BK138" s="3" t="s">
        <v>122</v>
      </c>
      <c r="BL138" s="3" t="s">
        <v>122</v>
      </c>
      <c r="BM138" s="3" t="s">
        <v>122</v>
      </c>
      <c r="BN138" s="3" t="s">
        <v>122</v>
      </c>
      <c r="BO138" s="3">
        <v>2</v>
      </c>
      <c r="BP138" s="3">
        <v>4.5</v>
      </c>
      <c r="BQ138" s="3">
        <v>3</v>
      </c>
      <c r="BR138" s="3" t="s">
        <v>122</v>
      </c>
      <c r="BS138" s="3" t="s">
        <v>122</v>
      </c>
      <c r="BT138" s="3" t="s">
        <v>122</v>
      </c>
      <c r="BU138" s="3" t="s">
        <v>122</v>
      </c>
      <c r="BV138" s="3" t="s">
        <v>122</v>
      </c>
      <c r="BW138" s="3" t="s">
        <v>122</v>
      </c>
      <c r="BX138" s="3" t="s">
        <v>122</v>
      </c>
      <c r="BY138" s="3" t="s">
        <v>122</v>
      </c>
      <c r="BZ138" s="3" t="s">
        <v>122</v>
      </c>
      <c r="CA138" s="3">
        <v>1</v>
      </c>
      <c r="CB138" s="3">
        <v>4.5</v>
      </c>
      <c r="CC138" s="3">
        <v>3</v>
      </c>
      <c r="CD138" s="3">
        <v>4.5</v>
      </c>
      <c r="CE138" s="3">
        <v>3</v>
      </c>
      <c r="CF138" s="3">
        <v>1</v>
      </c>
      <c r="CG138" s="4" t="s">
        <v>122</v>
      </c>
      <c r="CH138" s="3">
        <v>2</v>
      </c>
      <c r="CI138" s="4" t="s">
        <v>122</v>
      </c>
      <c r="CJ138" s="4" t="s">
        <v>122</v>
      </c>
      <c r="CK138" s="4" t="s">
        <v>122</v>
      </c>
      <c r="CL138" s="4" t="s">
        <v>125</v>
      </c>
      <c r="CM138" s="4" t="s">
        <v>122</v>
      </c>
      <c r="CN138" s="4" t="s">
        <v>122</v>
      </c>
      <c r="CO138" s="4" t="s">
        <v>122</v>
      </c>
      <c r="CP138" s="4" t="s">
        <v>122</v>
      </c>
      <c r="CQ138" s="4" t="s">
        <v>122</v>
      </c>
      <c r="CR138" s="4" t="s">
        <v>122</v>
      </c>
      <c r="CS138" s="3">
        <v>3</v>
      </c>
      <c r="CT138" s="3">
        <v>3</v>
      </c>
      <c r="CU138" s="42">
        <v>3</v>
      </c>
      <c r="CV138" cm="1">
        <f t="array" ref="CV138">_xlfn.IFS(CU138*1=2,1,CU138*1=4,1,TRUE,0)</f>
        <v>0</v>
      </c>
      <c r="CW138" cm="1">
        <f t="array" ref="CW138">_xlfn.IFS(CU138*1=1,1,CU138*1=2,1,TRUE,0)</f>
        <v>0</v>
      </c>
      <c r="CX138" s="3">
        <f t="shared" si="19"/>
        <v>4.5</v>
      </c>
      <c r="CY138" s="3">
        <f t="shared" si="20"/>
        <v>4.5</v>
      </c>
      <c r="CZ138" s="3" cm="1">
        <f t="array" ref="CZ138">_xlfn.IFS(BP138&lt;&gt;"", BP138, CV138=1,  AQ138, CV138=0,  AZ138)</f>
        <v>4.5</v>
      </c>
      <c r="DA138" s="36" cm="1">
        <f t="array" ref="DA138">_xlfn.IFS(BO138&lt;&gt;"", BO138, CV138=0,  AQ138, CV138=1,  AZ138)</f>
        <v>2</v>
      </c>
      <c r="DB138" s="36">
        <f t="shared" si="21"/>
        <v>2.5</v>
      </c>
      <c r="DC138" s="3">
        <f t="shared" si="22"/>
        <v>2.5</v>
      </c>
      <c r="DD138" s="3">
        <f t="shared" si="23"/>
        <v>2.5</v>
      </c>
      <c r="DE138" s="3">
        <f t="shared" si="24"/>
        <v>2.5</v>
      </c>
      <c r="DF138" s="3">
        <f t="shared" si="25"/>
        <v>2.5</v>
      </c>
      <c r="DG138" s="3">
        <f t="shared" si="26"/>
        <v>0</v>
      </c>
    </row>
    <row r="139" spans="1:111" x14ac:dyDescent="0.4">
      <c r="A139" s="3">
        <v>202503</v>
      </c>
      <c r="B139" s="3">
        <v>222</v>
      </c>
      <c r="C139" s="5">
        <v>45733.641273148147</v>
      </c>
      <c r="D139" s="5">
        <v>45733.647488425922</v>
      </c>
      <c r="E139" s="3">
        <v>0</v>
      </c>
      <c r="F139" s="4" t="s">
        <v>482</v>
      </c>
      <c r="G139" s="3">
        <v>100</v>
      </c>
      <c r="H139" s="3">
        <v>536</v>
      </c>
      <c r="I139" s="3">
        <v>1</v>
      </c>
      <c r="J139" s="5">
        <v>45733.647505833331</v>
      </c>
      <c r="K139" s="4" t="s">
        <v>483</v>
      </c>
      <c r="L139" s="4" t="s">
        <v>122</v>
      </c>
      <c r="M139" s="4" t="s">
        <v>122</v>
      </c>
      <c r="N139" s="4" t="s">
        <v>122</v>
      </c>
      <c r="O139" s="4" t="s">
        <v>122</v>
      </c>
      <c r="P139" s="3">
        <v>33.453200000000002</v>
      </c>
      <c r="Q139" s="3">
        <v>-112.0748</v>
      </c>
      <c r="R139" s="4" t="s">
        <v>129</v>
      </c>
      <c r="S139" s="4" t="s">
        <v>124</v>
      </c>
      <c r="T139" s="4" t="s">
        <v>122</v>
      </c>
      <c r="U139" s="3">
        <v>1</v>
      </c>
      <c r="V139" s="3">
        <v>3</v>
      </c>
      <c r="W139" s="3">
        <v>5</v>
      </c>
      <c r="X139" s="3">
        <v>2</v>
      </c>
      <c r="Y139" s="3">
        <v>1</v>
      </c>
      <c r="Z139" s="3">
        <v>1</v>
      </c>
      <c r="AA139" s="3">
        <v>2</v>
      </c>
      <c r="AB139" s="4" t="s">
        <v>122</v>
      </c>
      <c r="AC139" s="4" t="s">
        <v>125</v>
      </c>
      <c r="AD139" s="4" t="s">
        <v>122</v>
      </c>
      <c r="AE139" s="4" t="s">
        <v>122</v>
      </c>
      <c r="AF139" s="4" t="s">
        <v>122</v>
      </c>
      <c r="AG139" s="3">
        <v>3</v>
      </c>
      <c r="AH139" s="3">
        <v>2</v>
      </c>
      <c r="AI139" s="3">
        <v>2</v>
      </c>
      <c r="AJ139" s="3">
        <v>8</v>
      </c>
      <c r="AK139" s="3">
        <v>8</v>
      </c>
      <c r="AL139" s="3">
        <v>8</v>
      </c>
      <c r="AM139" s="3">
        <v>7</v>
      </c>
      <c r="AN139" s="3">
        <v>5</v>
      </c>
      <c r="AO139" s="3">
        <v>2</v>
      </c>
      <c r="AP139" s="3">
        <v>4</v>
      </c>
      <c r="AQ139" s="3" t="s">
        <v>122</v>
      </c>
      <c r="AR139" s="3" t="s">
        <v>122</v>
      </c>
      <c r="AS139" s="3">
        <v>4</v>
      </c>
      <c r="AT139" s="3">
        <v>7</v>
      </c>
      <c r="AU139" s="3">
        <v>3</v>
      </c>
      <c r="AV139" s="3">
        <v>4</v>
      </c>
      <c r="AW139" s="3">
        <v>3</v>
      </c>
      <c r="AX139" s="3">
        <v>2</v>
      </c>
      <c r="AY139" s="3">
        <v>2</v>
      </c>
      <c r="AZ139" s="3" t="s">
        <v>122</v>
      </c>
      <c r="BA139" s="3" t="s">
        <v>122</v>
      </c>
      <c r="BB139" s="3" t="s">
        <v>122</v>
      </c>
      <c r="BC139" s="3" t="s">
        <v>122</v>
      </c>
      <c r="BD139" s="3" t="s">
        <v>122</v>
      </c>
      <c r="BE139" s="3" t="s">
        <v>122</v>
      </c>
      <c r="BF139" s="3" t="s">
        <v>122</v>
      </c>
      <c r="BG139" s="3" t="s">
        <v>122</v>
      </c>
      <c r="BH139" s="3" t="s">
        <v>122</v>
      </c>
      <c r="BI139" s="3" t="s">
        <v>122</v>
      </c>
      <c r="BJ139" s="3" t="s">
        <v>122</v>
      </c>
      <c r="BK139" s="3" t="s">
        <v>122</v>
      </c>
      <c r="BL139" s="3" t="s">
        <v>122</v>
      </c>
      <c r="BM139" s="3" t="s">
        <v>122</v>
      </c>
      <c r="BN139" s="3" t="s">
        <v>122</v>
      </c>
      <c r="BO139" s="3">
        <v>4</v>
      </c>
      <c r="BP139" s="3">
        <v>5.5</v>
      </c>
      <c r="BQ139" s="3">
        <v>3</v>
      </c>
      <c r="BR139" s="3" t="s">
        <v>122</v>
      </c>
      <c r="BS139" s="3" t="s">
        <v>122</v>
      </c>
      <c r="BT139" s="3" t="s">
        <v>122</v>
      </c>
      <c r="BU139" s="3" t="s">
        <v>122</v>
      </c>
      <c r="BV139" s="3" t="s">
        <v>122</v>
      </c>
      <c r="BW139" s="3" t="s">
        <v>122</v>
      </c>
      <c r="BX139" s="3" t="s">
        <v>122</v>
      </c>
      <c r="BY139" s="3" t="s">
        <v>122</v>
      </c>
      <c r="BZ139" s="3" t="s">
        <v>122</v>
      </c>
      <c r="CA139" s="3">
        <v>1</v>
      </c>
      <c r="CB139" s="3">
        <v>4.5</v>
      </c>
      <c r="CC139" s="3">
        <v>2</v>
      </c>
      <c r="CD139" s="3">
        <v>5</v>
      </c>
      <c r="CE139" s="3">
        <v>2</v>
      </c>
      <c r="CF139" s="3">
        <v>1</v>
      </c>
      <c r="CG139" s="4" t="s">
        <v>122</v>
      </c>
      <c r="CH139" s="3">
        <v>2</v>
      </c>
      <c r="CI139" s="4" t="s">
        <v>122</v>
      </c>
      <c r="CJ139" s="4" t="s">
        <v>122</v>
      </c>
      <c r="CK139" s="4" t="s">
        <v>122</v>
      </c>
      <c r="CL139" s="4" t="s">
        <v>122</v>
      </c>
      <c r="CM139" s="4" t="s">
        <v>122</v>
      </c>
      <c r="CN139" s="4" t="s">
        <v>122</v>
      </c>
      <c r="CO139" s="4" t="s">
        <v>125</v>
      </c>
      <c r="CP139" s="4" t="s">
        <v>122</v>
      </c>
      <c r="CQ139" s="4" t="s">
        <v>122</v>
      </c>
      <c r="CR139" s="4" t="s">
        <v>122</v>
      </c>
      <c r="CS139" s="3">
        <v>3</v>
      </c>
      <c r="CT139" s="3">
        <v>1</v>
      </c>
      <c r="CU139" s="42">
        <v>4</v>
      </c>
      <c r="CV139" cm="1">
        <f t="array" ref="CV139">_xlfn.IFS(CU139*1=2,1,CU139*1=4,1,TRUE,0)</f>
        <v>1</v>
      </c>
      <c r="CW139" cm="1">
        <f t="array" ref="CW139">_xlfn.IFS(CU139*1=1,1,CU139*1=2,1,TRUE,0)</f>
        <v>0</v>
      </c>
      <c r="CX139" s="3">
        <f t="shared" si="19"/>
        <v>4.5</v>
      </c>
      <c r="CY139" s="3">
        <f t="shared" si="20"/>
        <v>5</v>
      </c>
      <c r="CZ139" s="3" cm="1">
        <f t="array" ref="CZ139">_xlfn.IFS(BP139&lt;&gt;"", BP139, CV139=1,  AQ139, CV139=0,  AZ139)</f>
        <v>5.5</v>
      </c>
      <c r="DA139" s="36" cm="1">
        <f t="array" ref="DA139">_xlfn.IFS(BO139&lt;&gt;"", BO139, CV139=0,  AQ139, CV139=1,  AZ139)</f>
        <v>4</v>
      </c>
      <c r="DB139" s="36">
        <f t="shared" si="21"/>
        <v>3</v>
      </c>
      <c r="DC139" s="3">
        <f t="shared" si="22"/>
        <v>2.5</v>
      </c>
      <c r="DD139" s="3">
        <f t="shared" si="23"/>
        <v>3</v>
      </c>
      <c r="DE139" s="3">
        <f t="shared" si="24"/>
        <v>3.5</v>
      </c>
      <c r="DF139" s="3">
        <f t="shared" si="25"/>
        <v>2.5</v>
      </c>
      <c r="DG139" s="3">
        <f t="shared" si="26"/>
        <v>2</v>
      </c>
    </row>
    <row r="140" spans="1:111" x14ac:dyDescent="0.4">
      <c r="A140" s="3">
        <v>202503</v>
      </c>
      <c r="B140" s="3">
        <v>222</v>
      </c>
      <c r="C140" s="5">
        <v>45733.643831018519</v>
      </c>
      <c r="D140" s="5">
        <v>45733.647650462961</v>
      </c>
      <c r="E140" s="3">
        <v>0</v>
      </c>
      <c r="F140" s="4" t="s">
        <v>484</v>
      </c>
      <c r="G140" s="3">
        <v>100</v>
      </c>
      <c r="H140" s="3">
        <v>330</v>
      </c>
      <c r="I140" s="3">
        <v>1</v>
      </c>
      <c r="J140" s="5">
        <v>45733.647669849539</v>
      </c>
      <c r="K140" s="4" t="s">
        <v>485</v>
      </c>
      <c r="L140" s="4" t="s">
        <v>122</v>
      </c>
      <c r="M140" s="4" t="s">
        <v>122</v>
      </c>
      <c r="N140" s="4" t="s">
        <v>122</v>
      </c>
      <c r="O140" s="4" t="s">
        <v>122</v>
      </c>
      <c r="P140" s="3">
        <v>33.441299999999998</v>
      </c>
      <c r="Q140" s="3">
        <v>-112.0421</v>
      </c>
      <c r="R140" s="4" t="s">
        <v>129</v>
      </c>
      <c r="S140" s="4" t="s">
        <v>124</v>
      </c>
      <c r="T140" s="4" t="s">
        <v>122</v>
      </c>
      <c r="U140" s="3">
        <v>1</v>
      </c>
      <c r="V140" s="3">
        <v>3</v>
      </c>
      <c r="W140" s="3">
        <v>4</v>
      </c>
      <c r="X140" s="3">
        <v>1</v>
      </c>
      <c r="Y140" s="3">
        <v>1</v>
      </c>
      <c r="Z140" s="3">
        <v>5</v>
      </c>
      <c r="AA140" s="3">
        <v>1</v>
      </c>
      <c r="AB140" s="4" t="s">
        <v>122</v>
      </c>
      <c r="AC140" s="4" t="s">
        <v>122</v>
      </c>
      <c r="AD140" s="4" t="s">
        <v>122</v>
      </c>
      <c r="AE140" s="4" t="s">
        <v>122</v>
      </c>
      <c r="AF140" s="4" t="s">
        <v>122</v>
      </c>
      <c r="AG140" s="3">
        <v>2</v>
      </c>
      <c r="AH140" s="3">
        <v>4</v>
      </c>
      <c r="AI140" s="3">
        <v>3</v>
      </c>
      <c r="AJ140" s="3">
        <v>6</v>
      </c>
      <c r="AK140" s="3">
        <v>8</v>
      </c>
      <c r="AL140" s="3">
        <v>8</v>
      </c>
      <c r="AM140" s="3">
        <v>3</v>
      </c>
      <c r="AN140" s="3">
        <v>6</v>
      </c>
      <c r="AO140" s="3">
        <v>4</v>
      </c>
      <c r="AP140" s="3">
        <v>2</v>
      </c>
      <c r="AQ140" s="3" t="s">
        <v>122</v>
      </c>
      <c r="AR140" s="3" t="s">
        <v>122</v>
      </c>
      <c r="AS140" s="3">
        <v>7</v>
      </c>
      <c r="AT140" s="3">
        <v>7</v>
      </c>
      <c r="AU140" s="3">
        <v>4</v>
      </c>
      <c r="AV140" s="3">
        <v>7</v>
      </c>
      <c r="AW140" s="3">
        <v>7</v>
      </c>
      <c r="AX140" s="3">
        <v>3</v>
      </c>
      <c r="AY140" s="3">
        <v>3</v>
      </c>
      <c r="AZ140" s="3" t="s">
        <v>122</v>
      </c>
      <c r="BA140" s="3" t="s">
        <v>122</v>
      </c>
      <c r="BB140" s="3" t="s">
        <v>122</v>
      </c>
      <c r="BC140" s="3" t="s">
        <v>122</v>
      </c>
      <c r="BD140" s="3" t="s">
        <v>122</v>
      </c>
      <c r="BE140" s="3" t="s">
        <v>122</v>
      </c>
      <c r="BF140" s="3" t="s">
        <v>122</v>
      </c>
      <c r="BG140" s="3" t="s">
        <v>122</v>
      </c>
      <c r="BH140" s="3" t="s">
        <v>122</v>
      </c>
      <c r="BI140" s="3" t="s">
        <v>122</v>
      </c>
      <c r="BJ140" s="3" t="s">
        <v>122</v>
      </c>
      <c r="BK140" s="3" t="s">
        <v>122</v>
      </c>
      <c r="BL140" s="3" t="s">
        <v>122</v>
      </c>
      <c r="BM140" s="3" t="s">
        <v>122</v>
      </c>
      <c r="BN140" s="3" t="s">
        <v>122</v>
      </c>
      <c r="BO140" s="3">
        <v>5</v>
      </c>
      <c r="BP140" s="3">
        <v>5</v>
      </c>
      <c r="BQ140" s="3">
        <v>3</v>
      </c>
      <c r="BR140" s="3" t="s">
        <v>122</v>
      </c>
      <c r="BS140" s="3" t="s">
        <v>122</v>
      </c>
      <c r="BT140" s="3" t="s">
        <v>122</v>
      </c>
      <c r="BU140" s="3" t="s">
        <v>122</v>
      </c>
      <c r="BV140" s="3" t="s">
        <v>122</v>
      </c>
      <c r="BW140" s="3" t="s">
        <v>122</v>
      </c>
      <c r="BX140" s="3" t="s">
        <v>122</v>
      </c>
      <c r="BY140" s="3" t="s">
        <v>122</v>
      </c>
      <c r="BZ140" s="3" t="s">
        <v>122</v>
      </c>
      <c r="CA140" s="3">
        <v>4</v>
      </c>
      <c r="CB140" s="3">
        <v>4</v>
      </c>
      <c r="CC140" s="3">
        <v>3</v>
      </c>
      <c r="CD140" s="3">
        <v>0</v>
      </c>
      <c r="CE140" s="3" t="s">
        <v>122</v>
      </c>
      <c r="CF140" s="3">
        <v>2</v>
      </c>
      <c r="CG140" s="4" t="s">
        <v>122</v>
      </c>
      <c r="CH140" s="3">
        <v>2</v>
      </c>
      <c r="CI140" s="4" t="s">
        <v>122</v>
      </c>
      <c r="CJ140" s="4" t="s">
        <v>122</v>
      </c>
      <c r="CK140" s="4" t="s">
        <v>125</v>
      </c>
      <c r="CL140" s="4" t="s">
        <v>122</v>
      </c>
      <c r="CM140" s="4" t="s">
        <v>122</v>
      </c>
      <c r="CN140" s="4" t="s">
        <v>122</v>
      </c>
      <c r="CO140" s="4" t="s">
        <v>122</v>
      </c>
      <c r="CP140" s="4" t="s">
        <v>122</v>
      </c>
      <c r="CQ140" s="4" t="s">
        <v>122</v>
      </c>
      <c r="CR140" s="4" t="s">
        <v>122</v>
      </c>
      <c r="CS140" s="3">
        <v>3</v>
      </c>
      <c r="CT140" s="3">
        <v>1</v>
      </c>
      <c r="CU140" s="42">
        <v>4</v>
      </c>
      <c r="CV140" cm="1">
        <f t="array" ref="CV140">_xlfn.IFS(CU140*1=2,1,CU140*1=4,1,TRUE,0)</f>
        <v>1</v>
      </c>
      <c r="CW140" cm="1">
        <f t="array" ref="CW140">_xlfn.IFS(CU140*1=1,1,CU140*1=2,1,TRUE,0)</f>
        <v>0</v>
      </c>
      <c r="CX140" s="3">
        <f t="shared" si="19"/>
        <v>4</v>
      </c>
      <c r="CY140" s="3">
        <f t="shared" si="20"/>
        <v>0</v>
      </c>
      <c r="CZ140" s="3" cm="1">
        <f t="array" ref="CZ140">_xlfn.IFS(BP140&lt;&gt;"", BP140, CV140=1,  AQ140, CV140=0,  AZ140)</f>
        <v>5</v>
      </c>
      <c r="DA140" s="36" cm="1">
        <f t="array" ref="DA140">_xlfn.IFS(BO140&lt;&gt;"", BO140, CV140=0,  AQ140, CV140=1,  AZ140)</f>
        <v>5</v>
      </c>
      <c r="DB140" s="36">
        <f t="shared" si="21"/>
        <v>-4</v>
      </c>
      <c r="DC140" s="3">
        <f t="shared" si="22"/>
        <v>0</v>
      </c>
      <c r="DD140" s="3">
        <f t="shared" si="23"/>
        <v>-4</v>
      </c>
      <c r="DE140" s="3">
        <f t="shared" si="24"/>
        <v>1</v>
      </c>
      <c r="DF140" s="3">
        <f t="shared" si="25"/>
        <v>0</v>
      </c>
      <c r="DG140" s="3">
        <f t="shared" si="26"/>
        <v>1</v>
      </c>
    </row>
    <row r="141" spans="1:111" x14ac:dyDescent="0.4">
      <c r="A141" s="3">
        <v>202503</v>
      </c>
      <c r="B141" s="3">
        <v>222</v>
      </c>
      <c r="C141" s="5">
        <v>45733.643912037034</v>
      </c>
      <c r="D141" s="5">
        <v>45733.651956018519</v>
      </c>
      <c r="E141" s="3">
        <v>0</v>
      </c>
      <c r="F141" s="4" t="s">
        <v>486</v>
      </c>
      <c r="G141" s="3">
        <v>100</v>
      </c>
      <c r="H141" s="3">
        <v>694</v>
      </c>
      <c r="I141" s="3">
        <v>1</v>
      </c>
      <c r="J141" s="5">
        <v>45733.651970462961</v>
      </c>
      <c r="K141" s="4" t="s">
        <v>487</v>
      </c>
      <c r="L141" s="4" t="s">
        <v>122</v>
      </c>
      <c r="M141" s="4" t="s">
        <v>122</v>
      </c>
      <c r="N141" s="4" t="s">
        <v>122</v>
      </c>
      <c r="O141" s="4" t="s">
        <v>122</v>
      </c>
      <c r="P141" s="3">
        <v>33.453200000000002</v>
      </c>
      <c r="Q141" s="3">
        <v>-112.0748</v>
      </c>
      <c r="R141" s="4" t="s">
        <v>129</v>
      </c>
      <c r="S141" s="4" t="s">
        <v>124</v>
      </c>
      <c r="T141" s="4" t="s">
        <v>122</v>
      </c>
      <c r="U141" s="3">
        <v>1</v>
      </c>
      <c r="V141" s="3">
        <v>1</v>
      </c>
      <c r="W141" s="3">
        <v>2</v>
      </c>
      <c r="X141" s="3">
        <v>1</v>
      </c>
      <c r="Y141" s="3">
        <v>2</v>
      </c>
      <c r="Z141" s="3">
        <v>2</v>
      </c>
      <c r="AA141" s="3">
        <v>2</v>
      </c>
      <c r="AB141" s="4" t="s">
        <v>122</v>
      </c>
      <c r="AC141" s="4" t="s">
        <v>122</v>
      </c>
      <c r="AD141" s="4" t="s">
        <v>122</v>
      </c>
      <c r="AE141" s="4" t="s">
        <v>122</v>
      </c>
      <c r="AF141" s="4" t="s">
        <v>122</v>
      </c>
      <c r="AG141" s="3">
        <v>3</v>
      </c>
      <c r="AH141" s="3">
        <v>5.5</v>
      </c>
      <c r="AI141" s="3">
        <v>2</v>
      </c>
      <c r="AJ141" s="3">
        <v>9</v>
      </c>
      <c r="AK141" s="3">
        <v>9</v>
      </c>
      <c r="AL141" s="3">
        <v>7</v>
      </c>
      <c r="AM141" s="3">
        <v>9</v>
      </c>
      <c r="AN141" s="3">
        <v>9</v>
      </c>
      <c r="AO141" s="3">
        <v>3</v>
      </c>
      <c r="AP141" s="3">
        <v>3</v>
      </c>
      <c r="AQ141" s="4" t="s">
        <v>122</v>
      </c>
      <c r="AR141" s="4" t="s">
        <v>122</v>
      </c>
      <c r="AS141" s="3">
        <v>8</v>
      </c>
      <c r="AT141" s="3">
        <v>9</v>
      </c>
      <c r="AU141" s="3">
        <v>9</v>
      </c>
      <c r="AV141" s="3">
        <v>8</v>
      </c>
      <c r="AW141" s="3">
        <v>8</v>
      </c>
      <c r="AX141" s="3">
        <v>4</v>
      </c>
      <c r="AY141" s="3">
        <v>4</v>
      </c>
      <c r="AZ141" s="4" t="s">
        <v>122</v>
      </c>
      <c r="BA141" s="4" t="s">
        <v>122</v>
      </c>
      <c r="BB141" s="3" t="s">
        <v>122</v>
      </c>
      <c r="BC141" s="3" t="s">
        <v>122</v>
      </c>
      <c r="BD141" s="3" t="s">
        <v>122</v>
      </c>
      <c r="BE141" s="3" t="s">
        <v>122</v>
      </c>
      <c r="BF141" s="3" t="s">
        <v>122</v>
      </c>
      <c r="BG141" s="3" t="s">
        <v>122</v>
      </c>
      <c r="BH141" s="3" t="s">
        <v>122</v>
      </c>
      <c r="BI141" s="3" t="s">
        <v>122</v>
      </c>
      <c r="BJ141" s="3" t="s">
        <v>122</v>
      </c>
      <c r="BK141" s="3" t="s">
        <v>122</v>
      </c>
      <c r="BL141" s="3" t="s">
        <v>122</v>
      </c>
      <c r="BM141" s="3" t="s">
        <v>122</v>
      </c>
      <c r="BN141" s="3" t="s">
        <v>122</v>
      </c>
      <c r="BO141" s="3">
        <v>5</v>
      </c>
      <c r="BP141" s="3">
        <v>5</v>
      </c>
      <c r="BQ141" s="3">
        <v>3</v>
      </c>
      <c r="BR141" s="3" t="s">
        <v>122</v>
      </c>
      <c r="BS141" s="3" t="s">
        <v>122</v>
      </c>
      <c r="BT141" s="3" t="s">
        <v>122</v>
      </c>
      <c r="BU141" s="3" t="s">
        <v>122</v>
      </c>
      <c r="BV141" s="3" t="s">
        <v>122</v>
      </c>
      <c r="BW141" s="3" t="s">
        <v>122</v>
      </c>
      <c r="BX141" s="3" t="s">
        <v>122</v>
      </c>
      <c r="BY141" s="3" t="s">
        <v>122</v>
      </c>
      <c r="BZ141" s="3" t="s">
        <v>122</v>
      </c>
      <c r="CA141" s="3">
        <v>5</v>
      </c>
      <c r="CB141" s="3">
        <v>6.5</v>
      </c>
      <c r="CC141" s="3">
        <v>3</v>
      </c>
      <c r="CD141" s="3">
        <v>4.5</v>
      </c>
      <c r="CE141" s="3">
        <v>3</v>
      </c>
      <c r="CF141" s="3">
        <v>2</v>
      </c>
      <c r="CG141" s="4" t="s">
        <v>122</v>
      </c>
      <c r="CH141" s="3">
        <v>2</v>
      </c>
      <c r="CI141" s="4" t="s">
        <v>122</v>
      </c>
      <c r="CJ141" s="4" t="s">
        <v>122</v>
      </c>
      <c r="CK141" s="4" t="s">
        <v>122</v>
      </c>
      <c r="CL141" s="4" t="s">
        <v>122</v>
      </c>
      <c r="CM141" s="4" t="s">
        <v>122</v>
      </c>
      <c r="CN141" s="4" t="s">
        <v>122</v>
      </c>
      <c r="CO141" s="4" t="s">
        <v>125</v>
      </c>
      <c r="CP141" s="4" t="s">
        <v>125</v>
      </c>
      <c r="CQ141" s="4" t="s">
        <v>122</v>
      </c>
      <c r="CR141" s="4" t="s">
        <v>488</v>
      </c>
      <c r="CS141" s="3">
        <v>3</v>
      </c>
      <c r="CT141" s="3">
        <v>-999</v>
      </c>
      <c r="CU141" s="42">
        <v>3</v>
      </c>
      <c r="CV141" cm="1">
        <f t="array" ref="CV141">_xlfn.IFS(CU141*1=2,1,CU141*1=4,1,TRUE,0)</f>
        <v>0</v>
      </c>
      <c r="CW141" cm="1">
        <f t="array" ref="CW141">_xlfn.IFS(CU141*1=1,1,CU141*1=2,1,TRUE,0)</f>
        <v>0</v>
      </c>
      <c r="CX141" s="3">
        <f t="shared" si="19"/>
        <v>6.5</v>
      </c>
      <c r="CY141" s="3">
        <f t="shared" si="20"/>
        <v>4.5</v>
      </c>
      <c r="CZ141" s="3" cm="1">
        <f t="array" ref="CZ141">_xlfn.IFS(BP141&lt;&gt;"", BP141, CV141=1,  AQ141, CV141=0,  AZ141)</f>
        <v>5</v>
      </c>
      <c r="DA141" s="36" cm="1">
        <f t="array" ref="DA141">_xlfn.IFS(BO141&lt;&gt;"", BO141, CV141=0,  AQ141, CV141=1,  AZ141)</f>
        <v>5</v>
      </c>
      <c r="DB141" s="36">
        <f t="shared" si="21"/>
        <v>-1</v>
      </c>
      <c r="DC141" s="3">
        <f t="shared" si="22"/>
        <v>1</v>
      </c>
      <c r="DD141" s="3">
        <f t="shared" si="23"/>
        <v>-1</v>
      </c>
      <c r="DE141" s="3">
        <f t="shared" si="24"/>
        <v>-0.5</v>
      </c>
      <c r="DF141" s="3">
        <f t="shared" si="25"/>
        <v>1</v>
      </c>
      <c r="DG141" s="3">
        <f t="shared" si="26"/>
        <v>-0.5</v>
      </c>
    </row>
    <row r="142" spans="1:111" x14ac:dyDescent="0.4">
      <c r="A142" s="3">
        <v>202503</v>
      </c>
      <c r="B142" s="3">
        <v>222</v>
      </c>
      <c r="C142" s="5">
        <v>45733.645532407405</v>
      </c>
      <c r="D142" s="5">
        <v>45733.652025462965</v>
      </c>
      <c r="E142" s="3">
        <v>0</v>
      </c>
      <c r="F142" s="4" t="s">
        <v>489</v>
      </c>
      <c r="G142" s="3">
        <v>100</v>
      </c>
      <c r="H142" s="3">
        <v>561</v>
      </c>
      <c r="I142" s="3">
        <v>1</v>
      </c>
      <c r="J142" s="5">
        <v>45733.652044363429</v>
      </c>
      <c r="K142" s="4" t="s">
        <v>490</v>
      </c>
      <c r="L142" s="4" t="s">
        <v>122</v>
      </c>
      <c r="M142" s="4" t="s">
        <v>122</v>
      </c>
      <c r="N142" s="4" t="s">
        <v>122</v>
      </c>
      <c r="O142" s="4" t="s">
        <v>122</v>
      </c>
      <c r="P142" s="3">
        <v>32.250300000000003</v>
      </c>
      <c r="Q142" s="3">
        <v>-110.94499999999999</v>
      </c>
      <c r="R142" s="4" t="s">
        <v>129</v>
      </c>
      <c r="S142" s="4" t="s">
        <v>124</v>
      </c>
      <c r="T142" s="4" t="s">
        <v>122</v>
      </c>
      <c r="U142" s="3">
        <v>1</v>
      </c>
      <c r="V142" s="3">
        <v>2</v>
      </c>
      <c r="W142" s="3">
        <v>2</v>
      </c>
      <c r="X142" s="3">
        <v>2</v>
      </c>
      <c r="Y142" s="3">
        <v>3</v>
      </c>
      <c r="Z142" s="3">
        <v>2</v>
      </c>
      <c r="AA142" s="3">
        <v>2</v>
      </c>
      <c r="AB142" s="4" t="s">
        <v>122</v>
      </c>
      <c r="AC142" s="4" t="s">
        <v>122</v>
      </c>
      <c r="AD142" s="4" t="s">
        <v>122</v>
      </c>
      <c r="AE142" s="4" t="s">
        <v>122</v>
      </c>
      <c r="AF142" s="4" t="s">
        <v>125</v>
      </c>
      <c r="AG142" s="3">
        <v>2</v>
      </c>
      <c r="AH142" s="3">
        <v>6</v>
      </c>
      <c r="AI142" s="3">
        <v>2</v>
      </c>
      <c r="AJ142" s="3">
        <v>6</v>
      </c>
      <c r="AK142" s="3">
        <v>7</v>
      </c>
      <c r="AL142" s="3">
        <v>5</v>
      </c>
      <c r="AM142" s="3">
        <v>4</v>
      </c>
      <c r="AN142" s="3">
        <v>7</v>
      </c>
      <c r="AO142" s="3">
        <v>2</v>
      </c>
      <c r="AP142" s="3">
        <v>3</v>
      </c>
      <c r="AQ142" s="4">
        <v>5</v>
      </c>
      <c r="AR142" s="4">
        <v>2</v>
      </c>
      <c r="AS142" s="3">
        <v>7</v>
      </c>
      <c r="AT142" s="3">
        <v>6</v>
      </c>
      <c r="AU142" s="3">
        <v>5</v>
      </c>
      <c r="AV142" s="3">
        <v>7</v>
      </c>
      <c r="AW142" s="3">
        <v>6</v>
      </c>
      <c r="AX142" s="3">
        <v>2</v>
      </c>
      <c r="AY142" s="3">
        <v>3</v>
      </c>
      <c r="AZ142" s="4">
        <v>6</v>
      </c>
      <c r="BA142" s="4">
        <v>2</v>
      </c>
      <c r="BB142" s="3">
        <v>5</v>
      </c>
      <c r="BC142" s="3">
        <v>6</v>
      </c>
      <c r="BD142" s="3">
        <v>2</v>
      </c>
      <c r="BE142" s="3" t="s">
        <v>122</v>
      </c>
      <c r="BF142" s="3" t="s">
        <v>122</v>
      </c>
      <c r="BG142" s="3" t="s">
        <v>122</v>
      </c>
      <c r="BH142" s="3" t="s">
        <v>122</v>
      </c>
      <c r="BI142" s="3" t="s">
        <v>122</v>
      </c>
      <c r="BJ142" s="3" t="s">
        <v>122</v>
      </c>
      <c r="BK142" s="3" t="s">
        <v>122</v>
      </c>
      <c r="BL142" s="3" t="s">
        <v>122</v>
      </c>
      <c r="BM142" s="3" t="s">
        <v>122</v>
      </c>
      <c r="BN142" s="3" t="s">
        <v>122</v>
      </c>
      <c r="BO142" s="3" t="s">
        <v>122</v>
      </c>
      <c r="BP142" s="3" t="s">
        <v>122</v>
      </c>
      <c r="BQ142" s="3" t="s">
        <v>122</v>
      </c>
      <c r="BR142" s="3" t="s">
        <v>122</v>
      </c>
      <c r="BS142" s="3" t="s">
        <v>122</v>
      </c>
      <c r="BT142" s="3" t="s">
        <v>122</v>
      </c>
      <c r="BU142" s="3" t="s">
        <v>122</v>
      </c>
      <c r="BV142" s="3" t="s">
        <v>122</v>
      </c>
      <c r="BW142" s="3" t="s">
        <v>122</v>
      </c>
      <c r="BX142" s="3" t="s">
        <v>122</v>
      </c>
      <c r="BY142" s="3" t="s">
        <v>122</v>
      </c>
      <c r="BZ142" s="3" t="s">
        <v>122</v>
      </c>
      <c r="CA142" s="3" t="s">
        <v>122</v>
      </c>
      <c r="CB142" s="3" t="s">
        <v>122</v>
      </c>
      <c r="CC142" s="3" t="s">
        <v>122</v>
      </c>
      <c r="CD142" s="3" t="s">
        <v>122</v>
      </c>
      <c r="CE142" s="3" t="s">
        <v>122</v>
      </c>
      <c r="CF142" s="3">
        <v>1</v>
      </c>
      <c r="CG142" s="4" t="s">
        <v>122</v>
      </c>
      <c r="CH142" s="3">
        <v>2</v>
      </c>
      <c r="CI142" s="4" t="s">
        <v>122</v>
      </c>
      <c r="CJ142" s="4" t="s">
        <v>122</v>
      </c>
      <c r="CK142" s="4" t="s">
        <v>122</v>
      </c>
      <c r="CL142" s="4" t="s">
        <v>122</v>
      </c>
      <c r="CM142" s="4" t="s">
        <v>122</v>
      </c>
      <c r="CN142" s="4" t="s">
        <v>122</v>
      </c>
      <c r="CO142" s="4" t="s">
        <v>125</v>
      </c>
      <c r="CP142" s="4" t="s">
        <v>122</v>
      </c>
      <c r="CQ142" s="4" t="s">
        <v>122</v>
      </c>
      <c r="CR142" s="4" t="s">
        <v>122</v>
      </c>
      <c r="CS142" s="3">
        <v>4</v>
      </c>
      <c r="CT142" s="3">
        <v>2</v>
      </c>
      <c r="CU142" s="42">
        <v>1</v>
      </c>
      <c r="CV142" cm="1">
        <f t="array" ref="CV142">_xlfn.IFS(CU142*1=2,1,CU142*1=4,1,TRUE,0)</f>
        <v>0</v>
      </c>
      <c r="CW142" cm="1">
        <f t="array" ref="CW142">_xlfn.IFS(CU142*1=1,1,CU142*1=2,1,TRUE,0)</f>
        <v>1</v>
      </c>
      <c r="CX142" s="3">
        <f t="shared" si="19"/>
        <v>5</v>
      </c>
      <c r="CY142" s="3">
        <f t="shared" si="20"/>
        <v>6</v>
      </c>
      <c r="CZ142" s="3" cm="1">
        <f t="array" ref="CZ142">_xlfn.IFS(BP142&lt;&gt;"", BP142, CV142=1,  AQ142, CV142=0,  AZ142)</f>
        <v>6</v>
      </c>
      <c r="DA142" s="36" cm="1">
        <f t="array" ref="DA142">_xlfn.IFS(BO142&lt;&gt;"", BO142, CV142=0,  AQ142, CV142=1,  AZ142)</f>
        <v>5</v>
      </c>
      <c r="DB142" s="36">
        <f t="shared" si="21"/>
        <v>0</v>
      </c>
      <c r="DC142" s="3">
        <f t="shared" si="22"/>
        <v>-1</v>
      </c>
      <c r="DD142" s="3">
        <f t="shared" si="23"/>
        <v>0</v>
      </c>
      <c r="DE142" s="3">
        <f t="shared" si="24"/>
        <v>0</v>
      </c>
      <c r="DF142" s="3">
        <f t="shared" si="25"/>
        <v>-1</v>
      </c>
      <c r="DG142" s="3">
        <f t="shared" si="26"/>
        <v>-1</v>
      </c>
    </row>
    <row r="143" spans="1:111" x14ac:dyDescent="0.4">
      <c r="A143" s="3">
        <v>202503</v>
      </c>
      <c r="B143" s="3">
        <v>222</v>
      </c>
      <c r="C143" s="5">
        <v>45733.647870370369</v>
      </c>
      <c r="D143" s="5">
        <v>45733.655578703707</v>
      </c>
      <c r="E143" s="3">
        <v>0</v>
      </c>
      <c r="F143" s="4" t="s">
        <v>493</v>
      </c>
      <c r="G143" s="3">
        <v>100</v>
      </c>
      <c r="H143" s="3">
        <v>666</v>
      </c>
      <c r="I143" s="3">
        <v>1</v>
      </c>
      <c r="J143" s="5">
        <v>45733.65559642361</v>
      </c>
      <c r="K143" s="4" t="s">
        <v>494</v>
      </c>
      <c r="L143" s="4" t="s">
        <v>122</v>
      </c>
      <c r="M143" s="4" t="s">
        <v>122</v>
      </c>
      <c r="N143" s="4" t="s">
        <v>122</v>
      </c>
      <c r="O143" s="4" t="s">
        <v>122</v>
      </c>
      <c r="P143" s="3">
        <v>35.993699999999997</v>
      </c>
      <c r="Q143" s="3">
        <v>-115.2867</v>
      </c>
      <c r="R143" s="4" t="s">
        <v>129</v>
      </c>
      <c r="S143" s="4" t="s">
        <v>124</v>
      </c>
      <c r="T143" s="4" t="s">
        <v>122</v>
      </c>
      <c r="U143" s="3">
        <v>1</v>
      </c>
      <c r="V143" s="3">
        <v>5</v>
      </c>
      <c r="W143" s="3">
        <v>5</v>
      </c>
      <c r="X143" s="3">
        <v>2</v>
      </c>
      <c r="Y143" s="3">
        <v>2</v>
      </c>
      <c r="Z143" s="3">
        <v>2</v>
      </c>
      <c r="AA143" s="3">
        <v>1</v>
      </c>
      <c r="AB143" s="4" t="s">
        <v>122</v>
      </c>
      <c r="AC143" s="4" t="s">
        <v>125</v>
      </c>
      <c r="AD143" s="4" t="s">
        <v>122</v>
      </c>
      <c r="AE143" s="4" t="s">
        <v>122</v>
      </c>
      <c r="AF143" s="4" t="s">
        <v>122</v>
      </c>
      <c r="AG143" s="3">
        <v>4</v>
      </c>
      <c r="AH143" s="3">
        <v>6</v>
      </c>
      <c r="AI143" s="4">
        <v>2</v>
      </c>
      <c r="AJ143" s="3">
        <v>5</v>
      </c>
      <c r="AK143" s="3">
        <v>5</v>
      </c>
      <c r="AL143" s="3">
        <v>5</v>
      </c>
      <c r="AM143" s="3">
        <v>4</v>
      </c>
      <c r="AN143" s="3">
        <v>3</v>
      </c>
      <c r="AO143" s="3">
        <v>2</v>
      </c>
      <c r="AP143" s="3">
        <v>2</v>
      </c>
      <c r="AQ143" s="3">
        <v>6</v>
      </c>
      <c r="AR143" s="4">
        <v>1</v>
      </c>
      <c r="AS143" s="3">
        <v>6</v>
      </c>
      <c r="AT143" s="3">
        <v>7</v>
      </c>
      <c r="AU143" s="3">
        <v>6</v>
      </c>
      <c r="AV143" s="3">
        <v>7</v>
      </c>
      <c r="AW143" s="3">
        <v>6</v>
      </c>
      <c r="AX143" s="3">
        <v>3</v>
      </c>
      <c r="AY143" s="3">
        <v>3</v>
      </c>
      <c r="AZ143" s="3">
        <v>6</v>
      </c>
      <c r="BA143" s="4">
        <v>3</v>
      </c>
      <c r="BB143" s="3">
        <v>6</v>
      </c>
      <c r="BC143" s="3">
        <v>6</v>
      </c>
      <c r="BD143" s="3">
        <v>2</v>
      </c>
      <c r="BE143" s="3" t="s">
        <v>122</v>
      </c>
      <c r="BF143" s="3" t="s">
        <v>122</v>
      </c>
      <c r="BG143" s="3" t="s">
        <v>122</v>
      </c>
      <c r="BH143" s="3" t="s">
        <v>122</v>
      </c>
      <c r="BI143" s="3" t="s">
        <v>122</v>
      </c>
      <c r="BJ143" s="3" t="s">
        <v>122</v>
      </c>
      <c r="BK143" s="3" t="s">
        <v>122</v>
      </c>
      <c r="BL143" s="3" t="s">
        <v>122</v>
      </c>
      <c r="BM143" s="3" t="s">
        <v>122</v>
      </c>
      <c r="BN143" s="3" t="s">
        <v>122</v>
      </c>
      <c r="BO143" s="3" t="s">
        <v>122</v>
      </c>
      <c r="BP143" s="3" t="s">
        <v>122</v>
      </c>
      <c r="BQ143" s="3" t="s">
        <v>122</v>
      </c>
      <c r="BR143" s="3" t="s">
        <v>122</v>
      </c>
      <c r="BS143" s="3" t="s">
        <v>122</v>
      </c>
      <c r="BT143" s="3" t="s">
        <v>122</v>
      </c>
      <c r="BU143" s="3" t="s">
        <v>122</v>
      </c>
      <c r="BV143" s="3" t="s">
        <v>122</v>
      </c>
      <c r="BW143" s="3" t="s">
        <v>122</v>
      </c>
      <c r="BX143" s="3" t="s">
        <v>122</v>
      </c>
      <c r="BY143" s="3" t="s">
        <v>122</v>
      </c>
      <c r="BZ143" s="3" t="s">
        <v>122</v>
      </c>
      <c r="CA143" s="3" t="s">
        <v>122</v>
      </c>
      <c r="CB143" s="3" t="s">
        <v>122</v>
      </c>
      <c r="CC143" s="3" t="s">
        <v>122</v>
      </c>
      <c r="CD143" s="3" t="s">
        <v>122</v>
      </c>
      <c r="CE143" s="3" t="s">
        <v>122</v>
      </c>
      <c r="CF143" s="3">
        <v>1</v>
      </c>
      <c r="CG143" s="4" t="s">
        <v>122</v>
      </c>
      <c r="CH143" s="3">
        <v>2</v>
      </c>
      <c r="CI143" s="4" t="s">
        <v>122</v>
      </c>
      <c r="CJ143" s="4" t="s">
        <v>122</v>
      </c>
      <c r="CK143" s="4" t="s">
        <v>122</v>
      </c>
      <c r="CL143" s="4" t="s">
        <v>125</v>
      </c>
      <c r="CM143" s="4" t="s">
        <v>122</v>
      </c>
      <c r="CN143" s="4" t="s">
        <v>122</v>
      </c>
      <c r="CO143" s="4" t="s">
        <v>125</v>
      </c>
      <c r="CP143" s="4" t="s">
        <v>122</v>
      </c>
      <c r="CQ143" s="4" t="s">
        <v>122</v>
      </c>
      <c r="CR143" s="4" t="s">
        <v>122</v>
      </c>
      <c r="CS143" s="3">
        <v>3</v>
      </c>
      <c r="CT143" s="3">
        <v>1</v>
      </c>
      <c r="CU143" s="42">
        <v>2</v>
      </c>
      <c r="CV143" cm="1">
        <f t="array" ref="CV143">_xlfn.IFS(CU143*1=2,1,CU143*1=4,1,TRUE,0)</f>
        <v>1</v>
      </c>
      <c r="CW143" cm="1">
        <f t="array" ref="CW143">_xlfn.IFS(CU143*1=1,1,CU143*1=2,1,TRUE,0)</f>
        <v>1</v>
      </c>
      <c r="CX143" s="3">
        <f t="shared" si="19"/>
        <v>6</v>
      </c>
      <c r="CY143" s="3">
        <f t="shared" si="20"/>
        <v>6</v>
      </c>
      <c r="CZ143" s="3" cm="1">
        <f t="array" ref="CZ143">_xlfn.IFS(BP143&lt;&gt;"", BP143, CV143=1,  AQ143, CV143=0,  AZ143)</f>
        <v>6</v>
      </c>
      <c r="DA143" s="36" cm="1">
        <f t="array" ref="DA143">_xlfn.IFS(BO143&lt;&gt;"", BO143, CV143=0,  AQ143, CV143=1,  AZ143)</f>
        <v>6</v>
      </c>
      <c r="DB143" s="36">
        <f t="shared" si="21"/>
        <v>0</v>
      </c>
      <c r="DC143" s="3">
        <f t="shared" si="22"/>
        <v>0</v>
      </c>
      <c r="DD143" s="3">
        <f t="shared" si="23"/>
        <v>0</v>
      </c>
      <c r="DE143" s="3">
        <f t="shared" si="24"/>
        <v>0</v>
      </c>
      <c r="DF143" s="3">
        <f t="shared" si="25"/>
        <v>0</v>
      </c>
      <c r="DG143" s="3">
        <f t="shared" si="26"/>
        <v>0</v>
      </c>
    </row>
    <row r="144" spans="1:111" x14ac:dyDescent="0.4">
      <c r="A144" s="3">
        <v>202503</v>
      </c>
      <c r="B144" s="3">
        <v>222</v>
      </c>
      <c r="C144" s="5">
        <v>45733.649537037039</v>
      </c>
      <c r="D144" s="5">
        <v>45733.654074074075</v>
      </c>
      <c r="E144" s="3">
        <v>0</v>
      </c>
      <c r="F144" s="4" t="s">
        <v>491</v>
      </c>
      <c r="G144" s="3">
        <v>100</v>
      </c>
      <c r="H144" s="3">
        <v>392</v>
      </c>
      <c r="I144" s="3">
        <v>1</v>
      </c>
      <c r="J144" s="5">
        <v>45733.654093773148</v>
      </c>
      <c r="K144" s="4" t="s">
        <v>492</v>
      </c>
      <c r="L144" s="4" t="s">
        <v>122</v>
      </c>
      <c r="M144" s="4" t="s">
        <v>122</v>
      </c>
      <c r="N144" s="4" t="s">
        <v>122</v>
      </c>
      <c r="O144" s="4" t="s">
        <v>122</v>
      </c>
      <c r="P144" s="3">
        <v>33.3322</v>
      </c>
      <c r="Q144" s="3">
        <v>-111.99420000000001</v>
      </c>
      <c r="R144" s="4" t="s">
        <v>129</v>
      </c>
      <c r="S144" s="4" t="s">
        <v>124</v>
      </c>
      <c r="T144" s="3" t="s">
        <v>122</v>
      </c>
      <c r="U144" s="3">
        <v>1</v>
      </c>
      <c r="V144" s="3">
        <v>5</v>
      </c>
      <c r="W144" s="3">
        <v>1</v>
      </c>
      <c r="X144" s="3">
        <v>1</v>
      </c>
      <c r="Y144" s="3">
        <v>1</v>
      </c>
      <c r="Z144" s="3">
        <v>1</v>
      </c>
      <c r="AA144" s="3">
        <v>2</v>
      </c>
      <c r="AB144" s="4" t="s">
        <v>122</v>
      </c>
      <c r="AC144" s="4" t="s">
        <v>122</v>
      </c>
      <c r="AD144" s="4" t="s">
        <v>122</v>
      </c>
      <c r="AE144" s="4" t="s">
        <v>122</v>
      </c>
      <c r="AF144" s="4" t="s">
        <v>122</v>
      </c>
      <c r="AG144" s="3">
        <v>3</v>
      </c>
      <c r="AH144" s="3">
        <v>5.5</v>
      </c>
      <c r="AI144" s="3">
        <v>3</v>
      </c>
      <c r="AJ144" s="3">
        <v>5</v>
      </c>
      <c r="AK144" s="3">
        <v>6</v>
      </c>
      <c r="AL144" s="3">
        <v>5</v>
      </c>
      <c r="AM144" s="3">
        <v>4</v>
      </c>
      <c r="AN144" s="3">
        <v>5</v>
      </c>
      <c r="AO144" s="3">
        <v>4</v>
      </c>
      <c r="AP144" s="3">
        <v>1</v>
      </c>
      <c r="AQ144" s="3" t="s">
        <v>122</v>
      </c>
      <c r="AR144" s="3" t="s">
        <v>122</v>
      </c>
      <c r="AS144" s="3">
        <v>5</v>
      </c>
      <c r="AT144" s="3">
        <v>6</v>
      </c>
      <c r="AU144" s="3">
        <v>5</v>
      </c>
      <c r="AV144" s="3">
        <v>4</v>
      </c>
      <c r="AW144" s="3">
        <v>6</v>
      </c>
      <c r="AX144" s="3">
        <v>2</v>
      </c>
      <c r="AY144" s="3">
        <v>2</v>
      </c>
      <c r="AZ144" s="3" t="s">
        <v>122</v>
      </c>
      <c r="BA144" s="3" t="s">
        <v>122</v>
      </c>
      <c r="BB144" s="3" t="s">
        <v>122</v>
      </c>
      <c r="BC144" s="3" t="s">
        <v>122</v>
      </c>
      <c r="BD144" s="3" t="s">
        <v>122</v>
      </c>
      <c r="BE144" s="3" t="s">
        <v>122</v>
      </c>
      <c r="BF144" s="3" t="s">
        <v>122</v>
      </c>
      <c r="BG144" s="3" t="s">
        <v>122</v>
      </c>
      <c r="BH144" s="3" t="s">
        <v>122</v>
      </c>
      <c r="BI144" s="3" t="s">
        <v>122</v>
      </c>
      <c r="BJ144" s="3" t="s">
        <v>122</v>
      </c>
      <c r="BK144" s="3" t="s">
        <v>122</v>
      </c>
      <c r="BL144" s="3" t="s">
        <v>122</v>
      </c>
      <c r="BM144" s="3" t="s">
        <v>122</v>
      </c>
      <c r="BN144" s="3" t="s">
        <v>122</v>
      </c>
      <c r="BO144" s="3">
        <v>0</v>
      </c>
      <c r="BP144" s="3">
        <v>7</v>
      </c>
      <c r="BQ144" s="3">
        <v>2</v>
      </c>
      <c r="BR144" s="3" t="s">
        <v>122</v>
      </c>
      <c r="BS144" s="3" t="s">
        <v>122</v>
      </c>
      <c r="BT144" s="3" t="s">
        <v>122</v>
      </c>
      <c r="BU144" s="3" t="s">
        <v>122</v>
      </c>
      <c r="BV144" s="3" t="s">
        <v>122</v>
      </c>
      <c r="BW144" s="3" t="s">
        <v>122</v>
      </c>
      <c r="BX144" s="3" t="s">
        <v>122</v>
      </c>
      <c r="BY144" s="3" t="s">
        <v>122</v>
      </c>
      <c r="BZ144" s="3" t="s">
        <v>122</v>
      </c>
      <c r="CA144" s="3">
        <v>1</v>
      </c>
      <c r="CB144" s="3">
        <v>5.5</v>
      </c>
      <c r="CC144" s="3">
        <v>2</v>
      </c>
      <c r="CD144" s="3">
        <v>0</v>
      </c>
      <c r="CE144" s="3" t="s">
        <v>122</v>
      </c>
      <c r="CF144" s="3">
        <v>2</v>
      </c>
      <c r="CG144" s="4" t="s">
        <v>122</v>
      </c>
      <c r="CH144" s="3">
        <v>2</v>
      </c>
      <c r="CI144" s="4" t="s">
        <v>122</v>
      </c>
      <c r="CJ144" s="4" t="s">
        <v>122</v>
      </c>
      <c r="CK144" s="4" t="s">
        <v>122</v>
      </c>
      <c r="CL144" s="4" t="s">
        <v>122</v>
      </c>
      <c r="CM144" s="4" t="s">
        <v>122</v>
      </c>
      <c r="CN144" s="4" t="s">
        <v>122</v>
      </c>
      <c r="CO144" s="4" t="s">
        <v>125</v>
      </c>
      <c r="CP144" s="4" t="s">
        <v>122</v>
      </c>
      <c r="CQ144" s="4" t="s">
        <v>122</v>
      </c>
      <c r="CR144" s="4" t="s">
        <v>122</v>
      </c>
      <c r="CS144" s="3">
        <v>3</v>
      </c>
      <c r="CT144" s="3">
        <v>5</v>
      </c>
      <c r="CU144" s="42">
        <v>4</v>
      </c>
      <c r="CV144" cm="1">
        <f t="array" ref="CV144">_xlfn.IFS(CU144*1=2,1,CU144*1=4,1,TRUE,0)</f>
        <v>1</v>
      </c>
      <c r="CW144" cm="1">
        <f t="array" ref="CW144">_xlfn.IFS(CU144*1=1,1,CU144*1=2,1,TRUE,0)</f>
        <v>0</v>
      </c>
      <c r="CX144" s="3">
        <f t="shared" si="19"/>
        <v>5.5</v>
      </c>
      <c r="CY144" s="3">
        <f t="shared" si="20"/>
        <v>0</v>
      </c>
      <c r="CZ144" s="3" cm="1">
        <f t="array" ref="CZ144">_xlfn.IFS(BP144&lt;&gt;"", BP144, CV144=1,  AQ144, CV144=0,  AZ144)</f>
        <v>7</v>
      </c>
      <c r="DA144" s="36" cm="1">
        <f t="array" ref="DA144">_xlfn.IFS(BO144&lt;&gt;"", BO144, CV144=0,  AQ144, CV144=1,  AZ144)</f>
        <v>0</v>
      </c>
      <c r="DB144" s="36">
        <f t="shared" si="21"/>
        <v>-5.5</v>
      </c>
      <c r="DC144" s="3">
        <f t="shared" si="22"/>
        <v>0</v>
      </c>
      <c r="DD144" s="3">
        <f t="shared" si="23"/>
        <v>-5.5</v>
      </c>
      <c r="DE144" s="3">
        <f t="shared" si="24"/>
        <v>1.5</v>
      </c>
      <c r="DF144" s="3">
        <f t="shared" si="25"/>
        <v>0</v>
      </c>
      <c r="DG144" s="3">
        <f t="shared" si="26"/>
        <v>-5.5</v>
      </c>
    </row>
    <row r="145" spans="1:111" x14ac:dyDescent="0.4">
      <c r="A145" s="3">
        <v>202503</v>
      </c>
      <c r="B145" s="3">
        <v>222</v>
      </c>
      <c r="C145" s="5">
        <v>45733.652453703704</v>
      </c>
      <c r="D145" s="5">
        <v>45733.658703703702</v>
      </c>
      <c r="E145" s="3">
        <v>0</v>
      </c>
      <c r="F145" s="4" t="s">
        <v>496</v>
      </c>
      <c r="G145" s="3">
        <v>100</v>
      </c>
      <c r="H145" s="3">
        <v>539</v>
      </c>
      <c r="I145" s="3">
        <v>1</v>
      </c>
      <c r="J145" s="5">
        <v>45733.658719525461</v>
      </c>
      <c r="K145" s="4" t="s">
        <v>497</v>
      </c>
      <c r="L145" s="4" t="s">
        <v>122</v>
      </c>
      <c r="M145" s="4" t="s">
        <v>122</v>
      </c>
      <c r="N145" s="4" t="s">
        <v>122</v>
      </c>
      <c r="O145" s="4" t="s">
        <v>122</v>
      </c>
      <c r="P145" s="3">
        <v>36.122</v>
      </c>
      <c r="Q145" s="3">
        <v>-115.086</v>
      </c>
      <c r="R145" s="4" t="s">
        <v>129</v>
      </c>
      <c r="S145" s="4" t="s">
        <v>124</v>
      </c>
      <c r="T145" s="3" t="s">
        <v>122</v>
      </c>
      <c r="U145" s="3">
        <v>1</v>
      </c>
      <c r="V145" s="3">
        <v>2</v>
      </c>
      <c r="W145" s="3">
        <v>4</v>
      </c>
      <c r="X145" s="3">
        <v>1</v>
      </c>
      <c r="Y145" s="3">
        <v>2</v>
      </c>
      <c r="Z145" s="3">
        <v>2</v>
      </c>
      <c r="AA145" s="3">
        <v>1</v>
      </c>
      <c r="AB145" s="4" t="s">
        <v>122</v>
      </c>
      <c r="AC145" s="4" t="s">
        <v>122</v>
      </c>
      <c r="AD145" s="4" t="s">
        <v>122</v>
      </c>
      <c r="AE145" s="4" t="s">
        <v>122</v>
      </c>
      <c r="AF145" s="4" t="s">
        <v>122</v>
      </c>
      <c r="AG145" s="3">
        <v>2</v>
      </c>
      <c r="AH145" s="3">
        <v>5</v>
      </c>
      <c r="AI145" s="3">
        <v>2</v>
      </c>
      <c r="AJ145" s="3">
        <v>7</v>
      </c>
      <c r="AK145" s="3">
        <v>7</v>
      </c>
      <c r="AL145" s="3">
        <v>8</v>
      </c>
      <c r="AM145" s="3">
        <v>8</v>
      </c>
      <c r="AN145" s="3">
        <v>8</v>
      </c>
      <c r="AO145" s="3">
        <v>1</v>
      </c>
      <c r="AP145" s="3">
        <v>2</v>
      </c>
      <c r="AQ145" s="4" t="s">
        <v>122</v>
      </c>
      <c r="AR145" s="4" t="s">
        <v>122</v>
      </c>
      <c r="AS145" s="3">
        <v>7</v>
      </c>
      <c r="AT145" s="3">
        <v>6</v>
      </c>
      <c r="AU145" s="3">
        <v>7</v>
      </c>
      <c r="AV145" s="3">
        <v>7</v>
      </c>
      <c r="AW145" s="3">
        <v>8</v>
      </c>
      <c r="AX145" s="3">
        <v>3</v>
      </c>
      <c r="AY145" s="3">
        <v>2</v>
      </c>
      <c r="AZ145" s="4" t="s">
        <v>122</v>
      </c>
      <c r="BA145" s="4" t="s">
        <v>122</v>
      </c>
      <c r="BB145" s="3" t="s">
        <v>122</v>
      </c>
      <c r="BC145" s="3" t="s">
        <v>122</v>
      </c>
      <c r="BD145" s="3" t="s">
        <v>122</v>
      </c>
      <c r="BE145" s="3" t="s">
        <v>122</v>
      </c>
      <c r="BF145" s="3" t="s">
        <v>122</v>
      </c>
      <c r="BG145" s="3" t="s">
        <v>122</v>
      </c>
      <c r="BH145" s="3" t="s">
        <v>122</v>
      </c>
      <c r="BI145" s="3" t="s">
        <v>122</v>
      </c>
      <c r="BJ145" s="3" t="s">
        <v>122</v>
      </c>
      <c r="BK145" s="3" t="s">
        <v>122</v>
      </c>
      <c r="BL145" s="3" t="s">
        <v>122</v>
      </c>
      <c r="BM145" s="3" t="s">
        <v>122</v>
      </c>
      <c r="BN145" s="3" t="s">
        <v>122</v>
      </c>
      <c r="BO145" s="3">
        <v>5</v>
      </c>
      <c r="BP145" s="3">
        <v>5</v>
      </c>
      <c r="BQ145" s="3">
        <v>2</v>
      </c>
      <c r="BR145" s="3" t="s">
        <v>122</v>
      </c>
      <c r="BS145" s="3" t="s">
        <v>122</v>
      </c>
      <c r="BT145" s="3" t="s">
        <v>122</v>
      </c>
      <c r="BU145" s="3" t="s">
        <v>122</v>
      </c>
      <c r="BV145" s="3" t="s">
        <v>122</v>
      </c>
      <c r="BW145" s="3" t="s">
        <v>122</v>
      </c>
      <c r="BX145" s="3" t="s">
        <v>122</v>
      </c>
      <c r="BY145" s="3" t="s">
        <v>122</v>
      </c>
      <c r="BZ145" s="3" t="s">
        <v>122</v>
      </c>
      <c r="CA145" s="3">
        <v>1</v>
      </c>
      <c r="CB145" s="3">
        <v>5</v>
      </c>
      <c r="CC145" s="3">
        <v>2</v>
      </c>
      <c r="CD145" s="3">
        <v>5</v>
      </c>
      <c r="CE145" s="3">
        <v>2</v>
      </c>
      <c r="CF145" s="3">
        <v>1</v>
      </c>
      <c r="CG145" s="4" t="s">
        <v>122</v>
      </c>
      <c r="CH145" s="3">
        <v>2</v>
      </c>
      <c r="CI145" s="4" t="s">
        <v>122</v>
      </c>
      <c r="CJ145" s="4" t="s">
        <v>122</v>
      </c>
      <c r="CK145" s="4" t="s">
        <v>122</v>
      </c>
      <c r="CL145" s="4" t="s">
        <v>122</v>
      </c>
      <c r="CM145" s="4" t="s">
        <v>122</v>
      </c>
      <c r="CN145" s="4" t="s">
        <v>122</v>
      </c>
      <c r="CO145" s="4" t="s">
        <v>125</v>
      </c>
      <c r="CP145" s="4" t="s">
        <v>122</v>
      </c>
      <c r="CQ145" s="4" t="s">
        <v>122</v>
      </c>
      <c r="CR145" s="4" t="s">
        <v>122</v>
      </c>
      <c r="CS145" s="3">
        <v>3</v>
      </c>
      <c r="CT145" s="3">
        <v>6</v>
      </c>
      <c r="CU145" s="42">
        <v>3</v>
      </c>
      <c r="CV145" cm="1">
        <f t="array" ref="CV145">_xlfn.IFS(CU145*1=2,1,CU145*1=4,1,TRUE,0)</f>
        <v>0</v>
      </c>
      <c r="CW145" cm="1">
        <f t="array" ref="CW145">_xlfn.IFS(CU145*1=1,1,CU145*1=2,1,TRUE,0)</f>
        <v>0</v>
      </c>
      <c r="CX145" s="3">
        <f t="shared" si="19"/>
        <v>5</v>
      </c>
      <c r="CY145" s="3">
        <f t="shared" si="20"/>
        <v>5</v>
      </c>
      <c r="CZ145" s="3" cm="1">
        <f t="array" ref="CZ145">_xlfn.IFS(BP145&lt;&gt;"", BP145, CV145=1,  AQ145, CV145=0,  AZ145)</f>
        <v>5</v>
      </c>
      <c r="DA145" s="36" cm="1">
        <f t="array" ref="DA145">_xlfn.IFS(BO145&lt;&gt;"", BO145, CV145=0,  AQ145, CV145=1,  AZ145)</f>
        <v>5</v>
      </c>
      <c r="DB145" s="36">
        <f t="shared" si="21"/>
        <v>0</v>
      </c>
      <c r="DC145" s="3">
        <f t="shared" si="22"/>
        <v>0</v>
      </c>
      <c r="DD145" s="3">
        <f t="shared" si="23"/>
        <v>0</v>
      </c>
      <c r="DE145" s="3">
        <f t="shared" si="24"/>
        <v>0</v>
      </c>
      <c r="DF145" s="3">
        <f t="shared" si="25"/>
        <v>0</v>
      </c>
      <c r="DG145" s="3">
        <f t="shared" si="26"/>
        <v>0</v>
      </c>
    </row>
    <row r="146" spans="1:111" x14ac:dyDescent="0.4">
      <c r="A146" s="3">
        <v>202503</v>
      </c>
      <c r="B146" s="3">
        <v>222</v>
      </c>
      <c r="C146" s="5">
        <v>45733.652662037035</v>
      </c>
      <c r="D146" s="5">
        <v>45733.656840277778</v>
      </c>
      <c r="E146" s="3">
        <v>0</v>
      </c>
      <c r="F146" s="4" t="s">
        <v>351</v>
      </c>
      <c r="G146" s="3">
        <v>100</v>
      </c>
      <c r="H146" s="3">
        <v>360</v>
      </c>
      <c r="I146" s="3">
        <v>1</v>
      </c>
      <c r="J146" s="5">
        <v>45733.656856157409</v>
      </c>
      <c r="K146" s="4" t="s">
        <v>495</v>
      </c>
      <c r="L146" s="4" t="s">
        <v>122</v>
      </c>
      <c r="M146" s="4" t="s">
        <v>122</v>
      </c>
      <c r="N146" s="4" t="s">
        <v>122</v>
      </c>
      <c r="O146" s="4" t="s">
        <v>122</v>
      </c>
      <c r="P146" s="3">
        <v>32.216299999999997</v>
      </c>
      <c r="Q146" s="3">
        <v>-110.9241</v>
      </c>
      <c r="R146" s="4" t="s">
        <v>129</v>
      </c>
      <c r="S146" s="4" t="s">
        <v>124</v>
      </c>
      <c r="T146" s="3" t="s">
        <v>122</v>
      </c>
      <c r="U146" s="3">
        <v>1</v>
      </c>
      <c r="V146" s="3">
        <v>2</v>
      </c>
      <c r="W146" s="3">
        <v>5</v>
      </c>
      <c r="X146" s="3">
        <v>1</v>
      </c>
      <c r="Y146" s="3">
        <v>1</v>
      </c>
      <c r="Z146" s="3">
        <v>1</v>
      </c>
      <c r="AA146" s="3">
        <v>1</v>
      </c>
      <c r="AB146" s="4" t="s">
        <v>122</v>
      </c>
      <c r="AC146" s="4" t="s">
        <v>122</v>
      </c>
      <c r="AD146" s="4" t="s">
        <v>122</v>
      </c>
      <c r="AE146" s="4" t="s">
        <v>122</v>
      </c>
      <c r="AF146" s="4" t="s">
        <v>122</v>
      </c>
      <c r="AG146" s="3">
        <v>5</v>
      </c>
      <c r="AH146" s="3">
        <v>0</v>
      </c>
      <c r="AI146" s="3" t="s">
        <v>122</v>
      </c>
      <c r="AJ146" s="3">
        <v>6</v>
      </c>
      <c r="AK146" s="3">
        <v>4</v>
      </c>
      <c r="AL146" s="3">
        <v>4</v>
      </c>
      <c r="AM146" s="3">
        <v>7</v>
      </c>
      <c r="AN146" s="3">
        <v>6</v>
      </c>
      <c r="AO146" s="3">
        <v>2</v>
      </c>
      <c r="AP146" s="3">
        <v>3</v>
      </c>
      <c r="AQ146" s="4">
        <v>0</v>
      </c>
      <c r="AR146" s="4" t="s">
        <v>122</v>
      </c>
      <c r="AS146" s="3">
        <v>1</v>
      </c>
      <c r="AT146" s="3">
        <v>7</v>
      </c>
      <c r="AU146" s="3">
        <v>6</v>
      </c>
      <c r="AV146" s="3">
        <v>2</v>
      </c>
      <c r="AW146" s="3">
        <v>8</v>
      </c>
      <c r="AX146" s="3">
        <v>4</v>
      </c>
      <c r="AY146" s="3">
        <v>2</v>
      </c>
      <c r="AZ146" s="4">
        <v>0</v>
      </c>
      <c r="BA146" s="4" t="s">
        <v>122</v>
      </c>
      <c r="BB146" s="3">
        <v>0</v>
      </c>
      <c r="BC146" s="3">
        <v>0</v>
      </c>
      <c r="BD146" s="3">
        <v>3</v>
      </c>
      <c r="BE146" s="3" t="s">
        <v>122</v>
      </c>
      <c r="BF146" s="3" t="s">
        <v>122</v>
      </c>
      <c r="BG146" s="3" t="s">
        <v>122</v>
      </c>
      <c r="BH146" s="3" t="s">
        <v>122</v>
      </c>
      <c r="BI146" s="3" t="s">
        <v>122</v>
      </c>
      <c r="BJ146" s="3" t="s">
        <v>122</v>
      </c>
      <c r="BK146" s="3" t="s">
        <v>122</v>
      </c>
      <c r="BL146" s="3" t="s">
        <v>122</v>
      </c>
      <c r="BM146" s="3" t="s">
        <v>122</v>
      </c>
      <c r="BN146" s="3">
        <v>1</v>
      </c>
      <c r="BO146" s="3" t="s">
        <v>122</v>
      </c>
      <c r="BP146" s="3" t="s">
        <v>122</v>
      </c>
      <c r="BQ146" s="3" t="s">
        <v>122</v>
      </c>
      <c r="BR146" s="3" t="s">
        <v>122</v>
      </c>
      <c r="BS146" s="3" t="s">
        <v>122</v>
      </c>
      <c r="BT146" s="3" t="s">
        <v>122</v>
      </c>
      <c r="BU146" s="3" t="s">
        <v>122</v>
      </c>
      <c r="BV146" s="3" t="s">
        <v>122</v>
      </c>
      <c r="BW146" s="3" t="s">
        <v>122</v>
      </c>
      <c r="BX146" s="3" t="s">
        <v>122</v>
      </c>
      <c r="BY146" s="3" t="s">
        <v>122</v>
      </c>
      <c r="BZ146" s="3" t="s">
        <v>122</v>
      </c>
      <c r="CA146" s="3" t="s">
        <v>122</v>
      </c>
      <c r="CB146" s="3" t="s">
        <v>122</v>
      </c>
      <c r="CC146" s="3" t="s">
        <v>122</v>
      </c>
      <c r="CD146" s="3" t="s">
        <v>122</v>
      </c>
      <c r="CE146" s="3" t="s">
        <v>122</v>
      </c>
      <c r="CF146" s="3">
        <v>1</v>
      </c>
      <c r="CG146" s="4" t="s">
        <v>122</v>
      </c>
      <c r="CH146" s="3">
        <v>2</v>
      </c>
      <c r="CI146" s="4" t="s">
        <v>122</v>
      </c>
      <c r="CJ146" s="4" t="s">
        <v>122</v>
      </c>
      <c r="CK146" s="4" t="s">
        <v>122</v>
      </c>
      <c r="CL146" s="4" t="s">
        <v>122</v>
      </c>
      <c r="CM146" s="4" t="s">
        <v>122</v>
      </c>
      <c r="CN146" s="4" t="s">
        <v>122</v>
      </c>
      <c r="CO146" s="4" t="s">
        <v>125</v>
      </c>
      <c r="CP146" s="4" t="s">
        <v>122</v>
      </c>
      <c r="CQ146" s="4" t="s">
        <v>122</v>
      </c>
      <c r="CR146" s="4" t="s">
        <v>122</v>
      </c>
      <c r="CS146" s="3">
        <v>3</v>
      </c>
      <c r="CT146" s="3">
        <v>1</v>
      </c>
      <c r="CU146" s="42">
        <v>1</v>
      </c>
      <c r="CV146" cm="1">
        <f t="array" ref="CV146">_xlfn.IFS(CU146*1=2,1,CU146*1=4,1,TRUE,0)</f>
        <v>0</v>
      </c>
      <c r="CW146" cm="1">
        <f t="array" ref="CW146">_xlfn.IFS(CU146*1=1,1,CU146*1=2,1,TRUE,0)</f>
        <v>1</v>
      </c>
      <c r="CX146" s="3">
        <f t="shared" si="19"/>
        <v>0</v>
      </c>
      <c r="CY146" s="3">
        <f t="shared" si="20"/>
        <v>0</v>
      </c>
      <c r="CZ146" s="3" cm="1">
        <f t="array" ref="CZ146">_xlfn.IFS(BP146&lt;&gt;"", BP146, CV146=1,  AQ146, CV146=0,  AZ146)</f>
        <v>0</v>
      </c>
      <c r="DA146" s="36" cm="1">
        <f t="array" ref="DA146">_xlfn.IFS(BO146&lt;&gt;"", BO146, CV146=0,  AQ146, CV146=1,  AZ146)</f>
        <v>0</v>
      </c>
      <c r="DB146" s="36">
        <f t="shared" si="21"/>
        <v>0</v>
      </c>
      <c r="DC146" s="3">
        <f t="shared" si="22"/>
        <v>0</v>
      </c>
      <c r="DD146" s="3">
        <f t="shared" si="23"/>
        <v>0</v>
      </c>
      <c r="DE146" s="3">
        <f t="shared" si="24"/>
        <v>0</v>
      </c>
      <c r="DF146" s="3">
        <f t="shared" si="25"/>
        <v>0</v>
      </c>
      <c r="DG146" s="3">
        <f t="shared" si="26"/>
        <v>0</v>
      </c>
    </row>
    <row r="147" spans="1:111" x14ac:dyDescent="0.4">
      <c r="A147" s="3">
        <v>202503</v>
      </c>
      <c r="B147" s="3">
        <v>222</v>
      </c>
      <c r="C147" s="5">
        <v>45735.498171296298</v>
      </c>
      <c r="D147" s="5">
        <v>45735.504108796296</v>
      </c>
      <c r="E147" s="3">
        <v>0</v>
      </c>
      <c r="F147" s="4" t="s">
        <v>498</v>
      </c>
      <c r="G147" s="3">
        <v>100</v>
      </c>
      <c r="H147" s="3">
        <v>513</v>
      </c>
      <c r="I147" s="3">
        <v>1</v>
      </c>
      <c r="J147" s="5">
        <v>45735.504125023152</v>
      </c>
      <c r="K147" s="4" t="s">
        <v>499</v>
      </c>
      <c r="L147" s="4" t="s">
        <v>122</v>
      </c>
      <c r="M147" s="4" t="s">
        <v>122</v>
      </c>
      <c r="N147" s="4" t="s">
        <v>122</v>
      </c>
      <c r="O147" s="4" t="s">
        <v>122</v>
      </c>
      <c r="P147" s="3">
        <v>33.453200000000002</v>
      </c>
      <c r="Q147" s="3">
        <v>-112.0748</v>
      </c>
      <c r="R147" s="4" t="s">
        <v>129</v>
      </c>
      <c r="S147" s="4" t="s">
        <v>124</v>
      </c>
      <c r="T147" s="3">
        <v>4</v>
      </c>
      <c r="U147" s="3">
        <v>1</v>
      </c>
      <c r="V147" s="3">
        <v>3</v>
      </c>
      <c r="W147" s="3">
        <v>2</v>
      </c>
      <c r="X147" s="3">
        <v>2</v>
      </c>
      <c r="Y147" s="3">
        <v>4</v>
      </c>
      <c r="Z147" s="3">
        <v>4</v>
      </c>
      <c r="AA147" s="3">
        <v>4</v>
      </c>
      <c r="AB147" s="4" t="s">
        <v>122</v>
      </c>
      <c r="AC147" s="4" t="s">
        <v>122</v>
      </c>
      <c r="AD147" s="4" t="s">
        <v>125</v>
      </c>
      <c r="AE147" s="4" t="s">
        <v>122</v>
      </c>
      <c r="AF147" s="4" t="s">
        <v>122</v>
      </c>
      <c r="AG147" s="3">
        <v>2</v>
      </c>
      <c r="AH147" s="3">
        <v>7</v>
      </c>
      <c r="AI147" s="4">
        <v>3</v>
      </c>
      <c r="AJ147" s="3">
        <v>7</v>
      </c>
      <c r="AK147" s="3">
        <v>8</v>
      </c>
      <c r="AL147" s="3">
        <v>7</v>
      </c>
      <c r="AM147" s="3">
        <v>7</v>
      </c>
      <c r="AN147" s="3">
        <v>8</v>
      </c>
      <c r="AO147" s="3">
        <v>2</v>
      </c>
      <c r="AP147" s="3">
        <v>4</v>
      </c>
      <c r="AQ147" s="3">
        <v>7</v>
      </c>
      <c r="AR147" s="4">
        <v>3</v>
      </c>
      <c r="AS147" s="3">
        <v>6</v>
      </c>
      <c r="AT147" s="3">
        <v>7</v>
      </c>
      <c r="AU147" s="3">
        <v>7</v>
      </c>
      <c r="AV147" s="3">
        <v>6</v>
      </c>
      <c r="AW147" s="3">
        <v>5</v>
      </c>
      <c r="AX147" s="3">
        <v>2</v>
      </c>
      <c r="AY147" s="3">
        <v>4</v>
      </c>
      <c r="AZ147" s="3">
        <v>6.5</v>
      </c>
      <c r="BA147" s="4">
        <v>3</v>
      </c>
      <c r="BB147" s="3">
        <v>7</v>
      </c>
      <c r="BC147" s="3">
        <v>6.5</v>
      </c>
      <c r="BD147" s="3">
        <v>3</v>
      </c>
      <c r="BE147" s="3" t="s">
        <v>122</v>
      </c>
      <c r="BF147" s="3" t="s">
        <v>122</v>
      </c>
      <c r="BG147" s="3" t="s">
        <v>122</v>
      </c>
      <c r="BH147" s="3" t="s">
        <v>122</v>
      </c>
      <c r="BI147" s="3" t="s">
        <v>122</v>
      </c>
      <c r="BJ147" s="3" t="s">
        <v>122</v>
      </c>
      <c r="BK147" s="3" t="s">
        <v>122</v>
      </c>
      <c r="BL147" s="3" t="s">
        <v>122</v>
      </c>
      <c r="BM147" s="3" t="s">
        <v>122</v>
      </c>
      <c r="BN147" s="3">
        <v>1</v>
      </c>
      <c r="BO147" s="3" t="s">
        <v>122</v>
      </c>
      <c r="BP147" s="3" t="s">
        <v>122</v>
      </c>
      <c r="BQ147" s="3" t="s">
        <v>122</v>
      </c>
      <c r="BR147" s="3" t="s">
        <v>122</v>
      </c>
      <c r="BS147" s="3" t="s">
        <v>122</v>
      </c>
      <c r="BT147" s="3" t="s">
        <v>122</v>
      </c>
      <c r="BU147" s="3" t="s">
        <v>122</v>
      </c>
      <c r="BV147" s="3" t="s">
        <v>122</v>
      </c>
      <c r="BW147" s="3" t="s">
        <v>122</v>
      </c>
      <c r="BX147" s="3" t="s">
        <v>122</v>
      </c>
      <c r="BY147" s="3" t="s">
        <v>122</v>
      </c>
      <c r="BZ147" s="3" t="s">
        <v>122</v>
      </c>
      <c r="CA147" s="3" t="s">
        <v>122</v>
      </c>
      <c r="CB147" s="3" t="s">
        <v>122</v>
      </c>
      <c r="CC147" s="3" t="s">
        <v>122</v>
      </c>
      <c r="CD147" s="3" t="s">
        <v>122</v>
      </c>
      <c r="CE147" s="3" t="s">
        <v>122</v>
      </c>
      <c r="CF147" s="3">
        <v>1</v>
      </c>
      <c r="CG147" s="4" t="s">
        <v>122</v>
      </c>
      <c r="CH147" s="3">
        <v>5</v>
      </c>
      <c r="CI147" s="4" t="s">
        <v>122</v>
      </c>
      <c r="CJ147" s="4" t="s">
        <v>122</v>
      </c>
      <c r="CK147" s="4" t="s">
        <v>122</v>
      </c>
      <c r="CL147" s="4" t="s">
        <v>122</v>
      </c>
      <c r="CM147" s="4" t="s">
        <v>122</v>
      </c>
      <c r="CN147" s="4" t="s">
        <v>122</v>
      </c>
      <c r="CO147" s="4" t="s">
        <v>125</v>
      </c>
      <c r="CP147" s="4" t="s">
        <v>122</v>
      </c>
      <c r="CQ147" s="4" t="s">
        <v>122</v>
      </c>
      <c r="CR147" s="4" t="s">
        <v>122</v>
      </c>
      <c r="CS147" s="3">
        <v>5</v>
      </c>
      <c r="CT147" s="3">
        <v>6</v>
      </c>
      <c r="CU147" s="42">
        <v>1</v>
      </c>
      <c r="CV147" cm="1">
        <f t="array" ref="CV147">_xlfn.IFS(CU147*1=2,1,CU147*1=4,1,TRUE,0)</f>
        <v>0</v>
      </c>
      <c r="CW147" cm="1">
        <f t="array" ref="CW147">_xlfn.IFS(CU147*1=1,1,CU147*1=2,1,TRUE,0)</f>
        <v>1</v>
      </c>
      <c r="CX147" s="3">
        <f t="shared" si="19"/>
        <v>7</v>
      </c>
      <c r="CY147" s="3">
        <f t="shared" si="20"/>
        <v>6.5</v>
      </c>
      <c r="CZ147" s="3" cm="1">
        <f t="array" ref="CZ147">_xlfn.IFS(BP147&lt;&gt;"", BP147, CV147=1,  AQ147, CV147=0,  AZ147)</f>
        <v>6.5</v>
      </c>
      <c r="DA147" s="36" cm="1">
        <f t="array" ref="DA147">_xlfn.IFS(BO147&lt;&gt;"", BO147, CV147=0,  AQ147, CV147=1,  AZ147)</f>
        <v>7</v>
      </c>
      <c r="DB147" s="36">
        <f t="shared" si="21"/>
        <v>-0.5</v>
      </c>
      <c r="DC147" s="3">
        <f t="shared" si="22"/>
        <v>0</v>
      </c>
      <c r="DD147" s="3">
        <f t="shared" si="23"/>
        <v>-0.5</v>
      </c>
      <c r="DE147" s="3">
        <f t="shared" si="24"/>
        <v>-0.5</v>
      </c>
      <c r="DF147" s="3">
        <f t="shared" si="25"/>
        <v>0</v>
      </c>
      <c r="DG147" s="3">
        <f t="shared" si="26"/>
        <v>0</v>
      </c>
    </row>
    <row r="148" spans="1:111" x14ac:dyDescent="0.4">
      <c r="A148" s="3">
        <v>202503</v>
      </c>
      <c r="B148" s="3">
        <v>222</v>
      </c>
      <c r="C148" s="5">
        <v>45735.501307870371</v>
      </c>
      <c r="D148" s="5">
        <v>45735.5075462963</v>
      </c>
      <c r="E148" s="3">
        <v>0</v>
      </c>
      <c r="F148" s="4" t="s">
        <v>500</v>
      </c>
      <c r="G148" s="3">
        <v>100</v>
      </c>
      <c r="H148" s="3">
        <v>538</v>
      </c>
      <c r="I148" s="3">
        <v>1</v>
      </c>
      <c r="J148" s="5">
        <v>45735.507552905096</v>
      </c>
      <c r="K148" s="4" t="s">
        <v>501</v>
      </c>
      <c r="L148" s="4" t="s">
        <v>122</v>
      </c>
      <c r="M148" s="4" t="s">
        <v>122</v>
      </c>
      <c r="N148" s="4" t="s">
        <v>122</v>
      </c>
      <c r="O148" s="4" t="s">
        <v>122</v>
      </c>
      <c r="P148" s="3">
        <v>32.250300000000003</v>
      </c>
      <c r="Q148" s="3">
        <v>-110.94499999999999</v>
      </c>
      <c r="R148" s="4" t="s">
        <v>129</v>
      </c>
      <c r="S148" s="4" t="s">
        <v>124</v>
      </c>
      <c r="T148" s="3">
        <v>4</v>
      </c>
      <c r="U148" s="3">
        <v>1</v>
      </c>
      <c r="V148" s="3">
        <v>2</v>
      </c>
      <c r="W148" s="3">
        <v>2</v>
      </c>
      <c r="X148" s="3">
        <v>1</v>
      </c>
      <c r="Y148" s="3">
        <v>1</v>
      </c>
      <c r="Z148" s="3">
        <v>1</v>
      </c>
      <c r="AA148" s="3">
        <v>1</v>
      </c>
      <c r="AB148" s="4" t="s">
        <v>122</v>
      </c>
      <c r="AC148" s="4" t="s">
        <v>122</v>
      </c>
      <c r="AD148" s="4" t="s">
        <v>122</v>
      </c>
      <c r="AE148" s="4" t="s">
        <v>122</v>
      </c>
      <c r="AF148" s="4" t="s">
        <v>122</v>
      </c>
      <c r="AG148" s="3">
        <v>2</v>
      </c>
      <c r="AH148" s="3">
        <v>4</v>
      </c>
      <c r="AI148" s="3">
        <v>3</v>
      </c>
      <c r="AJ148" s="3">
        <v>6</v>
      </c>
      <c r="AK148" s="3">
        <v>8</v>
      </c>
      <c r="AL148" s="3">
        <v>8</v>
      </c>
      <c r="AM148" s="3">
        <v>6</v>
      </c>
      <c r="AN148" s="3">
        <v>8</v>
      </c>
      <c r="AO148" s="3">
        <v>4</v>
      </c>
      <c r="AP148" s="3">
        <v>3</v>
      </c>
      <c r="AQ148" s="4" t="s">
        <v>122</v>
      </c>
      <c r="AR148" s="4" t="s">
        <v>122</v>
      </c>
      <c r="AS148" s="3">
        <v>3</v>
      </c>
      <c r="AT148" s="3">
        <v>6</v>
      </c>
      <c r="AU148" s="3">
        <v>3</v>
      </c>
      <c r="AV148" s="3">
        <v>3</v>
      </c>
      <c r="AW148" s="3">
        <v>4</v>
      </c>
      <c r="AX148" s="3">
        <v>2</v>
      </c>
      <c r="AY148" s="3">
        <v>2</v>
      </c>
      <c r="AZ148" s="4" t="s">
        <v>122</v>
      </c>
      <c r="BA148" s="4" t="s">
        <v>122</v>
      </c>
      <c r="BB148" s="3" t="s">
        <v>122</v>
      </c>
      <c r="BC148" s="3" t="s">
        <v>122</v>
      </c>
      <c r="BD148" s="3" t="s">
        <v>122</v>
      </c>
      <c r="BE148" s="3" t="s">
        <v>122</v>
      </c>
      <c r="BF148" s="3" t="s">
        <v>122</v>
      </c>
      <c r="BG148" s="3" t="s">
        <v>122</v>
      </c>
      <c r="BH148" s="3" t="s">
        <v>122</v>
      </c>
      <c r="BI148" s="3" t="s">
        <v>122</v>
      </c>
      <c r="BJ148" s="3" t="s">
        <v>122</v>
      </c>
      <c r="BK148" s="3" t="s">
        <v>122</v>
      </c>
      <c r="BL148" s="3" t="s">
        <v>122</v>
      </c>
      <c r="BM148" s="3" t="s">
        <v>122</v>
      </c>
      <c r="BN148" s="3" t="s">
        <v>122</v>
      </c>
      <c r="BO148" s="3">
        <v>4</v>
      </c>
      <c r="BP148" s="3">
        <v>4</v>
      </c>
      <c r="BQ148" s="3">
        <v>1</v>
      </c>
      <c r="BR148" s="3" t="s">
        <v>122</v>
      </c>
      <c r="BS148" s="3" t="s">
        <v>122</v>
      </c>
      <c r="BT148" s="3" t="s">
        <v>122</v>
      </c>
      <c r="BU148" s="3" t="s">
        <v>122</v>
      </c>
      <c r="BV148" s="3" t="s">
        <v>122</v>
      </c>
      <c r="BW148" s="3" t="s">
        <v>122</v>
      </c>
      <c r="BX148" s="3" t="s">
        <v>122</v>
      </c>
      <c r="BY148" s="3" t="s">
        <v>122</v>
      </c>
      <c r="BZ148" s="3" t="s">
        <v>122</v>
      </c>
      <c r="CA148" s="3">
        <v>7</v>
      </c>
      <c r="CB148" s="3">
        <v>0</v>
      </c>
      <c r="CC148" s="3" t="s">
        <v>122</v>
      </c>
      <c r="CD148" s="3">
        <v>4</v>
      </c>
      <c r="CE148" s="3">
        <v>2</v>
      </c>
      <c r="CF148" s="3">
        <v>1</v>
      </c>
      <c r="CG148" s="4" t="s">
        <v>122</v>
      </c>
      <c r="CH148" s="3">
        <v>2</v>
      </c>
      <c r="CI148" s="4" t="s">
        <v>122</v>
      </c>
      <c r="CJ148" s="4" t="s">
        <v>122</v>
      </c>
      <c r="CK148" s="4" t="s">
        <v>122</v>
      </c>
      <c r="CL148" s="4" t="s">
        <v>125</v>
      </c>
      <c r="CM148" s="4" t="s">
        <v>122</v>
      </c>
      <c r="CN148" s="4" t="s">
        <v>122</v>
      </c>
      <c r="CO148" s="4" t="s">
        <v>122</v>
      </c>
      <c r="CP148" s="4" t="s">
        <v>122</v>
      </c>
      <c r="CQ148" s="4" t="s">
        <v>122</v>
      </c>
      <c r="CR148" s="4" t="s">
        <v>122</v>
      </c>
      <c r="CS148" s="3">
        <v>5</v>
      </c>
      <c r="CT148" s="3">
        <v>3</v>
      </c>
      <c r="CU148" s="42">
        <v>4</v>
      </c>
      <c r="CV148" cm="1">
        <f t="array" ref="CV148">_xlfn.IFS(CU148*1=2,1,CU148*1=4,1,TRUE,0)</f>
        <v>1</v>
      </c>
      <c r="CW148" cm="1">
        <f t="array" ref="CW148">_xlfn.IFS(CU148*1=1,1,CU148*1=2,1,TRUE,0)</f>
        <v>0</v>
      </c>
      <c r="CX148" s="3">
        <f t="shared" si="19"/>
        <v>0</v>
      </c>
      <c r="CY148" s="3">
        <f t="shared" si="20"/>
        <v>4</v>
      </c>
      <c r="CZ148" s="3" cm="1">
        <f t="array" ref="CZ148">_xlfn.IFS(BP148&lt;&gt;"", BP148, CV148=1,  AQ148, CV148=0,  AZ148)</f>
        <v>4</v>
      </c>
      <c r="DA148" s="36" cm="1">
        <f t="array" ref="DA148">_xlfn.IFS(BO148&lt;&gt;"", BO148, CV148=0,  AQ148, CV148=1,  AZ148)</f>
        <v>4</v>
      </c>
      <c r="DB148" s="36">
        <f t="shared" si="21"/>
        <v>0</v>
      </c>
      <c r="DC148" s="3">
        <f t="shared" si="22"/>
        <v>-4</v>
      </c>
      <c r="DD148" s="3">
        <f t="shared" si="23"/>
        <v>0</v>
      </c>
      <c r="DE148" s="3">
        <f t="shared" si="24"/>
        <v>0</v>
      </c>
      <c r="DF148" s="3">
        <f t="shared" si="25"/>
        <v>-4</v>
      </c>
      <c r="DG148" s="3">
        <f t="shared" si="26"/>
        <v>0</v>
      </c>
    </row>
    <row r="149" spans="1:111" x14ac:dyDescent="0.4">
      <c r="A149" s="3">
        <v>202503</v>
      </c>
      <c r="B149" s="3">
        <v>222</v>
      </c>
      <c r="C149" s="5">
        <v>45735.502418981479</v>
      </c>
      <c r="D149" s="5">
        <v>45735.509664351855</v>
      </c>
      <c r="E149" s="3">
        <v>0</v>
      </c>
      <c r="F149" s="4" t="s">
        <v>502</v>
      </c>
      <c r="G149" s="3">
        <v>100</v>
      </c>
      <c r="H149" s="3">
        <v>626</v>
      </c>
      <c r="I149" s="3">
        <v>1</v>
      </c>
      <c r="J149" s="5">
        <v>45735.509673460649</v>
      </c>
      <c r="K149" s="4" t="s">
        <v>503</v>
      </c>
      <c r="L149" s="4" t="s">
        <v>122</v>
      </c>
      <c r="M149" s="4" t="s">
        <v>122</v>
      </c>
      <c r="N149" s="4" t="s">
        <v>122</v>
      </c>
      <c r="O149" s="4" t="s">
        <v>122</v>
      </c>
      <c r="P149" s="3">
        <v>36.122</v>
      </c>
      <c r="Q149" s="3">
        <v>-115.086</v>
      </c>
      <c r="R149" s="4" t="s">
        <v>129</v>
      </c>
      <c r="S149" s="4" t="s">
        <v>124</v>
      </c>
      <c r="T149" s="3">
        <v>4</v>
      </c>
      <c r="U149" s="3">
        <v>1</v>
      </c>
      <c r="V149" s="3">
        <v>5</v>
      </c>
      <c r="W149" s="3">
        <v>5</v>
      </c>
      <c r="X149" s="3">
        <v>2</v>
      </c>
      <c r="Y149" s="3">
        <v>1</v>
      </c>
      <c r="Z149" s="3">
        <v>1</v>
      </c>
      <c r="AA149" s="3">
        <v>1</v>
      </c>
      <c r="AB149" s="4" t="s">
        <v>125</v>
      </c>
      <c r="AC149" s="4" t="s">
        <v>122</v>
      </c>
      <c r="AD149" s="4" t="s">
        <v>122</v>
      </c>
      <c r="AE149" s="4" t="s">
        <v>122</v>
      </c>
      <c r="AF149" s="4" t="s">
        <v>122</v>
      </c>
      <c r="AG149" s="3">
        <v>3</v>
      </c>
      <c r="AH149" s="3">
        <v>5</v>
      </c>
      <c r="AI149" s="4">
        <v>3</v>
      </c>
      <c r="AJ149" s="3">
        <v>5</v>
      </c>
      <c r="AK149" s="3">
        <v>8</v>
      </c>
      <c r="AL149" s="3">
        <v>7</v>
      </c>
      <c r="AM149" s="3">
        <v>6</v>
      </c>
      <c r="AN149" s="3">
        <v>6</v>
      </c>
      <c r="AO149" s="3">
        <v>3</v>
      </c>
      <c r="AP149" s="3">
        <v>2</v>
      </c>
      <c r="AQ149" s="3" t="s">
        <v>122</v>
      </c>
      <c r="AR149" s="4" t="s">
        <v>122</v>
      </c>
      <c r="AS149" s="3">
        <v>7</v>
      </c>
      <c r="AT149" s="3">
        <v>8</v>
      </c>
      <c r="AU149" s="3">
        <v>5</v>
      </c>
      <c r="AV149" s="3">
        <v>7</v>
      </c>
      <c r="AW149" s="3">
        <v>7</v>
      </c>
      <c r="AX149" s="3">
        <v>3</v>
      </c>
      <c r="AY149" s="3">
        <v>3</v>
      </c>
      <c r="AZ149" s="3" t="s">
        <v>122</v>
      </c>
      <c r="BA149" s="4" t="s">
        <v>122</v>
      </c>
      <c r="BB149" s="3" t="s">
        <v>122</v>
      </c>
      <c r="BC149" s="3" t="s">
        <v>122</v>
      </c>
      <c r="BD149" s="3" t="s">
        <v>122</v>
      </c>
      <c r="BE149" s="3" t="s">
        <v>122</v>
      </c>
      <c r="BF149" s="3" t="s">
        <v>122</v>
      </c>
      <c r="BG149" s="3" t="s">
        <v>122</v>
      </c>
      <c r="BH149" s="3" t="s">
        <v>122</v>
      </c>
      <c r="BI149" s="3" t="s">
        <v>122</v>
      </c>
      <c r="BJ149" s="3" t="s">
        <v>122</v>
      </c>
      <c r="BK149" s="3" t="s">
        <v>122</v>
      </c>
      <c r="BL149" s="3" t="s">
        <v>122</v>
      </c>
      <c r="BM149" s="3" t="s">
        <v>122</v>
      </c>
      <c r="BN149" s="3" t="s">
        <v>122</v>
      </c>
      <c r="BO149" s="3">
        <v>6.5</v>
      </c>
      <c r="BP149" s="3">
        <v>6.5</v>
      </c>
      <c r="BQ149" s="3">
        <v>3</v>
      </c>
      <c r="BR149" s="3" t="s">
        <v>122</v>
      </c>
      <c r="BS149" s="3" t="s">
        <v>122</v>
      </c>
      <c r="BT149" s="3" t="s">
        <v>122</v>
      </c>
      <c r="BU149" s="3" t="s">
        <v>122</v>
      </c>
      <c r="BV149" s="3" t="s">
        <v>122</v>
      </c>
      <c r="BW149" s="3" t="s">
        <v>122</v>
      </c>
      <c r="BX149" s="3" t="s">
        <v>122</v>
      </c>
      <c r="BY149" s="3" t="s">
        <v>122</v>
      </c>
      <c r="BZ149" s="3" t="s">
        <v>122</v>
      </c>
      <c r="CA149" s="3">
        <v>7</v>
      </c>
      <c r="CB149" s="3">
        <v>5</v>
      </c>
      <c r="CC149" s="3">
        <v>3</v>
      </c>
      <c r="CD149" s="3">
        <v>6</v>
      </c>
      <c r="CE149" s="3">
        <v>3</v>
      </c>
      <c r="CF149" s="3">
        <v>1</v>
      </c>
      <c r="CG149" s="4" t="s">
        <v>122</v>
      </c>
      <c r="CH149" s="3">
        <v>3</v>
      </c>
      <c r="CI149" s="4" t="s">
        <v>122</v>
      </c>
      <c r="CJ149" s="4" t="s">
        <v>122</v>
      </c>
      <c r="CK149" s="4" t="s">
        <v>122</v>
      </c>
      <c r="CL149" s="4" t="s">
        <v>122</v>
      </c>
      <c r="CM149" s="4" t="s">
        <v>122</v>
      </c>
      <c r="CN149" s="4" t="s">
        <v>122</v>
      </c>
      <c r="CO149" s="4" t="s">
        <v>125</v>
      </c>
      <c r="CP149" s="4" t="s">
        <v>122</v>
      </c>
      <c r="CQ149" s="4" t="s">
        <v>122</v>
      </c>
      <c r="CR149" s="4" t="s">
        <v>122</v>
      </c>
      <c r="CS149" s="3">
        <v>3</v>
      </c>
      <c r="CT149" s="3">
        <v>5</v>
      </c>
      <c r="CU149" s="42">
        <v>3</v>
      </c>
      <c r="CV149" cm="1">
        <f t="array" ref="CV149">_xlfn.IFS(CU149*1=2,1,CU149*1=4,1,TRUE,0)</f>
        <v>0</v>
      </c>
      <c r="CW149" cm="1">
        <f t="array" ref="CW149">_xlfn.IFS(CU149*1=1,1,CU149*1=2,1,TRUE,0)</f>
        <v>0</v>
      </c>
      <c r="CX149" s="3">
        <f t="shared" si="19"/>
        <v>5</v>
      </c>
      <c r="CY149" s="3">
        <f t="shared" si="20"/>
        <v>6</v>
      </c>
      <c r="CZ149" s="3" cm="1">
        <f t="array" ref="CZ149">_xlfn.IFS(BP149&lt;&gt;"", BP149, CV149=1,  AQ149, CV149=0,  AZ149)</f>
        <v>6.5</v>
      </c>
      <c r="DA149" s="36" cm="1">
        <f t="array" ref="DA149">_xlfn.IFS(BO149&lt;&gt;"", BO149, CV149=0,  AQ149, CV149=1,  AZ149)</f>
        <v>6.5</v>
      </c>
      <c r="DB149" s="36">
        <f t="shared" si="21"/>
        <v>1</v>
      </c>
      <c r="DC149" s="3">
        <f t="shared" si="22"/>
        <v>0</v>
      </c>
      <c r="DD149" s="3">
        <f t="shared" si="23"/>
        <v>1</v>
      </c>
      <c r="DE149" s="3">
        <f t="shared" si="24"/>
        <v>1.5</v>
      </c>
      <c r="DF149" s="3">
        <f t="shared" si="25"/>
        <v>0</v>
      </c>
      <c r="DG149" s="3">
        <f t="shared" si="26"/>
        <v>1.5</v>
      </c>
    </row>
    <row r="150" spans="1:111" x14ac:dyDescent="0.4">
      <c r="A150" s="3">
        <v>202503</v>
      </c>
      <c r="B150" s="3">
        <v>222</v>
      </c>
      <c r="C150" s="5">
        <v>45735.508506944447</v>
      </c>
      <c r="D150" s="5">
        <v>45735.519837962966</v>
      </c>
      <c r="E150" s="3">
        <v>0</v>
      </c>
      <c r="F150" s="4" t="s">
        <v>512</v>
      </c>
      <c r="G150" s="3">
        <v>100</v>
      </c>
      <c r="H150" s="3">
        <v>979</v>
      </c>
      <c r="I150" s="3">
        <v>1</v>
      </c>
      <c r="J150" s="5">
        <v>45735.519850983794</v>
      </c>
      <c r="K150" s="4" t="s">
        <v>513</v>
      </c>
      <c r="L150" s="4" t="s">
        <v>122</v>
      </c>
      <c r="M150" s="4" t="s">
        <v>122</v>
      </c>
      <c r="N150" s="4" t="s">
        <v>122</v>
      </c>
      <c r="O150" s="4" t="s">
        <v>122</v>
      </c>
      <c r="P150" s="3">
        <v>33.3429</v>
      </c>
      <c r="Q150" s="3">
        <v>-111.6347</v>
      </c>
      <c r="R150" s="4" t="s">
        <v>129</v>
      </c>
      <c r="S150" s="4" t="s">
        <v>124</v>
      </c>
      <c r="T150" s="3">
        <v>4</v>
      </c>
      <c r="U150" s="3">
        <v>1</v>
      </c>
      <c r="V150" s="3">
        <v>4</v>
      </c>
      <c r="W150" s="3">
        <v>5</v>
      </c>
      <c r="X150" s="3">
        <v>1</v>
      </c>
      <c r="Y150" s="3">
        <v>1</v>
      </c>
      <c r="Z150" s="3">
        <v>1</v>
      </c>
      <c r="AA150" s="3">
        <v>1</v>
      </c>
      <c r="AB150" s="4" t="s">
        <v>122</v>
      </c>
      <c r="AC150" s="4" t="s">
        <v>122</v>
      </c>
      <c r="AD150" s="4" t="s">
        <v>122</v>
      </c>
      <c r="AE150" s="4" t="s">
        <v>122</v>
      </c>
      <c r="AF150" s="4" t="s">
        <v>122</v>
      </c>
      <c r="AG150" s="3">
        <v>3</v>
      </c>
      <c r="AH150" s="3">
        <v>0</v>
      </c>
      <c r="AI150" s="3" t="s">
        <v>122</v>
      </c>
      <c r="AJ150" s="3">
        <v>7</v>
      </c>
      <c r="AK150" s="3">
        <v>8</v>
      </c>
      <c r="AL150" s="3">
        <v>5</v>
      </c>
      <c r="AM150" s="3">
        <v>6</v>
      </c>
      <c r="AN150" s="3">
        <v>8</v>
      </c>
      <c r="AO150" s="3">
        <v>3</v>
      </c>
      <c r="AP150" s="3">
        <v>3</v>
      </c>
      <c r="AQ150" s="3">
        <v>0</v>
      </c>
      <c r="AR150" s="3" t="s">
        <v>122</v>
      </c>
      <c r="AS150" s="3">
        <v>6</v>
      </c>
      <c r="AT150" s="3">
        <v>6</v>
      </c>
      <c r="AU150" s="3">
        <v>6</v>
      </c>
      <c r="AV150" s="3">
        <v>6</v>
      </c>
      <c r="AW150" s="3">
        <v>4</v>
      </c>
      <c r="AX150" s="3">
        <v>2</v>
      </c>
      <c r="AY150" s="3">
        <v>2</v>
      </c>
      <c r="AZ150" s="3">
        <v>0</v>
      </c>
      <c r="BA150" s="3" t="s">
        <v>122</v>
      </c>
      <c r="BB150" s="3">
        <v>0</v>
      </c>
      <c r="BC150" s="3">
        <v>0</v>
      </c>
      <c r="BD150" s="3">
        <v>3</v>
      </c>
      <c r="BE150" s="3" t="s">
        <v>122</v>
      </c>
      <c r="BF150" s="3" t="s">
        <v>122</v>
      </c>
      <c r="BG150" s="3" t="s">
        <v>122</v>
      </c>
      <c r="BH150" s="3" t="s">
        <v>122</v>
      </c>
      <c r="BI150" s="3" t="s">
        <v>122</v>
      </c>
      <c r="BJ150" s="3" t="s">
        <v>122</v>
      </c>
      <c r="BK150" s="3" t="s">
        <v>122</v>
      </c>
      <c r="BL150" s="3" t="s">
        <v>122</v>
      </c>
      <c r="BM150" s="3" t="s">
        <v>122</v>
      </c>
      <c r="BN150" s="3">
        <v>1</v>
      </c>
      <c r="BO150" s="3" t="s">
        <v>122</v>
      </c>
      <c r="BP150" s="3" t="s">
        <v>122</v>
      </c>
      <c r="BQ150" s="3" t="s">
        <v>122</v>
      </c>
      <c r="BR150" s="3" t="s">
        <v>122</v>
      </c>
      <c r="BS150" s="3" t="s">
        <v>122</v>
      </c>
      <c r="BT150" s="3" t="s">
        <v>122</v>
      </c>
      <c r="BU150" s="3" t="s">
        <v>122</v>
      </c>
      <c r="BV150" s="3" t="s">
        <v>122</v>
      </c>
      <c r="BW150" s="3" t="s">
        <v>122</v>
      </c>
      <c r="BX150" s="3" t="s">
        <v>122</v>
      </c>
      <c r="BY150" s="3" t="s">
        <v>122</v>
      </c>
      <c r="BZ150" s="3" t="s">
        <v>122</v>
      </c>
      <c r="CA150" s="3" t="s">
        <v>122</v>
      </c>
      <c r="CB150" s="3" t="s">
        <v>122</v>
      </c>
      <c r="CC150" s="3" t="s">
        <v>122</v>
      </c>
      <c r="CD150" s="3" t="s">
        <v>122</v>
      </c>
      <c r="CE150" s="3" t="s">
        <v>122</v>
      </c>
      <c r="CF150" s="3">
        <v>1</v>
      </c>
      <c r="CG150" s="4" t="s">
        <v>122</v>
      </c>
      <c r="CH150" s="3">
        <v>2</v>
      </c>
      <c r="CI150" s="4" t="s">
        <v>122</v>
      </c>
      <c r="CJ150" s="4" t="s">
        <v>122</v>
      </c>
      <c r="CK150" s="4" t="s">
        <v>122</v>
      </c>
      <c r="CL150" s="4" t="s">
        <v>122</v>
      </c>
      <c r="CM150" s="4" t="s">
        <v>122</v>
      </c>
      <c r="CN150" s="4" t="s">
        <v>122</v>
      </c>
      <c r="CO150" s="4" t="s">
        <v>125</v>
      </c>
      <c r="CP150" s="4" t="s">
        <v>122</v>
      </c>
      <c r="CQ150" s="4" t="s">
        <v>122</v>
      </c>
      <c r="CR150" s="4" t="s">
        <v>122</v>
      </c>
      <c r="CS150" s="3">
        <v>3</v>
      </c>
      <c r="CT150" s="3">
        <v>-999</v>
      </c>
      <c r="CU150" s="42">
        <v>2</v>
      </c>
      <c r="CV150" cm="1">
        <f t="array" ref="CV150">_xlfn.IFS(CU150*1=2,1,CU150*1=4,1,TRUE,0)</f>
        <v>1</v>
      </c>
      <c r="CW150" cm="1">
        <f t="array" ref="CW150">_xlfn.IFS(CU150*1=1,1,CU150*1=2,1,TRUE,0)</f>
        <v>1</v>
      </c>
      <c r="CX150" s="3">
        <f t="shared" si="19"/>
        <v>0</v>
      </c>
      <c r="CY150" s="3">
        <f t="shared" si="20"/>
        <v>0</v>
      </c>
      <c r="CZ150" s="3" cm="1">
        <f t="array" ref="CZ150">_xlfn.IFS(BP150&lt;&gt;"", BP150, CV150=1,  AQ150, CV150=0,  AZ150)</f>
        <v>0</v>
      </c>
      <c r="DA150" s="36" cm="1">
        <f t="array" ref="DA150">_xlfn.IFS(BO150&lt;&gt;"", BO150, CV150=0,  AQ150, CV150=1,  AZ150)</f>
        <v>0</v>
      </c>
      <c r="DB150" s="36">
        <f t="shared" si="21"/>
        <v>0</v>
      </c>
      <c r="DC150" s="3">
        <f t="shared" si="22"/>
        <v>0</v>
      </c>
      <c r="DD150" s="3">
        <f t="shared" si="23"/>
        <v>0</v>
      </c>
      <c r="DE150" s="3">
        <f t="shared" si="24"/>
        <v>0</v>
      </c>
      <c r="DF150" s="3">
        <f t="shared" si="25"/>
        <v>0</v>
      </c>
      <c r="DG150" s="3">
        <f t="shared" si="26"/>
        <v>0</v>
      </c>
    </row>
    <row r="151" spans="1:111" x14ac:dyDescent="0.4">
      <c r="A151" s="3">
        <v>202503</v>
      </c>
      <c r="B151" s="3">
        <v>222</v>
      </c>
      <c r="C151" s="5">
        <v>45735.508599537039</v>
      </c>
      <c r="D151" s="5">
        <v>45735.514884259261</v>
      </c>
      <c r="E151" s="3">
        <v>0</v>
      </c>
      <c r="F151" s="4" t="s">
        <v>252</v>
      </c>
      <c r="G151" s="3">
        <v>100</v>
      </c>
      <c r="H151" s="3">
        <v>542</v>
      </c>
      <c r="I151" s="3">
        <v>1</v>
      </c>
      <c r="J151" s="5">
        <v>45735.514893009262</v>
      </c>
      <c r="K151" s="4" t="s">
        <v>506</v>
      </c>
      <c r="L151" s="4" t="s">
        <v>122</v>
      </c>
      <c r="M151" s="4" t="s">
        <v>122</v>
      </c>
      <c r="N151" s="4" t="s">
        <v>122</v>
      </c>
      <c r="O151" s="4" t="s">
        <v>122</v>
      </c>
      <c r="P151" s="3">
        <v>32.250300000000003</v>
      </c>
      <c r="Q151" s="3">
        <v>-110.94499999999999</v>
      </c>
      <c r="R151" s="4" t="s">
        <v>129</v>
      </c>
      <c r="S151" s="4" t="s">
        <v>124</v>
      </c>
      <c r="T151" s="3">
        <v>4</v>
      </c>
      <c r="U151" s="3">
        <v>1</v>
      </c>
      <c r="V151" s="3">
        <v>3</v>
      </c>
      <c r="W151" s="3">
        <v>2</v>
      </c>
      <c r="X151" s="3">
        <v>1</v>
      </c>
      <c r="Y151" s="3">
        <v>1</v>
      </c>
      <c r="Z151" s="3">
        <v>1</v>
      </c>
      <c r="AA151" s="3">
        <v>1</v>
      </c>
      <c r="AB151" s="4" t="s">
        <v>122</v>
      </c>
      <c r="AC151" s="4" t="s">
        <v>122</v>
      </c>
      <c r="AD151" s="4" t="s">
        <v>122</v>
      </c>
      <c r="AE151" s="4" t="s">
        <v>122</v>
      </c>
      <c r="AF151" s="4" t="s">
        <v>122</v>
      </c>
      <c r="AG151" s="3">
        <v>2</v>
      </c>
      <c r="AH151" s="3">
        <v>4</v>
      </c>
      <c r="AI151" s="3">
        <v>1</v>
      </c>
      <c r="AJ151" s="3">
        <v>6</v>
      </c>
      <c r="AK151" s="3">
        <v>8</v>
      </c>
      <c r="AL151" s="3">
        <v>8</v>
      </c>
      <c r="AM151" s="3">
        <v>4</v>
      </c>
      <c r="AN151" s="3">
        <v>7</v>
      </c>
      <c r="AO151" s="3">
        <v>3</v>
      </c>
      <c r="AP151" s="3">
        <v>4</v>
      </c>
      <c r="AQ151" s="4" t="s">
        <v>122</v>
      </c>
      <c r="AR151" s="4" t="s">
        <v>122</v>
      </c>
      <c r="AS151" s="3">
        <v>4</v>
      </c>
      <c r="AT151" s="3">
        <v>8</v>
      </c>
      <c r="AU151" s="3">
        <v>6</v>
      </c>
      <c r="AV151" s="3">
        <v>4</v>
      </c>
      <c r="AW151" s="3">
        <v>6</v>
      </c>
      <c r="AX151" s="3">
        <v>4</v>
      </c>
      <c r="AY151" s="3">
        <v>2</v>
      </c>
      <c r="AZ151" s="4" t="s">
        <v>122</v>
      </c>
      <c r="BA151" s="4" t="s">
        <v>122</v>
      </c>
      <c r="BB151" s="3" t="s">
        <v>122</v>
      </c>
      <c r="BC151" s="3" t="s">
        <v>122</v>
      </c>
      <c r="BD151" s="3" t="s">
        <v>122</v>
      </c>
      <c r="BE151" s="3" t="s">
        <v>122</v>
      </c>
      <c r="BF151" s="3" t="s">
        <v>122</v>
      </c>
      <c r="BG151" s="3" t="s">
        <v>122</v>
      </c>
      <c r="BH151" s="3" t="s">
        <v>122</v>
      </c>
      <c r="BI151" s="3" t="s">
        <v>122</v>
      </c>
      <c r="BJ151" s="3" t="s">
        <v>122</v>
      </c>
      <c r="BK151" s="3" t="s">
        <v>122</v>
      </c>
      <c r="BL151" s="3" t="s">
        <v>122</v>
      </c>
      <c r="BM151" s="3" t="s">
        <v>122</v>
      </c>
      <c r="BN151" s="3" t="s">
        <v>122</v>
      </c>
      <c r="BO151" s="3">
        <v>4.5</v>
      </c>
      <c r="BP151" s="3">
        <v>4</v>
      </c>
      <c r="BQ151" s="3">
        <v>1</v>
      </c>
      <c r="BR151" s="3" t="s">
        <v>122</v>
      </c>
      <c r="BS151" s="3" t="s">
        <v>122</v>
      </c>
      <c r="BT151" s="3" t="s">
        <v>122</v>
      </c>
      <c r="BU151" s="3" t="s">
        <v>122</v>
      </c>
      <c r="BV151" s="3" t="s">
        <v>122</v>
      </c>
      <c r="BW151" s="3" t="s">
        <v>122</v>
      </c>
      <c r="BX151" s="3" t="s">
        <v>122</v>
      </c>
      <c r="BY151" s="3" t="s">
        <v>122</v>
      </c>
      <c r="BZ151" s="3" t="s">
        <v>122</v>
      </c>
      <c r="CA151" s="3">
        <v>1</v>
      </c>
      <c r="CB151" s="3">
        <v>4.5</v>
      </c>
      <c r="CC151" s="3">
        <v>2</v>
      </c>
      <c r="CD151" s="3">
        <v>2</v>
      </c>
      <c r="CE151" s="3">
        <v>2</v>
      </c>
      <c r="CF151" s="3">
        <v>2</v>
      </c>
      <c r="CG151" s="4" t="s">
        <v>122</v>
      </c>
      <c r="CH151" s="3">
        <v>2</v>
      </c>
      <c r="CI151" s="4" t="s">
        <v>122</v>
      </c>
      <c r="CJ151" s="4" t="s">
        <v>122</v>
      </c>
      <c r="CK151" s="4" t="s">
        <v>122</v>
      </c>
      <c r="CL151" s="4" t="s">
        <v>122</v>
      </c>
      <c r="CM151" s="4" t="s">
        <v>122</v>
      </c>
      <c r="CN151" s="4" t="s">
        <v>122</v>
      </c>
      <c r="CO151" s="4" t="s">
        <v>125</v>
      </c>
      <c r="CP151" s="4" t="s">
        <v>122</v>
      </c>
      <c r="CQ151" s="4" t="s">
        <v>122</v>
      </c>
      <c r="CR151" s="4" t="s">
        <v>122</v>
      </c>
      <c r="CS151" s="3">
        <v>3</v>
      </c>
      <c r="CT151" s="3">
        <v>1</v>
      </c>
      <c r="CU151" s="42">
        <v>3</v>
      </c>
      <c r="CV151" cm="1">
        <f t="array" ref="CV151">_xlfn.IFS(CU151*1=2,1,CU151*1=4,1,TRUE,0)</f>
        <v>0</v>
      </c>
      <c r="CW151" cm="1">
        <f t="array" ref="CW151">_xlfn.IFS(CU151*1=1,1,CU151*1=2,1,TRUE,0)</f>
        <v>0</v>
      </c>
      <c r="CX151" s="3">
        <f t="shared" si="19"/>
        <v>4.5</v>
      </c>
      <c r="CY151" s="3">
        <f t="shared" si="20"/>
        <v>2</v>
      </c>
      <c r="CZ151" s="3" cm="1">
        <f t="array" ref="CZ151">_xlfn.IFS(BP151&lt;&gt;"", BP151, CV151=1,  AQ151, CV151=0,  AZ151)</f>
        <v>4</v>
      </c>
      <c r="DA151" s="36" cm="1">
        <f t="array" ref="DA151">_xlfn.IFS(BO151&lt;&gt;"", BO151, CV151=0,  AQ151, CV151=1,  AZ151)</f>
        <v>4.5</v>
      </c>
      <c r="DB151" s="36">
        <f t="shared" si="21"/>
        <v>-2</v>
      </c>
      <c r="DC151" s="3">
        <f t="shared" si="22"/>
        <v>0.5</v>
      </c>
      <c r="DD151" s="3">
        <f t="shared" si="23"/>
        <v>-2</v>
      </c>
      <c r="DE151" s="3">
        <f t="shared" si="24"/>
        <v>0</v>
      </c>
      <c r="DF151" s="3">
        <f t="shared" si="25"/>
        <v>0.5</v>
      </c>
      <c r="DG151" s="3">
        <f t="shared" si="26"/>
        <v>0.5</v>
      </c>
    </row>
    <row r="152" spans="1:111" x14ac:dyDescent="0.4">
      <c r="A152" s="3">
        <v>202503</v>
      </c>
      <c r="B152" s="3">
        <v>222</v>
      </c>
      <c r="C152" s="5">
        <v>45735.508842592593</v>
      </c>
      <c r="D152" s="5">
        <v>45735.512546296297</v>
      </c>
      <c r="E152" s="3">
        <v>0</v>
      </c>
      <c r="F152" s="4" t="s">
        <v>504</v>
      </c>
      <c r="G152" s="3">
        <v>100</v>
      </c>
      <c r="H152" s="3">
        <v>320</v>
      </c>
      <c r="I152" s="3">
        <v>1</v>
      </c>
      <c r="J152" s="5">
        <v>45735.512558935188</v>
      </c>
      <c r="K152" s="4" t="s">
        <v>505</v>
      </c>
      <c r="L152" s="4" t="s">
        <v>122</v>
      </c>
      <c r="M152" s="4" t="s">
        <v>122</v>
      </c>
      <c r="N152" s="4" t="s">
        <v>122</v>
      </c>
      <c r="O152" s="4" t="s">
        <v>122</v>
      </c>
      <c r="P152" s="3">
        <v>32.250300000000003</v>
      </c>
      <c r="Q152" s="3">
        <v>-110.94499999999999</v>
      </c>
      <c r="R152" s="4" t="s">
        <v>129</v>
      </c>
      <c r="S152" s="4" t="s">
        <v>124</v>
      </c>
      <c r="T152" s="3">
        <v>4</v>
      </c>
      <c r="U152" s="3">
        <v>1</v>
      </c>
      <c r="V152" s="3">
        <v>2</v>
      </c>
      <c r="W152" s="3">
        <v>2</v>
      </c>
      <c r="X152" s="3">
        <v>1</v>
      </c>
      <c r="Y152" s="3">
        <v>1</v>
      </c>
      <c r="Z152" s="3">
        <v>1</v>
      </c>
      <c r="AA152" s="3">
        <v>1</v>
      </c>
      <c r="AB152" s="4" t="s">
        <v>122</v>
      </c>
      <c r="AC152" s="4" t="s">
        <v>122</v>
      </c>
      <c r="AD152" s="4" t="s">
        <v>122</v>
      </c>
      <c r="AE152" s="4" t="s">
        <v>122</v>
      </c>
      <c r="AF152" s="4" t="s">
        <v>122</v>
      </c>
      <c r="AG152" s="3">
        <v>2</v>
      </c>
      <c r="AH152" s="3">
        <v>0</v>
      </c>
      <c r="AI152" s="4" t="s">
        <v>122</v>
      </c>
      <c r="AJ152" s="3">
        <v>5</v>
      </c>
      <c r="AK152" s="3">
        <v>5</v>
      </c>
      <c r="AL152" s="3">
        <v>6</v>
      </c>
      <c r="AM152" s="3">
        <v>6</v>
      </c>
      <c r="AN152" s="3">
        <v>5</v>
      </c>
      <c r="AO152" s="3">
        <v>2</v>
      </c>
      <c r="AP152" s="3">
        <v>4</v>
      </c>
      <c r="AQ152" s="4">
        <v>0</v>
      </c>
      <c r="AR152" s="4" t="s">
        <v>122</v>
      </c>
      <c r="AS152" s="3">
        <v>3</v>
      </c>
      <c r="AT152" s="3">
        <v>5</v>
      </c>
      <c r="AU152" s="3">
        <v>3</v>
      </c>
      <c r="AV152" s="3">
        <v>3</v>
      </c>
      <c r="AW152" s="3">
        <v>3</v>
      </c>
      <c r="AX152" s="3">
        <v>2</v>
      </c>
      <c r="AY152" s="3">
        <v>1</v>
      </c>
      <c r="AZ152" s="4">
        <v>0</v>
      </c>
      <c r="BA152" s="4" t="s">
        <v>122</v>
      </c>
      <c r="BB152" s="3">
        <v>0</v>
      </c>
      <c r="BC152" s="3">
        <v>0</v>
      </c>
      <c r="BD152" s="3">
        <v>3</v>
      </c>
      <c r="BE152" s="3" t="s">
        <v>122</v>
      </c>
      <c r="BF152" s="3" t="s">
        <v>122</v>
      </c>
      <c r="BG152" s="3" t="s">
        <v>122</v>
      </c>
      <c r="BH152" s="3" t="s">
        <v>122</v>
      </c>
      <c r="BI152" s="3" t="s">
        <v>122</v>
      </c>
      <c r="BJ152" s="3" t="s">
        <v>122</v>
      </c>
      <c r="BK152" s="3" t="s">
        <v>122</v>
      </c>
      <c r="BL152" s="3" t="s">
        <v>122</v>
      </c>
      <c r="BM152" s="3" t="s">
        <v>122</v>
      </c>
      <c r="BN152" s="3" t="s">
        <v>122</v>
      </c>
      <c r="BO152" s="3" t="s">
        <v>122</v>
      </c>
      <c r="BP152" s="3" t="s">
        <v>122</v>
      </c>
      <c r="BQ152" s="3" t="s">
        <v>122</v>
      </c>
      <c r="BR152" s="3" t="s">
        <v>122</v>
      </c>
      <c r="BS152" s="3" t="s">
        <v>122</v>
      </c>
      <c r="BT152" s="3" t="s">
        <v>122</v>
      </c>
      <c r="BU152" s="3" t="s">
        <v>122</v>
      </c>
      <c r="BV152" s="3" t="s">
        <v>122</v>
      </c>
      <c r="BW152" s="3" t="s">
        <v>122</v>
      </c>
      <c r="BX152" s="3" t="s">
        <v>122</v>
      </c>
      <c r="BY152" s="3" t="s">
        <v>122</v>
      </c>
      <c r="BZ152" s="3" t="s">
        <v>122</v>
      </c>
      <c r="CA152" s="3" t="s">
        <v>122</v>
      </c>
      <c r="CB152" s="3" t="s">
        <v>122</v>
      </c>
      <c r="CC152" s="3" t="s">
        <v>122</v>
      </c>
      <c r="CD152" s="3" t="s">
        <v>122</v>
      </c>
      <c r="CE152" s="3" t="s">
        <v>122</v>
      </c>
      <c r="CF152" s="3">
        <v>1</v>
      </c>
      <c r="CG152" s="4" t="s">
        <v>122</v>
      </c>
      <c r="CH152" s="3">
        <v>2</v>
      </c>
      <c r="CI152" s="4" t="s">
        <v>122</v>
      </c>
      <c r="CJ152" s="4" t="s">
        <v>122</v>
      </c>
      <c r="CK152" s="4" t="s">
        <v>122</v>
      </c>
      <c r="CL152" s="4" t="s">
        <v>122</v>
      </c>
      <c r="CM152" s="4" t="s">
        <v>122</v>
      </c>
      <c r="CN152" s="4" t="s">
        <v>122</v>
      </c>
      <c r="CO152" s="4" t="s">
        <v>125</v>
      </c>
      <c r="CP152" s="4" t="s">
        <v>122</v>
      </c>
      <c r="CQ152" s="4" t="s">
        <v>122</v>
      </c>
      <c r="CR152" s="4" t="s">
        <v>122</v>
      </c>
      <c r="CS152" s="3">
        <v>2</v>
      </c>
      <c r="CT152" s="3">
        <v>-999</v>
      </c>
      <c r="CU152" s="42">
        <v>2</v>
      </c>
      <c r="CV152" cm="1">
        <f t="array" ref="CV152">_xlfn.IFS(CU152*1=2,1,CU152*1=4,1,TRUE,0)</f>
        <v>1</v>
      </c>
      <c r="CW152" cm="1">
        <f t="array" ref="CW152">_xlfn.IFS(CU152*1=1,1,CU152*1=2,1,TRUE,0)</f>
        <v>1</v>
      </c>
      <c r="CX152" s="3">
        <f t="shared" si="19"/>
        <v>0</v>
      </c>
      <c r="CY152" s="3">
        <f t="shared" si="20"/>
        <v>0</v>
      </c>
      <c r="CZ152" s="3" cm="1">
        <f t="array" ref="CZ152">_xlfn.IFS(BP152&lt;&gt;"", BP152, CV152=1,  AQ152, CV152=0,  AZ152)</f>
        <v>0</v>
      </c>
      <c r="DA152" s="36" cm="1">
        <f t="array" ref="DA152">_xlfn.IFS(BO152&lt;&gt;"", BO152, CV152=0,  AQ152, CV152=1,  AZ152)</f>
        <v>0</v>
      </c>
      <c r="DB152" s="36">
        <f t="shared" si="21"/>
        <v>0</v>
      </c>
      <c r="DC152" s="3">
        <f t="shared" si="22"/>
        <v>0</v>
      </c>
      <c r="DD152" s="3">
        <f t="shared" si="23"/>
        <v>0</v>
      </c>
      <c r="DE152" s="3">
        <f t="shared" si="24"/>
        <v>0</v>
      </c>
      <c r="DF152" s="3">
        <f t="shared" si="25"/>
        <v>0</v>
      </c>
      <c r="DG152" s="3">
        <f t="shared" si="26"/>
        <v>0</v>
      </c>
    </row>
    <row r="153" spans="1:111" x14ac:dyDescent="0.4">
      <c r="A153" s="3">
        <v>202503</v>
      </c>
      <c r="B153" s="3">
        <v>222</v>
      </c>
      <c r="C153" s="5">
        <v>45735.512592592589</v>
      </c>
      <c r="D153" s="5">
        <v>45735.517928240741</v>
      </c>
      <c r="E153" s="3">
        <v>0</v>
      </c>
      <c r="F153" s="4" t="s">
        <v>507</v>
      </c>
      <c r="G153" s="3">
        <v>100</v>
      </c>
      <c r="H153" s="3">
        <v>460</v>
      </c>
      <c r="I153" s="3">
        <v>1</v>
      </c>
      <c r="J153" s="5">
        <v>45735.517933703704</v>
      </c>
      <c r="K153" s="4" t="s">
        <v>508</v>
      </c>
      <c r="L153" s="4" t="s">
        <v>122</v>
      </c>
      <c r="M153" s="4" t="s">
        <v>122</v>
      </c>
      <c r="N153" s="4" t="s">
        <v>122</v>
      </c>
      <c r="O153" s="4" t="s">
        <v>122</v>
      </c>
      <c r="P153" s="3">
        <v>32.250300000000003</v>
      </c>
      <c r="Q153" s="3">
        <v>-110.94499999999999</v>
      </c>
      <c r="R153" s="4" t="s">
        <v>129</v>
      </c>
      <c r="S153" s="4" t="s">
        <v>124</v>
      </c>
      <c r="T153" s="3">
        <v>4</v>
      </c>
      <c r="U153" s="3">
        <v>1</v>
      </c>
      <c r="V153" s="3">
        <v>2</v>
      </c>
      <c r="W153" s="3">
        <v>2</v>
      </c>
      <c r="X153" s="3">
        <v>1</v>
      </c>
      <c r="Y153" s="3">
        <v>3</v>
      </c>
      <c r="Z153" s="3">
        <v>2</v>
      </c>
      <c r="AA153" s="3">
        <v>1</v>
      </c>
      <c r="AB153" s="4" t="s">
        <v>122</v>
      </c>
      <c r="AC153" s="4" t="s">
        <v>122</v>
      </c>
      <c r="AD153" s="4" t="s">
        <v>122</v>
      </c>
      <c r="AE153" s="4" t="s">
        <v>122</v>
      </c>
      <c r="AF153" s="4" t="s">
        <v>122</v>
      </c>
      <c r="AG153" s="3">
        <v>2</v>
      </c>
      <c r="AH153" s="3">
        <v>8</v>
      </c>
      <c r="AI153" s="3">
        <v>2</v>
      </c>
      <c r="AJ153" s="3">
        <v>8</v>
      </c>
      <c r="AK153" s="3">
        <v>6</v>
      </c>
      <c r="AL153" s="3">
        <v>7</v>
      </c>
      <c r="AM153" s="3">
        <v>8</v>
      </c>
      <c r="AN153" s="3">
        <v>8</v>
      </c>
      <c r="AO153" s="3">
        <v>3</v>
      </c>
      <c r="AP153" s="3">
        <v>2</v>
      </c>
      <c r="AQ153" s="3">
        <v>7</v>
      </c>
      <c r="AR153" s="3">
        <v>3</v>
      </c>
      <c r="AS153" s="3">
        <v>4</v>
      </c>
      <c r="AT153" s="3">
        <v>6</v>
      </c>
      <c r="AU153" s="3">
        <v>6</v>
      </c>
      <c r="AV153" s="3">
        <v>6</v>
      </c>
      <c r="AW153" s="3">
        <v>7</v>
      </c>
      <c r="AX153" s="3">
        <v>4</v>
      </c>
      <c r="AY153" s="3">
        <v>4</v>
      </c>
      <c r="AZ153" s="3">
        <v>4</v>
      </c>
      <c r="BA153" s="3">
        <v>3</v>
      </c>
      <c r="BB153" s="3">
        <v>7</v>
      </c>
      <c r="BC153" s="3">
        <v>6</v>
      </c>
      <c r="BD153" s="3">
        <v>3</v>
      </c>
      <c r="BE153" s="3" t="s">
        <v>122</v>
      </c>
      <c r="BF153" s="3" t="s">
        <v>122</v>
      </c>
      <c r="BG153" s="3" t="s">
        <v>122</v>
      </c>
      <c r="BH153" s="3" t="s">
        <v>122</v>
      </c>
      <c r="BI153" s="3" t="s">
        <v>122</v>
      </c>
      <c r="BJ153" s="3" t="s">
        <v>122</v>
      </c>
      <c r="BK153" s="3" t="s">
        <v>122</v>
      </c>
      <c r="BL153" s="3" t="s">
        <v>122</v>
      </c>
      <c r="BM153" s="3" t="s">
        <v>122</v>
      </c>
      <c r="BN153" s="3">
        <v>1</v>
      </c>
      <c r="BO153" s="3" t="s">
        <v>122</v>
      </c>
      <c r="BP153" s="3" t="s">
        <v>122</v>
      </c>
      <c r="BQ153" s="3" t="s">
        <v>122</v>
      </c>
      <c r="BR153" s="3" t="s">
        <v>122</v>
      </c>
      <c r="BS153" s="3" t="s">
        <v>122</v>
      </c>
      <c r="BT153" s="3" t="s">
        <v>122</v>
      </c>
      <c r="BU153" s="3" t="s">
        <v>122</v>
      </c>
      <c r="BV153" s="3" t="s">
        <v>122</v>
      </c>
      <c r="BW153" s="3" t="s">
        <v>122</v>
      </c>
      <c r="BX153" s="3" t="s">
        <v>122</v>
      </c>
      <c r="BY153" s="3" t="s">
        <v>122</v>
      </c>
      <c r="BZ153" s="3" t="s">
        <v>122</v>
      </c>
      <c r="CA153" s="3" t="s">
        <v>122</v>
      </c>
      <c r="CB153" s="3" t="s">
        <v>122</v>
      </c>
      <c r="CC153" s="3" t="s">
        <v>122</v>
      </c>
      <c r="CD153" s="3" t="s">
        <v>122</v>
      </c>
      <c r="CE153" s="3" t="s">
        <v>122</v>
      </c>
      <c r="CF153" s="3">
        <v>2</v>
      </c>
      <c r="CG153" s="4" t="s">
        <v>122</v>
      </c>
      <c r="CH153" s="3">
        <v>2</v>
      </c>
      <c r="CI153" s="4" t="s">
        <v>122</v>
      </c>
      <c r="CJ153" s="4" t="s">
        <v>122</v>
      </c>
      <c r="CK153" s="4" t="s">
        <v>122</v>
      </c>
      <c r="CL153" s="4" t="s">
        <v>125</v>
      </c>
      <c r="CM153" s="4" t="s">
        <v>122</v>
      </c>
      <c r="CN153" s="4" t="s">
        <v>122</v>
      </c>
      <c r="CO153" s="4" t="s">
        <v>122</v>
      </c>
      <c r="CP153" s="4" t="s">
        <v>122</v>
      </c>
      <c r="CQ153" s="4" t="s">
        <v>122</v>
      </c>
      <c r="CR153" s="4" t="s">
        <v>122</v>
      </c>
      <c r="CS153" s="3">
        <v>4</v>
      </c>
      <c r="CT153" s="3">
        <v>2</v>
      </c>
      <c r="CU153" s="42">
        <v>1</v>
      </c>
      <c r="CV153" cm="1">
        <f t="array" ref="CV153">_xlfn.IFS(CU153*1=2,1,CU153*1=4,1,TRUE,0)</f>
        <v>0</v>
      </c>
      <c r="CW153" cm="1">
        <f t="array" ref="CW153">_xlfn.IFS(CU153*1=1,1,CU153*1=2,1,TRUE,0)</f>
        <v>1</v>
      </c>
      <c r="CX153" s="3">
        <f t="shared" si="19"/>
        <v>7</v>
      </c>
      <c r="CY153" s="3">
        <f t="shared" si="20"/>
        <v>6</v>
      </c>
      <c r="CZ153" s="3" cm="1">
        <f t="array" ref="CZ153">_xlfn.IFS(BP153&lt;&gt;"", BP153, CV153=1,  AQ153, CV153=0,  AZ153)</f>
        <v>4</v>
      </c>
      <c r="DA153" s="36" cm="1">
        <f t="array" ref="DA153">_xlfn.IFS(BO153&lt;&gt;"", BO153, CV153=0,  AQ153, CV153=1,  AZ153)</f>
        <v>7</v>
      </c>
      <c r="DB153" s="36">
        <f t="shared" si="21"/>
        <v>-2</v>
      </c>
      <c r="DC153" s="3">
        <f t="shared" si="22"/>
        <v>-1</v>
      </c>
      <c r="DD153" s="3">
        <f t="shared" si="23"/>
        <v>-4</v>
      </c>
      <c r="DE153" s="3">
        <f t="shared" si="24"/>
        <v>-2</v>
      </c>
      <c r="DF153" s="3">
        <f t="shared" si="25"/>
        <v>-1</v>
      </c>
      <c r="DG153" s="3">
        <f t="shared" si="26"/>
        <v>-1</v>
      </c>
    </row>
    <row r="154" spans="1:111" x14ac:dyDescent="0.4">
      <c r="A154" s="3">
        <v>202503</v>
      </c>
      <c r="B154" s="3">
        <v>222</v>
      </c>
      <c r="C154" s="5">
        <v>45735.512662037036</v>
      </c>
      <c r="D154" s="5">
        <v>45735.518541666665</v>
      </c>
      <c r="E154" s="3">
        <v>0</v>
      </c>
      <c r="F154" s="4" t="s">
        <v>509</v>
      </c>
      <c r="G154" s="3">
        <v>100</v>
      </c>
      <c r="H154" s="3">
        <v>508</v>
      </c>
      <c r="I154" s="3">
        <v>1</v>
      </c>
      <c r="J154" s="5">
        <v>45735.51855537037</v>
      </c>
      <c r="K154" s="4" t="s">
        <v>510</v>
      </c>
      <c r="L154" s="4" t="s">
        <v>122</v>
      </c>
      <c r="M154" s="4" t="s">
        <v>122</v>
      </c>
      <c r="N154" s="4" t="s">
        <v>122</v>
      </c>
      <c r="O154" s="4" t="s">
        <v>122</v>
      </c>
      <c r="P154" s="3">
        <v>33.42</v>
      </c>
      <c r="Q154" s="3">
        <v>-111.9128</v>
      </c>
      <c r="R154" s="4" t="s">
        <v>129</v>
      </c>
      <c r="S154" s="4" t="s">
        <v>124</v>
      </c>
      <c r="T154" s="3">
        <v>4</v>
      </c>
      <c r="U154" s="3">
        <v>1</v>
      </c>
      <c r="V154" s="3">
        <v>5</v>
      </c>
      <c r="W154" s="3">
        <v>2</v>
      </c>
      <c r="X154" s="3">
        <v>1</v>
      </c>
      <c r="Y154" s="3">
        <v>1</v>
      </c>
      <c r="Z154" s="3">
        <v>1</v>
      </c>
      <c r="AA154" s="3">
        <v>1</v>
      </c>
      <c r="AB154" s="4" t="s">
        <v>122</v>
      </c>
      <c r="AC154" s="4" t="s">
        <v>122</v>
      </c>
      <c r="AD154" s="4" t="s">
        <v>122</v>
      </c>
      <c r="AE154" s="4" t="s">
        <v>122</v>
      </c>
      <c r="AF154" s="4" t="s">
        <v>122</v>
      </c>
      <c r="AG154" s="3">
        <v>4</v>
      </c>
      <c r="AH154" s="3">
        <v>7</v>
      </c>
      <c r="AI154" s="3">
        <v>2</v>
      </c>
      <c r="AJ154" s="3">
        <v>7</v>
      </c>
      <c r="AK154" s="3">
        <v>7</v>
      </c>
      <c r="AL154" s="3">
        <v>8</v>
      </c>
      <c r="AM154" s="3">
        <v>7</v>
      </c>
      <c r="AN154" s="3">
        <v>8</v>
      </c>
      <c r="AO154" s="3">
        <v>2</v>
      </c>
      <c r="AP154" s="3">
        <v>4</v>
      </c>
      <c r="AQ154" s="3" t="s">
        <v>122</v>
      </c>
      <c r="AR154" s="3" t="s">
        <v>122</v>
      </c>
      <c r="AS154" s="3">
        <v>3</v>
      </c>
      <c r="AT154" s="3">
        <v>5</v>
      </c>
      <c r="AU154" s="3">
        <v>2</v>
      </c>
      <c r="AV154" s="3">
        <v>1</v>
      </c>
      <c r="AW154" s="3">
        <v>6</v>
      </c>
      <c r="AX154" s="3">
        <v>2</v>
      </c>
      <c r="AY154" s="3">
        <v>1</v>
      </c>
      <c r="AZ154" s="3" t="s">
        <v>122</v>
      </c>
      <c r="BA154" s="4" t="s">
        <v>122</v>
      </c>
      <c r="BB154" s="3" t="s">
        <v>122</v>
      </c>
      <c r="BC154" s="3" t="s">
        <v>122</v>
      </c>
      <c r="BD154" s="3" t="s">
        <v>122</v>
      </c>
      <c r="BE154" s="3" t="s">
        <v>122</v>
      </c>
      <c r="BF154" s="3" t="s">
        <v>122</v>
      </c>
      <c r="BG154" s="3" t="s">
        <v>122</v>
      </c>
      <c r="BH154" s="3" t="s">
        <v>122</v>
      </c>
      <c r="BI154" s="3" t="s">
        <v>122</v>
      </c>
      <c r="BJ154" s="3" t="s">
        <v>122</v>
      </c>
      <c r="BK154" s="3" t="s">
        <v>122</v>
      </c>
      <c r="BL154" s="3" t="s">
        <v>122</v>
      </c>
      <c r="BM154" s="3" t="s">
        <v>122</v>
      </c>
      <c r="BN154" s="3" t="s">
        <v>122</v>
      </c>
      <c r="BO154" s="3">
        <v>2</v>
      </c>
      <c r="BP154" s="3">
        <v>2</v>
      </c>
      <c r="BQ154" s="3">
        <v>3</v>
      </c>
      <c r="BR154" s="3" t="s">
        <v>122</v>
      </c>
      <c r="BS154" s="3" t="s">
        <v>122</v>
      </c>
      <c r="BT154" s="3" t="s">
        <v>122</v>
      </c>
      <c r="BU154" s="3" t="s">
        <v>122</v>
      </c>
      <c r="BV154" s="3" t="s">
        <v>122</v>
      </c>
      <c r="BW154" s="3" t="s">
        <v>122</v>
      </c>
      <c r="BX154" s="3" t="s">
        <v>122</v>
      </c>
      <c r="BY154" s="3" t="s">
        <v>122</v>
      </c>
      <c r="BZ154" s="3" t="s">
        <v>122</v>
      </c>
      <c r="CA154" s="3">
        <v>1</v>
      </c>
      <c r="CB154" s="3">
        <v>0</v>
      </c>
      <c r="CC154" s="3" t="s">
        <v>122</v>
      </c>
      <c r="CD154" s="3">
        <v>2</v>
      </c>
      <c r="CE154" s="3">
        <v>3</v>
      </c>
      <c r="CF154" s="3">
        <v>2</v>
      </c>
      <c r="CG154" s="4" t="s">
        <v>122</v>
      </c>
      <c r="CH154" s="3">
        <v>2</v>
      </c>
      <c r="CI154" s="4" t="s">
        <v>122</v>
      </c>
      <c r="CJ154" s="4" t="s">
        <v>122</v>
      </c>
      <c r="CK154" s="4" t="s">
        <v>125</v>
      </c>
      <c r="CL154" s="4" t="s">
        <v>122</v>
      </c>
      <c r="CM154" s="4" t="s">
        <v>122</v>
      </c>
      <c r="CN154" s="4" t="s">
        <v>122</v>
      </c>
      <c r="CO154" s="4" t="s">
        <v>125</v>
      </c>
      <c r="CP154" s="4" t="s">
        <v>122</v>
      </c>
      <c r="CQ154" s="4" t="s">
        <v>122</v>
      </c>
      <c r="CR154" s="4" t="s">
        <v>122</v>
      </c>
      <c r="CS154" s="3">
        <v>5</v>
      </c>
      <c r="CT154" s="3">
        <v>2</v>
      </c>
      <c r="CU154" s="42">
        <v>4</v>
      </c>
      <c r="CV154" cm="1">
        <f t="array" ref="CV154">_xlfn.IFS(CU154*1=2,1,CU154*1=4,1,TRUE,0)</f>
        <v>1</v>
      </c>
      <c r="CW154" cm="1">
        <f t="array" ref="CW154">_xlfn.IFS(CU154*1=1,1,CU154*1=2,1,TRUE,0)</f>
        <v>0</v>
      </c>
      <c r="CX154" s="3">
        <f t="shared" si="19"/>
        <v>0</v>
      </c>
      <c r="CY154" s="3">
        <f t="shared" si="20"/>
        <v>2</v>
      </c>
      <c r="CZ154" s="3" cm="1">
        <f t="array" ref="CZ154">_xlfn.IFS(BP154&lt;&gt;"", BP154, CV154=1,  AQ154, CV154=0,  AZ154)</f>
        <v>2</v>
      </c>
      <c r="DA154" s="36" cm="1">
        <f t="array" ref="DA154">_xlfn.IFS(BO154&lt;&gt;"", BO154, CV154=0,  AQ154, CV154=1,  AZ154)</f>
        <v>2</v>
      </c>
      <c r="DB154" s="36">
        <f t="shared" si="21"/>
        <v>-5</v>
      </c>
      <c r="DC154" s="3">
        <f t="shared" si="22"/>
        <v>-7</v>
      </c>
      <c r="DD154" s="3">
        <f t="shared" si="23"/>
        <v>-5</v>
      </c>
      <c r="DE154" s="3">
        <f t="shared" si="24"/>
        <v>-5</v>
      </c>
      <c r="DF154" s="3">
        <f t="shared" si="25"/>
        <v>-7</v>
      </c>
      <c r="DG154" s="3">
        <f t="shared" si="26"/>
        <v>-5</v>
      </c>
    </row>
    <row r="155" spans="1:111" x14ac:dyDescent="0.4">
      <c r="A155" s="3">
        <v>202503</v>
      </c>
      <c r="B155" s="3">
        <v>222</v>
      </c>
      <c r="C155" s="5">
        <v>45735.513240740744</v>
      </c>
      <c r="D155" s="5">
        <v>45735.519375000003</v>
      </c>
      <c r="E155" s="3">
        <v>0</v>
      </c>
      <c r="F155" s="4" t="s">
        <v>419</v>
      </c>
      <c r="G155" s="3">
        <v>100</v>
      </c>
      <c r="H155" s="3">
        <v>530</v>
      </c>
      <c r="I155" s="3">
        <v>1</v>
      </c>
      <c r="J155" s="5">
        <v>45735.519390694448</v>
      </c>
      <c r="K155" s="4" t="s">
        <v>511</v>
      </c>
      <c r="L155" s="4" t="s">
        <v>122</v>
      </c>
      <c r="M155" s="4" t="s">
        <v>122</v>
      </c>
      <c r="N155" s="4" t="s">
        <v>122</v>
      </c>
      <c r="O155" s="4" t="s">
        <v>122</v>
      </c>
      <c r="P155" s="3">
        <v>36.172400000000003</v>
      </c>
      <c r="Q155" s="3">
        <v>-115.0677</v>
      </c>
      <c r="R155" s="4" t="s">
        <v>129</v>
      </c>
      <c r="S155" s="4" t="s">
        <v>124</v>
      </c>
      <c r="T155" s="3">
        <v>4</v>
      </c>
      <c r="U155" s="3">
        <v>1</v>
      </c>
      <c r="V155" s="3">
        <v>3</v>
      </c>
      <c r="W155" s="3">
        <v>3</v>
      </c>
      <c r="X155" s="3">
        <v>1</v>
      </c>
      <c r="Y155" s="3">
        <v>1</v>
      </c>
      <c r="Z155" s="3">
        <v>1</v>
      </c>
      <c r="AA155" s="3">
        <v>1</v>
      </c>
      <c r="AB155" s="4" t="s">
        <v>122</v>
      </c>
      <c r="AC155" s="4" t="s">
        <v>122</v>
      </c>
      <c r="AD155" s="4" t="s">
        <v>122</v>
      </c>
      <c r="AE155" s="4" t="s">
        <v>122</v>
      </c>
      <c r="AF155" s="4" t="s">
        <v>122</v>
      </c>
      <c r="AG155" s="3">
        <v>3</v>
      </c>
      <c r="AH155" s="3">
        <v>0</v>
      </c>
      <c r="AI155" s="3" t="s">
        <v>122</v>
      </c>
      <c r="AJ155" s="3">
        <v>8</v>
      </c>
      <c r="AK155" s="3">
        <v>8</v>
      </c>
      <c r="AL155" s="3">
        <v>9</v>
      </c>
      <c r="AM155" s="3">
        <v>8</v>
      </c>
      <c r="AN155" s="3">
        <v>8</v>
      </c>
      <c r="AO155" s="3">
        <v>3</v>
      </c>
      <c r="AP155" s="3">
        <v>2</v>
      </c>
      <c r="AQ155" s="4" t="s">
        <v>122</v>
      </c>
      <c r="AR155" s="4" t="s">
        <v>122</v>
      </c>
      <c r="AS155" s="3">
        <v>6</v>
      </c>
      <c r="AT155" s="3">
        <v>7</v>
      </c>
      <c r="AU155" s="3">
        <v>6</v>
      </c>
      <c r="AV155" s="3">
        <v>6</v>
      </c>
      <c r="AW155" s="3">
        <v>7</v>
      </c>
      <c r="AX155" s="3">
        <v>2</v>
      </c>
      <c r="AY155" s="3">
        <v>4</v>
      </c>
      <c r="AZ155" s="4" t="s">
        <v>122</v>
      </c>
      <c r="BA155" s="4" t="s">
        <v>122</v>
      </c>
      <c r="BB155" s="3" t="s">
        <v>122</v>
      </c>
      <c r="BC155" s="3" t="s">
        <v>122</v>
      </c>
      <c r="BD155" s="3" t="s">
        <v>122</v>
      </c>
      <c r="BE155" s="3" t="s">
        <v>122</v>
      </c>
      <c r="BF155" s="3" t="s">
        <v>122</v>
      </c>
      <c r="BG155" s="3" t="s">
        <v>122</v>
      </c>
      <c r="BH155" s="3" t="s">
        <v>122</v>
      </c>
      <c r="BI155" s="3" t="s">
        <v>122</v>
      </c>
      <c r="BJ155" s="3" t="s">
        <v>122</v>
      </c>
      <c r="BK155" s="3" t="s">
        <v>122</v>
      </c>
      <c r="BL155" s="3" t="s">
        <v>122</v>
      </c>
      <c r="BM155" s="3" t="s">
        <v>122</v>
      </c>
      <c r="BN155" s="3" t="s">
        <v>122</v>
      </c>
      <c r="BO155" s="3">
        <v>0</v>
      </c>
      <c r="BP155" s="3">
        <v>0</v>
      </c>
      <c r="BQ155" s="3">
        <v>3</v>
      </c>
      <c r="BR155" s="3" t="s">
        <v>122</v>
      </c>
      <c r="BS155" s="3" t="s">
        <v>122</v>
      </c>
      <c r="BT155" s="3" t="s">
        <v>122</v>
      </c>
      <c r="BU155" s="3" t="s">
        <v>122</v>
      </c>
      <c r="BV155" s="3" t="s">
        <v>122</v>
      </c>
      <c r="BW155" s="3" t="s">
        <v>122</v>
      </c>
      <c r="BX155" s="3" t="s">
        <v>122</v>
      </c>
      <c r="BY155" s="3" t="s">
        <v>122</v>
      </c>
      <c r="BZ155" s="3" t="s">
        <v>122</v>
      </c>
      <c r="CA155" s="3">
        <v>1</v>
      </c>
      <c r="CB155" s="3">
        <v>4.5</v>
      </c>
      <c r="CC155" s="3">
        <v>2</v>
      </c>
      <c r="CD155" s="3">
        <v>4.5</v>
      </c>
      <c r="CE155" s="3">
        <v>2</v>
      </c>
      <c r="CF155" s="3">
        <v>1</v>
      </c>
      <c r="CG155" s="4" t="s">
        <v>122</v>
      </c>
      <c r="CH155" s="3">
        <v>2</v>
      </c>
      <c r="CI155" s="4" t="s">
        <v>122</v>
      </c>
      <c r="CJ155" s="4" t="s">
        <v>122</v>
      </c>
      <c r="CK155" s="4" t="s">
        <v>122</v>
      </c>
      <c r="CL155" s="4" t="s">
        <v>122</v>
      </c>
      <c r="CM155" s="4" t="s">
        <v>122</v>
      </c>
      <c r="CN155" s="4" t="s">
        <v>122</v>
      </c>
      <c r="CO155" s="4" t="s">
        <v>125</v>
      </c>
      <c r="CP155" s="4" t="s">
        <v>122</v>
      </c>
      <c r="CQ155" s="4" t="s">
        <v>122</v>
      </c>
      <c r="CR155" s="4" t="s">
        <v>122</v>
      </c>
      <c r="CS155" s="3">
        <v>4</v>
      </c>
      <c r="CT155" s="3">
        <v>2</v>
      </c>
      <c r="CU155" s="42">
        <v>3</v>
      </c>
      <c r="CV155" cm="1">
        <f t="array" ref="CV155">_xlfn.IFS(CU155*1=2,1,CU155*1=4,1,TRUE,0)</f>
        <v>0</v>
      </c>
      <c r="CW155" cm="1">
        <f t="array" ref="CW155">_xlfn.IFS(CU155*1=1,1,CU155*1=2,1,TRUE,0)</f>
        <v>0</v>
      </c>
      <c r="CX155" s="3">
        <f t="shared" si="19"/>
        <v>4.5</v>
      </c>
      <c r="CY155" s="3">
        <f t="shared" si="20"/>
        <v>4.5</v>
      </c>
      <c r="CZ155" s="3" cm="1">
        <f t="array" ref="CZ155">_xlfn.IFS(BP155&lt;&gt;"", BP155, CV155=1,  AQ155, CV155=0,  AZ155)</f>
        <v>0</v>
      </c>
      <c r="DA155" s="36" cm="1">
        <f t="array" ref="DA155">_xlfn.IFS(BO155&lt;&gt;"", BO155, CV155=0,  AQ155, CV155=1,  AZ155)</f>
        <v>0</v>
      </c>
      <c r="DB155" s="36">
        <f t="shared" si="21"/>
        <v>4.5</v>
      </c>
      <c r="DC155" s="3">
        <f t="shared" si="22"/>
        <v>4.5</v>
      </c>
      <c r="DD155" s="3">
        <f t="shared" si="23"/>
        <v>4.5</v>
      </c>
      <c r="DE155" s="3">
        <f t="shared" si="24"/>
        <v>0</v>
      </c>
      <c r="DF155" s="3">
        <f t="shared" si="25"/>
        <v>4.5</v>
      </c>
      <c r="DG155" s="3">
        <f t="shared" si="26"/>
        <v>0</v>
      </c>
    </row>
    <row r="156" spans="1:111" x14ac:dyDescent="0.4">
      <c r="A156" s="3">
        <v>202503</v>
      </c>
      <c r="B156" s="3">
        <v>222</v>
      </c>
      <c r="C156" s="5">
        <v>45735.518611111111</v>
      </c>
      <c r="D156" s="5">
        <v>45735.52847222222</v>
      </c>
      <c r="E156" s="3">
        <v>0</v>
      </c>
      <c r="F156" s="4" t="s">
        <v>121</v>
      </c>
      <c r="G156" s="3">
        <v>100</v>
      </c>
      <c r="H156" s="3">
        <v>851</v>
      </c>
      <c r="I156" s="3">
        <v>1</v>
      </c>
      <c r="J156" s="5">
        <v>45735.528485173614</v>
      </c>
      <c r="K156" s="4" t="s">
        <v>514</v>
      </c>
      <c r="L156" s="4" t="s">
        <v>122</v>
      </c>
      <c r="M156" s="4" t="s">
        <v>122</v>
      </c>
      <c r="N156" s="4" t="s">
        <v>122</v>
      </c>
      <c r="O156" s="4" t="s">
        <v>122</v>
      </c>
      <c r="P156" s="3">
        <v>32.250300000000003</v>
      </c>
      <c r="Q156" s="3">
        <v>-110.94499999999999</v>
      </c>
      <c r="R156" s="4" t="s">
        <v>129</v>
      </c>
      <c r="S156" s="4" t="s">
        <v>124</v>
      </c>
      <c r="T156" s="3">
        <v>4</v>
      </c>
      <c r="U156" s="3">
        <v>1</v>
      </c>
      <c r="V156" s="3">
        <v>3</v>
      </c>
      <c r="W156" s="3">
        <v>1</v>
      </c>
      <c r="X156" s="3">
        <v>2</v>
      </c>
      <c r="Y156" s="3">
        <v>4</v>
      </c>
      <c r="Z156" s="3">
        <v>3</v>
      </c>
      <c r="AA156" s="3">
        <v>3</v>
      </c>
      <c r="AB156" s="4" t="s">
        <v>122</v>
      </c>
      <c r="AC156" s="4" t="s">
        <v>122</v>
      </c>
      <c r="AD156" s="4" t="s">
        <v>122</v>
      </c>
      <c r="AE156" s="4" t="s">
        <v>122</v>
      </c>
      <c r="AF156" s="4" t="s">
        <v>125</v>
      </c>
      <c r="AG156" s="3">
        <v>2</v>
      </c>
      <c r="AH156" s="3">
        <v>5.5</v>
      </c>
      <c r="AI156" s="4">
        <v>3</v>
      </c>
      <c r="AJ156" s="3">
        <v>3</v>
      </c>
      <c r="AK156" s="3">
        <v>7</v>
      </c>
      <c r="AL156" s="3">
        <v>3</v>
      </c>
      <c r="AM156" s="3">
        <v>3</v>
      </c>
      <c r="AN156" s="3">
        <v>6</v>
      </c>
      <c r="AO156" s="3">
        <v>3</v>
      </c>
      <c r="AP156" s="3">
        <v>4</v>
      </c>
      <c r="AQ156" s="3">
        <v>4.5</v>
      </c>
      <c r="AR156" s="4">
        <v>2</v>
      </c>
      <c r="AS156" s="3">
        <v>7</v>
      </c>
      <c r="AT156" s="3">
        <v>7</v>
      </c>
      <c r="AU156" s="3">
        <v>6</v>
      </c>
      <c r="AV156" s="3">
        <v>6</v>
      </c>
      <c r="AW156" s="3">
        <v>6</v>
      </c>
      <c r="AX156" s="3">
        <v>3</v>
      </c>
      <c r="AY156" s="3">
        <v>3</v>
      </c>
      <c r="AZ156" s="3">
        <v>6.5</v>
      </c>
      <c r="BA156" s="4">
        <v>3</v>
      </c>
      <c r="BB156" s="3">
        <v>4.5</v>
      </c>
      <c r="BC156" s="3">
        <v>6</v>
      </c>
      <c r="BD156" s="3">
        <v>3</v>
      </c>
      <c r="BE156" s="3" t="s">
        <v>122</v>
      </c>
      <c r="BF156" s="3" t="s">
        <v>122</v>
      </c>
      <c r="BG156" s="3" t="s">
        <v>122</v>
      </c>
      <c r="BH156" s="3" t="s">
        <v>122</v>
      </c>
      <c r="BI156" s="3" t="s">
        <v>122</v>
      </c>
      <c r="BJ156" s="3" t="s">
        <v>122</v>
      </c>
      <c r="BK156" s="3" t="s">
        <v>122</v>
      </c>
      <c r="BL156" s="3" t="s">
        <v>122</v>
      </c>
      <c r="BM156" s="3" t="s">
        <v>122</v>
      </c>
      <c r="BN156" s="3" t="s">
        <v>122</v>
      </c>
      <c r="BO156" s="3" t="s">
        <v>122</v>
      </c>
      <c r="BP156" s="3" t="s">
        <v>122</v>
      </c>
      <c r="BQ156" s="3" t="s">
        <v>122</v>
      </c>
      <c r="BR156" s="3" t="s">
        <v>122</v>
      </c>
      <c r="BS156" s="3" t="s">
        <v>122</v>
      </c>
      <c r="BT156" s="3" t="s">
        <v>122</v>
      </c>
      <c r="BU156" s="3" t="s">
        <v>122</v>
      </c>
      <c r="BV156" s="3" t="s">
        <v>122</v>
      </c>
      <c r="BW156" s="3" t="s">
        <v>122</v>
      </c>
      <c r="BX156" s="3" t="s">
        <v>122</v>
      </c>
      <c r="BY156" s="3" t="s">
        <v>122</v>
      </c>
      <c r="BZ156" s="3" t="s">
        <v>122</v>
      </c>
      <c r="CA156" s="3" t="s">
        <v>122</v>
      </c>
      <c r="CB156" s="3" t="s">
        <v>122</v>
      </c>
      <c r="CC156" s="3" t="s">
        <v>122</v>
      </c>
      <c r="CD156" s="3" t="s">
        <v>122</v>
      </c>
      <c r="CE156" s="3" t="s">
        <v>122</v>
      </c>
      <c r="CF156" s="3">
        <v>2</v>
      </c>
      <c r="CG156" s="4" t="s">
        <v>122</v>
      </c>
      <c r="CH156" s="3">
        <v>6</v>
      </c>
      <c r="CI156" s="4" t="s">
        <v>122</v>
      </c>
      <c r="CJ156" s="4" t="s">
        <v>122</v>
      </c>
      <c r="CK156" s="4" t="s">
        <v>122</v>
      </c>
      <c r="CL156" s="4" t="s">
        <v>122</v>
      </c>
      <c r="CM156" s="4" t="s">
        <v>122</v>
      </c>
      <c r="CN156" s="4" t="s">
        <v>122</v>
      </c>
      <c r="CO156" s="4" t="s">
        <v>125</v>
      </c>
      <c r="CP156" s="4" t="s">
        <v>122</v>
      </c>
      <c r="CQ156" s="4" t="s">
        <v>122</v>
      </c>
      <c r="CR156" s="4" t="s">
        <v>122</v>
      </c>
      <c r="CS156" s="3">
        <v>5</v>
      </c>
      <c r="CT156" s="3">
        <v>-999</v>
      </c>
      <c r="CU156" s="42">
        <v>1</v>
      </c>
      <c r="CV156" cm="1">
        <f t="array" ref="CV156">_xlfn.IFS(CU156*1=2,1,CU156*1=4,1,TRUE,0)</f>
        <v>0</v>
      </c>
      <c r="CW156" cm="1">
        <f t="array" ref="CW156">_xlfn.IFS(CU156*1=1,1,CU156*1=2,1,TRUE,0)</f>
        <v>1</v>
      </c>
      <c r="CX156" s="3">
        <f t="shared" si="19"/>
        <v>4.5</v>
      </c>
      <c r="CY156" s="3">
        <f t="shared" si="20"/>
        <v>6</v>
      </c>
      <c r="CZ156" s="3" cm="1">
        <f t="array" ref="CZ156">_xlfn.IFS(BP156&lt;&gt;"", BP156, CV156=1,  AQ156, CV156=0,  AZ156)</f>
        <v>6.5</v>
      </c>
      <c r="DA156" s="36" cm="1">
        <f t="array" ref="DA156">_xlfn.IFS(BO156&lt;&gt;"", BO156, CV156=0,  AQ156, CV156=1,  AZ156)</f>
        <v>4.5</v>
      </c>
      <c r="DB156" s="36">
        <f t="shared" si="21"/>
        <v>0.5</v>
      </c>
      <c r="DC156" s="3">
        <f t="shared" si="22"/>
        <v>-1</v>
      </c>
      <c r="DD156" s="3">
        <f t="shared" si="23"/>
        <v>1</v>
      </c>
      <c r="DE156" s="3">
        <f t="shared" si="24"/>
        <v>0.5</v>
      </c>
      <c r="DF156" s="3">
        <f t="shared" si="25"/>
        <v>-1</v>
      </c>
      <c r="DG156" s="3">
        <f t="shared" si="26"/>
        <v>-1</v>
      </c>
    </row>
    <row r="157" spans="1:111" x14ac:dyDescent="0.4">
      <c r="A157" s="3">
        <v>202503</v>
      </c>
      <c r="B157" s="3">
        <v>222</v>
      </c>
      <c r="C157" s="5">
        <v>45735.536435185182</v>
      </c>
      <c r="D157" s="5">
        <v>45735.542546296296</v>
      </c>
      <c r="E157" s="3">
        <v>0</v>
      </c>
      <c r="F157" s="4" t="s">
        <v>515</v>
      </c>
      <c r="G157" s="3">
        <v>100</v>
      </c>
      <c r="H157" s="3">
        <v>528</v>
      </c>
      <c r="I157" s="3">
        <v>1</v>
      </c>
      <c r="J157" s="5">
        <v>45735.542554178239</v>
      </c>
      <c r="K157" s="4" t="s">
        <v>516</v>
      </c>
      <c r="L157" s="4" t="s">
        <v>122</v>
      </c>
      <c r="M157" s="4" t="s">
        <v>122</v>
      </c>
      <c r="N157" s="4" t="s">
        <v>122</v>
      </c>
      <c r="O157" s="4" t="s">
        <v>122</v>
      </c>
      <c r="P157" s="3">
        <v>32.250300000000003</v>
      </c>
      <c r="Q157" s="3">
        <v>-110.94499999999999</v>
      </c>
      <c r="R157" s="4" t="s">
        <v>129</v>
      </c>
      <c r="S157" s="4" t="s">
        <v>124</v>
      </c>
      <c r="T157" s="3">
        <v>4</v>
      </c>
      <c r="U157" s="3">
        <v>0</v>
      </c>
      <c r="V157" s="3">
        <v>3</v>
      </c>
      <c r="W157" s="3">
        <v>2</v>
      </c>
      <c r="X157" s="3">
        <v>1</v>
      </c>
      <c r="Y157" s="3">
        <v>3</v>
      </c>
      <c r="Z157" s="3">
        <v>4</v>
      </c>
      <c r="AA157" s="3">
        <v>5</v>
      </c>
      <c r="AB157" s="4" t="s">
        <v>122</v>
      </c>
      <c r="AC157" s="4" t="s">
        <v>122</v>
      </c>
      <c r="AD157" s="4" t="s">
        <v>122</v>
      </c>
      <c r="AE157" s="4" t="s">
        <v>122</v>
      </c>
      <c r="AF157" s="4" t="s">
        <v>122</v>
      </c>
      <c r="AG157" s="3">
        <v>3</v>
      </c>
      <c r="AH157" s="3">
        <v>4.5</v>
      </c>
      <c r="AI157" s="3">
        <v>2</v>
      </c>
      <c r="AJ157" s="3">
        <v>7</v>
      </c>
      <c r="AK157" s="3">
        <v>9</v>
      </c>
      <c r="AL157" s="3">
        <v>6</v>
      </c>
      <c r="AM157" s="3">
        <v>9</v>
      </c>
      <c r="AN157" s="3">
        <v>8</v>
      </c>
      <c r="AO157" s="3">
        <v>3</v>
      </c>
      <c r="AP157" s="3">
        <v>3</v>
      </c>
      <c r="AQ157" s="4">
        <v>5.5</v>
      </c>
      <c r="AR157" s="4">
        <v>3</v>
      </c>
      <c r="AS157" s="3">
        <v>4</v>
      </c>
      <c r="AT157" s="3">
        <v>9</v>
      </c>
      <c r="AU157" s="3">
        <v>4</v>
      </c>
      <c r="AV157" s="3">
        <v>4</v>
      </c>
      <c r="AW157" s="3">
        <v>5</v>
      </c>
      <c r="AX157" s="3">
        <v>2</v>
      </c>
      <c r="AY157" s="3">
        <v>4</v>
      </c>
      <c r="AZ157" s="4">
        <v>0</v>
      </c>
      <c r="BA157" s="4" t="s">
        <v>122</v>
      </c>
      <c r="BB157" s="3">
        <v>4</v>
      </c>
      <c r="BC157" s="3">
        <v>6</v>
      </c>
      <c r="BD157" s="3">
        <v>2</v>
      </c>
      <c r="BE157" s="3" t="s">
        <v>122</v>
      </c>
      <c r="BF157" s="3" t="s">
        <v>122</v>
      </c>
      <c r="BG157" s="3" t="s">
        <v>122</v>
      </c>
      <c r="BH157" s="3" t="s">
        <v>122</v>
      </c>
      <c r="BI157" s="3" t="s">
        <v>122</v>
      </c>
      <c r="BJ157" s="3" t="s">
        <v>122</v>
      </c>
      <c r="BK157" s="3" t="s">
        <v>122</v>
      </c>
      <c r="BL157" s="3" t="s">
        <v>122</v>
      </c>
      <c r="BM157" s="3" t="s">
        <v>122</v>
      </c>
      <c r="BN157" s="3">
        <v>2</v>
      </c>
      <c r="BO157" s="3" t="s">
        <v>122</v>
      </c>
      <c r="BP157" s="3" t="s">
        <v>122</v>
      </c>
      <c r="BQ157" s="3" t="s">
        <v>122</v>
      </c>
      <c r="BR157" s="3" t="s">
        <v>122</v>
      </c>
      <c r="BS157" s="3" t="s">
        <v>122</v>
      </c>
      <c r="BT157" s="3" t="s">
        <v>122</v>
      </c>
      <c r="BU157" s="3" t="s">
        <v>122</v>
      </c>
      <c r="BV157" s="3" t="s">
        <v>122</v>
      </c>
      <c r="BW157" s="3" t="s">
        <v>122</v>
      </c>
      <c r="BX157" s="3" t="s">
        <v>122</v>
      </c>
      <c r="BY157" s="3" t="s">
        <v>122</v>
      </c>
      <c r="BZ157" s="3" t="s">
        <v>122</v>
      </c>
      <c r="CA157" s="3" t="s">
        <v>122</v>
      </c>
      <c r="CB157" s="3" t="s">
        <v>122</v>
      </c>
      <c r="CC157" s="3" t="s">
        <v>122</v>
      </c>
      <c r="CD157" s="3" t="s">
        <v>122</v>
      </c>
      <c r="CE157" s="3" t="s">
        <v>122</v>
      </c>
      <c r="CF157" s="3">
        <v>2</v>
      </c>
      <c r="CG157" s="4" t="s">
        <v>122</v>
      </c>
      <c r="CH157" s="3">
        <v>4</v>
      </c>
      <c r="CI157" s="4" t="s">
        <v>125</v>
      </c>
      <c r="CJ157" s="4" t="s">
        <v>122</v>
      </c>
      <c r="CK157" s="4" t="s">
        <v>122</v>
      </c>
      <c r="CL157" s="4" t="s">
        <v>122</v>
      </c>
      <c r="CM157" s="4" t="s">
        <v>122</v>
      </c>
      <c r="CN157" s="4" t="s">
        <v>122</v>
      </c>
      <c r="CO157" s="4" t="s">
        <v>122</v>
      </c>
      <c r="CP157" s="4" t="s">
        <v>122</v>
      </c>
      <c r="CQ157" s="4" t="s">
        <v>122</v>
      </c>
      <c r="CR157" s="4" t="s">
        <v>122</v>
      </c>
      <c r="CS157" s="3">
        <v>5</v>
      </c>
      <c r="CT157" s="3">
        <v>-999</v>
      </c>
      <c r="CU157" s="42">
        <v>2</v>
      </c>
      <c r="CV157" cm="1">
        <f t="array" ref="CV157">_xlfn.IFS(CU157*1=2,1,CU157*1=4,1,TRUE,0)</f>
        <v>1</v>
      </c>
      <c r="CW157" cm="1">
        <f t="array" ref="CW157">_xlfn.IFS(CU157*1=1,1,CU157*1=2,1,TRUE,0)</f>
        <v>1</v>
      </c>
      <c r="CX157" s="3">
        <f t="shared" si="19"/>
        <v>4</v>
      </c>
      <c r="CY157" s="3">
        <f t="shared" si="20"/>
        <v>6</v>
      </c>
      <c r="CZ157" s="3" cm="1">
        <f t="array" ref="CZ157">_xlfn.IFS(BP157&lt;&gt;"", BP157, CV157=1,  AQ157, CV157=0,  AZ157)</f>
        <v>5.5</v>
      </c>
      <c r="DA157" s="36" cm="1">
        <f t="array" ref="DA157">_xlfn.IFS(BO157&lt;&gt;"", BO157, CV157=0,  AQ157, CV157=1,  AZ157)</f>
        <v>0</v>
      </c>
      <c r="DB157" s="36">
        <f t="shared" si="21"/>
        <v>1.5</v>
      </c>
      <c r="DC157" s="3">
        <f t="shared" si="22"/>
        <v>-0.5</v>
      </c>
      <c r="DD157" s="3">
        <f t="shared" si="23"/>
        <v>1</v>
      </c>
      <c r="DE157" s="3">
        <f t="shared" si="24"/>
        <v>1.5</v>
      </c>
      <c r="DF157" s="3">
        <f t="shared" si="25"/>
        <v>-4.5</v>
      </c>
      <c r="DG157" s="3">
        <f t="shared" si="26"/>
        <v>-0.5</v>
      </c>
    </row>
    <row r="158" spans="1:111" x14ac:dyDescent="0.4">
      <c r="A158" s="3">
        <v>202503</v>
      </c>
      <c r="B158" s="3">
        <v>222</v>
      </c>
      <c r="C158" s="5">
        <v>45735.536585648151</v>
      </c>
      <c r="D158" s="5">
        <v>45735.545069444444</v>
      </c>
      <c r="E158" s="3">
        <v>0</v>
      </c>
      <c r="F158" s="4" t="s">
        <v>518</v>
      </c>
      <c r="G158" s="3">
        <v>100</v>
      </c>
      <c r="H158" s="3">
        <v>733</v>
      </c>
      <c r="I158" s="3">
        <v>1</v>
      </c>
      <c r="J158" s="5">
        <v>45735.545085405094</v>
      </c>
      <c r="K158" s="4" t="s">
        <v>519</v>
      </c>
      <c r="L158" s="4" t="s">
        <v>122</v>
      </c>
      <c r="M158" s="4" t="s">
        <v>122</v>
      </c>
      <c r="N158" s="4" t="s">
        <v>122</v>
      </c>
      <c r="O158" s="4" t="s">
        <v>122</v>
      </c>
      <c r="P158" s="3">
        <v>33.453200000000002</v>
      </c>
      <c r="Q158" s="3">
        <v>-112.0748</v>
      </c>
      <c r="R158" s="4" t="s">
        <v>129</v>
      </c>
      <c r="S158" s="4" t="s">
        <v>124</v>
      </c>
      <c r="T158" s="3">
        <v>4</v>
      </c>
      <c r="U158" s="3">
        <v>1</v>
      </c>
      <c r="V158" s="3">
        <v>2</v>
      </c>
      <c r="W158" s="3">
        <v>4</v>
      </c>
      <c r="X158" s="3">
        <v>1</v>
      </c>
      <c r="Y158" s="3">
        <v>1</v>
      </c>
      <c r="Z158" s="3">
        <v>1</v>
      </c>
      <c r="AA158" s="3">
        <v>1</v>
      </c>
      <c r="AB158" s="4" t="s">
        <v>122</v>
      </c>
      <c r="AC158" s="4" t="s">
        <v>122</v>
      </c>
      <c r="AD158" s="4" t="s">
        <v>122</v>
      </c>
      <c r="AE158" s="4" t="s">
        <v>122</v>
      </c>
      <c r="AF158" s="4" t="s">
        <v>122</v>
      </c>
      <c r="AG158" s="3">
        <v>3</v>
      </c>
      <c r="AH158" s="3">
        <v>2</v>
      </c>
      <c r="AI158" s="3">
        <v>2</v>
      </c>
      <c r="AJ158" s="3">
        <v>7</v>
      </c>
      <c r="AK158" s="3">
        <v>9</v>
      </c>
      <c r="AL158" s="3">
        <v>6</v>
      </c>
      <c r="AM158" s="3">
        <v>6</v>
      </c>
      <c r="AN158" s="3">
        <v>8</v>
      </c>
      <c r="AO158" s="3">
        <v>4</v>
      </c>
      <c r="AP158" s="3">
        <v>4</v>
      </c>
      <c r="AQ158" s="3" t="s">
        <v>122</v>
      </c>
      <c r="AR158" s="3" t="s">
        <v>122</v>
      </c>
      <c r="AS158" s="3">
        <v>5</v>
      </c>
      <c r="AT158" s="3">
        <v>7</v>
      </c>
      <c r="AU158" s="3">
        <v>8</v>
      </c>
      <c r="AV158" s="3">
        <v>4</v>
      </c>
      <c r="AW158" s="3">
        <v>7</v>
      </c>
      <c r="AX158" s="3">
        <v>4</v>
      </c>
      <c r="AY158" s="3">
        <v>5</v>
      </c>
      <c r="AZ158" s="3" t="s">
        <v>122</v>
      </c>
      <c r="BA158" s="3" t="s">
        <v>122</v>
      </c>
      <c r="BB158" s="3" t="s">
        <v>122</v>
      </c>
      <c r="BC158" s="3" t="s">
        <v>122</v>
      </c>
      <c r="BD158" s="3" t="s">
        <v>122</v>
      </c>
      <c r="BE158" s="3" t="s">
        <v>122</v>
      </c>
      <c r="BF158" s="3" t="s">
        <v>122</v>
      </c>
      <c r="BG158" s="3" t="s">
        <v>122</v>
      </c>
      <c r="BH158" s="3" t="s">
        <v>122</v>
      </c>
      <c r="BI158" s="3" t="s">
        <v>122</v>
      </c>
      <c r="BJ158" s="3" t="s">
        <v>122</v>
      </c>
      <c r="BK158" s="3" t="s">
        <v>122</v>
      </c>
      <c r="BL158" s="3" t="s">
        <v>122</v>
      </c>
      <c r="BM158" s="3" t="s">
        <v>122</v>
      </c>
      <c r="BN158" s="3" t="s">
        <v>122</v>
      </c>
      <c r="BO158" s="3">
        <v>2</v>
      </c>
      <c r="BP158" s="3">
        <v>2</v>
      </c>
      <c r="BQ158" s="3">
        <v>2</v>
      </c>
      <c r="BR158" s="3" t="s">
        <v>122</v>
      </c>
      <c r="BS158" s="3" t="s">
        <v>122</v>
      </c>
      <c r="BT158" s="3" t="s">
        <v>122</v>
      </c>
      <c r="BU158" s="3" t="s">
        <v>122</v>
      </c>
      <c r="BV158" s="3" t="s">
        <v>122</v>
      </c>
      <c r="BW158" s="3" t="s">
        <v>122</v>
      </c>
      <c r="BX158" s="3" t="s">
        <v>122</v>
      </c>
      <c r="BY158" s="3" t="s">
        <v>122</v>
      </c>
      <c r="BZ158" s="3" t="s">
        <v>122</v>
      </c>
      <c r="CA158" s="3">
        <v>1</v>
      </c>
      <c r="CB158" s="3">
        <v>4</v>
      </c>
      <c r="CC158" s="3">
        <v>3</v>
      </c>
      <c r="CD158" s="3">
        <v>2</v>
      </c>
      <c r="CE158" s="3">
        <v>3</v>
      </c>
      <c r="CF158" s="3">
        <v>1</v>
      </c>
      <c r="CG158" s="4" t="s">
        <v>122</v>
      </c>
      <c r="CH158" s="3">
        <v>4</v>
      </c>
      <c r="CI158" s="4" t="s">
        <v>122</v>
      </c>
      <c r="CJ158" s="4" t="s">
        <v>122</v>
      </c>
      <c r="CK158" s="4" t="s">
        <v>122</v>
      </c>
      <c r="CL158" s="4" t="s">
        <v>125</v>
      </c>
      <c r="CM158" s="4" t="s">
        <v>122</v>
      </c>
      <c r="CN158" s="4" t="s">
        <v>122</v>
      </c>
      <c r="CO158" s="4" t="s">
        <v>122</v>
      </c>
      <c r="CP158" s="4" t="s">
        <v>122</v>
      </c>
      <c r="CQ158" s="4" t="s">
        <v>122</v>
      </c>
      <c r="CR158" s="4" t="s">
        <v>122</v>
      </c>
      <c r="CS158" s="3">
        <v>4</v>
      </c>
      <c r="CT158" s="3">
        <v>3</v>
      </c>
      <c r="CU158" s="42">
        <v>3</v>
      </c>
      <c r="CV158" cm="1">
        <f t="array" ref="CV158">_xlfn.IFS(CU158*1=2,1,CU158*1=4,1,TRUE,0)</f>
        <v>0</v>
      </c>
      <c r="CW158" cm="1">
        <f t="array" ref="CW158">_xlfn.IFS(CU158*1=1,1,CU158*1=2,1,TRUE,0)</f>
        <v>0</v>
      </c>
      <c r="CX158" s="3">
        <f t="shared" si="19"/>
        <v>4</v>
      </c>
      <c r="CY158" s="3">
        <f t="shared" si="20"/>
        <v>2</v>
      </c>
      <c r="CZ158" s="3" cm="1">
        <f t="array" ref="CZ158">_xlfn.IFS(BP158&lt;&gt;"", BP158, CV158=1,  AQ158, CV158=0,  AZ158)</f>
        <v>2</v>
      </c>
      <c r="DA158" s="36" cm="1">
        <f t="array" ref="DA158">_xlfn.IFS(BO158&lt;&gt;"", BO158, CV158=0,  AQ158, CV158=1,  AZ158)</f>
        <v>2</v>
      </c>
      <c r="DB158" s="36">
        <f t="shared" si="21"/>
        <v>0</v>
      </c>
      <c r="DC158" s="3">
        <f t="shared" si="22"/>
        <v>2</v>
      </c>
      <c r="DD158" s="3">
        <f t="shared" si="23"/>
        <v>0</v>
      </c>
      <c r="DE158" s="3">
        <f t="shared" si="24"/>
        <v>0</v>
      </c>
      <c r="DF158" s="3">
        <f t="shared" si="25"/>
        <v>2</v>
      </c>
      <c r="DG158" s="3">
        <f t="shared" si="26"/>
        <v>0</v>
      </c>
    </row>
    <row r="159" spans="1:111" x14ac:dyDescent="0.4">
      <c r="A159" s="3">
        <v>202503</v>
      </c>
      <c r="B159" s="3">
        <v>222</v>
      </c>
      <c r="C159" s="5">
        <v>45735.537916666668</v>
      </c>
      <c r="D159" s="5">
        <v>45735.543912037036</v>
      </c>
      <c r="E159" s="3">
        <v>0</v>
      </c>
      <c r="F159" s="4" t="s">
        <v>200</v>
      </c>
      <c r="G159" s="3">
        <v>100</v>
      </c>
      <c r="H159" s="3">
        <v>517</v>
      </c>
      <c r="I159" s="3">
        <v>1</v>
      </c>
      <c r="J159" s="5">
        <v>45735.543923553239</v>
      </c>
      <c r="K159" s="4" t="s">
        <v>517</v>
      </c>
      <c r="L159" s="4" t="s">
        <v>122</v>
      </c>
      <c r="M159" s="4" t="s">
        <v>122</v>
      </c>
      <c r="N159" s="4" t="s">
        <v>122</v>
      </c>
      <c r="O159" s="4" t="s">
        <v>122</v>
      </c>
      <c r="P159" s="3">
        <v>32.250300000000003</v>
      </c>
      <c r="Q159" s="3">
        <v>-110.94499999999999</v>
      </c>
      <c r="R159" s="4" t="s">
        <v>129</v>
      </c>
      <c r="S159" s="4" t="s">
        <v>124</v>
      </c>
      <c r="T159" s="3">
        <v>4</v>
      </c>
      <c r="U159" s="3">
        <v>1</v>
      </c>
      <c r="V159" s="3">
        <v>1</v>
      </c>
      <c r="W159" s="3">
        <v>1</v>
      </c>
      <c r="X159" s="3">
        <v>1</v>
      </c>
      <c r="Y159" s="3">
        <v>1</v>
      </c>
      <c r="Z159" s="3">
        <v>1</v>
      </c>
      <c r="AA159" s="3">
        <v>1</v>
      </c>
      <c r="AB159" s="4" t="s">
        <v>122</v>
      </c>
      <c r="AC159" s="4" t="s">
        <v>122</v>
      </c>
      <c r="AD159" s="4" t="s">
        <v>122</v>
      </c>
      <c r="AE159" s="4" t="s">
        <v>122</v>
      </c>
      <c r="AF159" s="4" t="s">
        <v>122</v>
      </c>
      <c r="AG159" s="3">
        <v>5</v>
      </c>
      <c r="AH159" s="3">
        <v>0</v>
      </c>
      <c r="AI159" s="3" t="s">
        <v>122</v>
      </c>
      <c r="AJ159" s="3">
        <v>4</v>
      </c>
      <c r="AK159" s="3">
        <v>6</v>
      </c>
      <c r="AL159" s="3">
        <v>5</v>
      </c>
      <c r="AM159" s="3">
        <v>3</v>
      </c>
      <c r="AN159" s="3">
        <v>5</v>
      </c>
      <c r="AO159" s="3">
        <v>2</v>
      </c>
      <c r="AP159" s="3">
        <v>2</v>
      </c>
      <c r="AQ159" s="4">
        <v>0</v>
      </c>
      <c r="AR159" s="4" t="s">
        <v>122</v>
      </c>
      <c r="AS159" s="3">
        <v>1</v>
      </c>
      <c r="AT159" s="3">
        <v>4</v>
      </c>
      <c r="AU159" s="3">
        <v>2</v>
      </c>
      <c r="AV159" s="3">
        <v>1</v>
      </c>
      <c r="AW159" s="3">
        <v>3</v>
      </c>
      <c r="AX159" s="3">
        <v>4</v>
      </c>
      <c r="AY159" s="3">
        <v>2</v>
      </c>
      <c r="AZ159" s="4">
        <v>0</v>
      </c>
      <c r="BA159" s="4" t="s">
        <v>122</v>
      </c>
      <c r="BB159" s="3">
        <v>0</v>
      </c>
      <c r="BC159" s="3">
        <v>0</v>
      </c>
      <c r="BD159" s="3">
        <v>3</v>
      </c>
      <c r="BE159" s="3" t="s">
        <v>122</v>
      </c>
      <c r="BF159" s="3" t="s">
        <v>122</v>
      </c>
      <c r="BG159" s="3" t="s">
        <v>122</v>
      </c>
      <c r="BH159" s="3" t="s">
        <v>122</v>
      </c>
      <c r="BI159" s="3" t="s">
        <v>122</v>
      </c>
      <c r="BJ159" s="3" t="s">
        <v>122</v>
      </c>
      <c r="BK159" s="3" t="s">
        <v>122</v>
      </c>
      <c r="BL159" s="3" t="s">
        <v>122</v>
      </c>
      <c r="BM159" s="3" t="s">
        <v>122</v>
      </c>
      <c r="BN159" s="3">
        <v>7</v>
      </c>
      <c r="BO159" s="3" t="s">
        <v>122</v>
      </c>
      <c r="BP159" s="3" t="s">
        <v>122</v>
      </c>
      <c r="BQ159" s="3" t="s">
        <v>122</v>
      </c>
      <c r="BR159" s="3" t="s">
        <v>122</v>
      </c>
      <c r="BS159" s="3" t="s">
        <v>122</v>
      </c>
      <c r="BT159" s="3" t="s">
        <v>122</v>
      </c>
      <c r="BU159" s="3" t="s">
        <v>122</v>
      </c>
      <c r="BV159" s="3" t="s">
        <v>122</v>
      </c>
      <c r="BW159" s="3" t="s">
        <v>122</v>
      </c>
      <c r="BX159" s="3" t="s">
        <v>122</v>
      </c>
      <c r="BY159" s="3" t="s">
        <v>122</v>
      </c>
      <c r="BZ159" s="3" t="s">
        <v>122</v>
      </c>
      <c r="CA159" s="3" t="s">
        <v>122</v>
      </c>
      <c r="CB159" s="3" t="s">
        <v>122</v>
      </c>
      <c r="CC159" s="3" t="s">
        <v>122</v>
      </c>
      <c r="CD159" s="3" t="s">
        <v>122</v>
      </c>
      <c r="CE159" s="3" t="s">
        <v>122</v>
      </c>
      <c r="CF159" s="3">
        <v>2</v>
      </c>
      <c r="CG159" s="4" t="s">
        <v>122</v>
      </c>
      <c r="CH159" s="3">
        <v>2</v>
      </c>
      <c r="CI159" s="4" t="s">
        <v>122</v>
      </c>
      <c r="CJ159" s="4" t="s">
        <v>122</v>
      </c>
      <c r="CK159" s="4" t="s">
        <v>122</v>
      </c>
      <c r="CL159" s="4" t="s">
        <v>122</v>
      </c>
      <c r="CM159" s="4" t="s">
        <v>122</v>
      </c>
      <c r="CN159" s="4" t="s">
        <v>122</v>
      </c>
      <c r="CO159" s="4" t="s">
        <v>125</v>
      </c>
      <c r="CP159" s="4" t="s">
        <v>122</v>
      </c>
      <c r="CQ159" s="4" t="s">
        <v>122</v>
      </c>
      <c r="CR159" s="4" t="s">
        <v>122</v>
      </c>
      <c r="CS159" s="3">
        <v>3</v>
      </c>
      <c r="CT159" s="3">
        <v>6</v>
      </c>
      <c r="CU159" s="42">
        <v>1</v>
      </c>
      <c r="CV159" cm="1">
        <f t="array" ref="CV159">_xlfn.IFS(CU159*1=2,1,CU159*1=4,1,TRUE,0)</f>
        <v>0</v>
      </c>
      <c r="CW159" cm="1">
        <f t="array" ref="CW159">_xlfn.IFS(CU159*1=1,1,CU159*1=2,1,TRUE,0)</f>
        <v>1</v>
      </c>
      <c r="CX159" s="3">
        <f t="shared" si="19"/>
        <v>0</v>
      </c>
      <c r="CY159" s="3">
        <f t="shared" si="20"/>
        <v>0</v>
      </c>
      <c r="CZ159" s="3" cm="1">
        <f t="array" ref="CZ159">_xlfn.IFS(BP159&lt;&gt;"", BP159, CV159=1,  AQ159, CV159=0,  AZ159)</f>
        <v>0</v>
      </c>
      <c r="DA159" s="36" cm="1">
        <f t="array" ref="DA159">_xlfn.IFS(BO159&lt;&gt;"", BO159, CV159=0,  AQ159, CV159=1,  AZ159)</f>
        <v>0</v>
      </c>
      <c r="DB159" s="36">
        <f t="shared" si="21"/>
        <v>0</v>
      </c>
      <c r="DC159" s="3">
        <f t="shared" si="22"/>
        <v>0</v>
      </c>
      <c r="DD159" s="3">
        <f t="shared" si="23"/>
        <v>0</v>
      </c>
      <c r="DE159" s="3">
        <f t="shared" si="24"/>
        <v>0</v>
      </c>
      <c r="DF159" s="3">
        <f t="shared" si="25"/>
        <v>0</v>
      </c>
      <c r="DG159" s="3">
        <f t="shared" si="26"/>
        <v>0</v>
      </c>
    </row>
    <row r="160" spans="1:111" x14ac:dyDescent="0.4">
      <c r="A160" s="3">
        <v>202503</v>
      </c>
      <c r="B160" s="3">
        <v>222</v>
      </c>
      <c r="C160" s="5">
        <v>45735.548206018517</v>
      </c>
      <c r="D160" s="5">
        <v>45735.553437499999</v>
      </c>
      <c r="E160" s="3">
        <v>0</v>
      </c>
      <c r="F160" s="4" t="s">
        <v>520</v>
      </c>
      <c r="G160" s="3">
        <v>100</v>
      </c>
      <c r="H160" s="3">
        <v>452</v>
      </c>
      <c r="I160" s="3">
        <v>1</v>
      </c>
      <c r="J160" s="5">
        <v>45735.553453206019</v>
      </c>
      <c r="K160" s="4" t="s">
        <v>521</v>
      </c>
      <c r="L160" s="4" t="s">
        <v>122</v>
      </c>
      <c r="M160" s="4" t="s">
        <v>122</v>
      </c>
      <c r="N160" s="4" t="s">
        <v>122</v>
      </c>
      <c r="O160" s="4" t="s">
        <v>122</v>
      </c>
      <c r="P160" s="3">
        <v>32.250300000000003</v>
      </c>
      <c r="Q160" s="3">
        <v>-110.94499999999999</v>
      </c>
      <c r="R160" s="4" t="s">
        <v>129</v>
      </c>
      <c r="S160" s="4" t="s">
        <v>124</v>
      </c>
      <c r="T160" s="3">
        <v>4</v>
      </c>
      <c r="U160" s="3">
        <v>1</v>
      </c>
      <c r="V160" s="3">
        <v>2</v>
      </c>
      <c r="W160" s="3">
        <v>1</v>
      </c>
      <c r="X160" s="3">
        <v>3</v>
      </c>
      <c r="Y160" s="3">
        <v>5</v>
      </c>
      <c r="Z160" s="3">
        <v>5</v>
      </c>
      <c r="AA160" s="3">
        <v>5</v>
      </c>
      <c r="AB160" s="4" t="s">
        <v>125</v>
      </c>
      <c r="AC160" s="4" t="s">
        <v>125</v>
      </c>
      <c r="AD160" s="4" t="s">
        <v>125</v>
      </c>
      <c r="AE160" s="4" t="s">
        <v>122</v>
      </c>
      <c r="AF160" s="4" t="s">
        <v>122</v>
      </c>
      <c r="AG160" s="3">
        <v>2</v>
      </c>
      <c r="AH160" s="3">
        <v>7</v>
      </c>
      <c r="AI160" s="3">
        <v>3</v>
      </c>
      <c r="AJ160" s="3">
        <v>7</v>
      </c>
      <c r="AK160" s="3">
        <v>8</v>
      </c>
      <c r="AL160" s="3">
        <v>7</v>
      </c>
      <c r="AM160" s="3">
        <v>7</v>
      </c>
      <c r="AN160" s="3">
        <v>6</v>
      </c>
      <c r="AO160" s="3">
        <v>2</v>
      </c>
      <c r="AP160" s="3">
        <v>3</v>
      </c>
      <c r="AQ160" s="3" t="s">
        <v>122</v>
      </c>
      <c r="AR160" s="3" t="s">
        <v>122</v>
      </c>
      <c r="AS160" s="3">
        <v>7</v>
      </c>
      <c r="AT160" s="3">
        <v>7</v>
      </c>
      <c r="AU160" s="3">
        <v>4</v>
      </c>
      <c r="AV160" s="3">
        <v>7</v>
      </c>
      <c r="AW160" s="3">
        <v>8</v>
      </c>
      <c r="AX160" s="3">
        <v>3</v>
      </c>
      <c r="AY160" s="3">
        <v>3</v>
      </c>
      <c r="AZ160" s="3" t="s">
        <v>122</v>
      </c>
      <c r="BA160" s="3" t="s">
        <v>122</v>
      </c>
      <c r="BB160" s="3" t="s">
        <v>122</v>
      </c>
      <c r="BC160" s="3" t="s">
        <v>122</v>
      </c>
      <c r="BD160" s="3" t="s">
        <v>122</v>
      </c>
      <c r="BE160" s="3" t="s">
        <v>122</v>
      </c>
      <c r="BF160" s="3" t="s">
        <v>122</v>
      </c>
      <c r="BG160" s="3" t="s">
        <v>122</v>
      </c>
      <c r="BH160" s="3" t="s">
        <v>122</v>
      </c>
      <c r="BI160" s="3" t="s">
        <v>122</v>
      </c>
      <c r="BJ160" s="3" t="s">
        <v>122</v>
      </c>
      <c r="BK160" s="3" t="s">
        <v>122</v>
      </c>
      <c r="BL160" s="3" t="s">
        <v>122</v>
      </c>
      <c r="BM160" s="3" t="s">
        <v>122</v>
      </c>
      <c r="BN160" s="3" t="s">
        <v>122</v>
      </c>
      <c r="BO160" s="3">
        <v>7.5</v>
      </c>
      <c r="BP160" s="3">
        <v>6</v>
      </c>
      <c r="BQ160" s="3">
        <v>3</v>
      </c>
      <c r="BR160" s="3" t="s">
        <v>122</v>
      </c>
      <c r="BS160" s="3" t="s">
        <v>122</v>
      </c>
      <c r="BT160" s="3" t="s">
        <v>122</v>
      </c>
      <c r="BU160" s="3" t="s">
        <v>122</v>
      </c>
      <c r="BV160" s="3" t="s">
        <v>122</v>
      </c>
      <c r="BW160" s="3" t="s">
        <v>122</v>
      </c>
      <c r="BX160" s="3" t="s">
        <v>122</v>
      </c>
      <c r="BY160" s="3" t="s">
        <v>122</v>
      </c>
      <c r="BZ160" s="3" t="s">
        <v>122</v>
      </c>
      <c r="CA160" s="3">
        <v>1</v>
      </c>
      <c r="CB160" s="3">
        <v>7</v>
      </c>
      <c r="CC160" s="3">
        <v>3</v>
      </c>
      <c r="CD160" s="3">
        <v>6.5</v>
      </c>
      <c r="CE160" s="3">
        <v>3</v>
      </c>
      <c r="CF160" s="3">
        <v>2</v>
      </c>
      <c r="CG160" s="4" t="s">
        <v>122</v>
      </c>
      <c r="CH160" s="3">
        <v>4</v>
      </c>
      <c r="CI160" s="4" t="s">
        <v>122</v>
      </c>
      <c r="CJ160" s="4" t="s">
        <v>122</v>
      </c>
      <c r="CK160" s="4" t="s">
        <v>122</v>
      </c>
      <c r="CL160" s="4" t="s">
        <v>122</v>
      </c>
      <c r="CM160" s="4" t="s">
        <v>122</v>
      </c>
      <c r="CN160" s="4" t="s">
        <v>122</v>
      </c>
      <c r="CO160" s="4" t="s">
        <v>125</v>
      </c>
      <c r="CP160" s="4" t="s">
        <v>122</v>
      </c>
      <c r="CQ160" s="4" t="s">
        <v>122</v>
      </c>
      <c r="CR160" s="4" t="s">
        <v>122</v>
      </c>
      <c r="CS160" s="3">
        <v>5</v>
      </c>
      <c r="CT160" s="3">
        <v>5</v>
      </c>
      <c r="CU160" s="42">
        <v>4</v>
      </c>
      <c r="CV160" cm="1">
        <f t="array" ref="CV160">_xlfn.IFS(CU160*1=2,1,CU160*1=4,1,TRUE,0)</f>
        <v>1</v>
      </c>
      <c r="CW160" cm="1">
        <f t="array" ref="CW160">_xlfn.IFS(CU160*1=1,1,CU160*1=2,1,TRUE,0)</f>
        <v>0</v>
      </c>
      <c r="CX160" s="3">
        <f t="shared" si="19"/>
        <v>7</v>
      </c>
      <c r="CY160" s="3">
        <f t="shared" si="20"/>
        <v>6.5</v>
      </c>
      <c r="CZ160" s="3" cm="1">
        <f t="array" ref="CZ160">_xlfn.IFS(BP160&lt;&gt;"", BP160, CV160=1,  AQ160, CV160=0,  AZ160)</f>
        <v>6</v>
      </c>
      <c r="DA160" s="36" cm="1">
        <f t="array" ref="DA160">_xlfn.IFS(BO160&lt;&gt;"", BO160, CV160=0,  AQ160, CV160=1,  AZ160)</f>
        <v>7.5</v>
      </c>
      <c r="DB160" s="36">
        <f t="shared" si="21"/>
        <v>-0.5</v>
      </c>
      <c r="DC160" s="3">
        <f t="shared" si="22"/>
        <v>0</v>
      </c>
      <c r="DD160" s="3">
        <f t="shared" si="23"/>
        <v>-0.5</v>
      </c>
      <c r="DE160" s="3">
        <f t="shared" si="24"/>
        <v>-1</v>
      </c>
      <c r="DF160" s="3">
        <f t="shared" si="25"/>
        <v>0</v>
      </c>
      <c r="DG160" s="3">
        <f t="shared" si="26"/>
        <v>0.5</v>
      </c>
    </row>
    <row r="161" spans="1:111" x14ac:dyDescent="0.4">
      <c r="A161" s="3">
        <v>202503</v>
      </c>
      <c r="B161" s="3">
        <v>222</v>
      </c>
      <c r="C161" s="5">
        <v>45735.548206018517</v>
      </c>
      <c r="D161" s="5">
        <v>45735.555833333332</v>
      </c>
      <c r="E161" s="3">
        <v>0</v>
      </c>
      <c r="F161" s="4" t="s">
        <v>524</v>
      </c>
      <c r="G161" s="3">
        <v>100</v>
      </c>
      <c r="H161" s="3">
        <v>658</v>
      </c>
      <c r="I161" s="3">
        <v>1</v>
      </c>
      <c r="J161" s="5">
        <v>45735.555849606484</v>
      </c>
      <c r="K161" s="4" t="s">
        <v>525</v>
      </c>
      <c r="L161" s="4" t="s">
        <v>122</v>
      </c>
      <c r="M161" s="4" t="s">
        <v>122</v>
      </c>
      <c r="N161" s="4" t="s">
        <v>122</v>
      </c>
      <c r="O161" s="4" t="s">
        <v>122</v>
      </c>
      <c r="P161" s="3">
        <v>32.138800000000003</v>
      </c>
      <c r="Q161" s="3">
        <v>-111.0496</v>
      </c>
      <c r="R161" s="4" t="s">
        <v>129</v>
      </c>
      <c r="S161" s="4" t="s">
        <v>124</v>
      </c>
      <c r="T161" s="3">
        <v>4</v>
      </c>
      <c r="U161" s="3">
        <v>1</v>
      </c>
      <c r="V161" s="3">
        <v>2</v>
      </c>
      <c r="W161" s="3">
        <v>2</v>
      </c>
      <c r="X161" s="3">
        <v>4</v>
      </c>
      <c r="Y161" s="3">
        <v>4</v>
      </c>
      <c r="Z161" s="3">
        <v>3</v>
      </c>
      <c r="AA161" s="3">
        <v>2</v>
      </c>
      <c r="AB161" s="4" t="s">
        <v>125</v>
      </c>
      <c r="AC161" s="4" t="s">
        <v>125</v>
      </c>
      <c r="AD161" s="4" t="s">
        <v>122</v>
      </c>
      <c r="AE161" s="4" t="s">
        <v>122</v>
      </c>
      <c r="AF161" s="4" t="s">
        <v>122</v>
      </c>
      <c r="AG161" s="3">
        <v>4</v>
      </c>
      <c r="AH161" s="3">
        <v>5.5</v>
      </c>
      <c r="AI161" s="4">
        <v>3</v>
      </c>
      <c r="AJ161" s="3">
        <v>8</v>
      </c>
      <c r="AK161" s="3">
        <v>7</v>
      </c>
      <c r="AL161" s="3">
        <v>9</v>
      </c>
      <c r="AM161" s="3">
        <v>8</v>
      </c>
      <c r="AN161" s="3">
        <v>9</v>
      </c>
      <c r="AO161" s="3">
        <v>3</v>
      </c>
      <c r="AP161" s="3">
        <v>3</v>
      </c>
      <c r="AQ161" s="4">
        <v>6</v>
      </c>
      <c r="AR161" s="4">
        <v>3</v>
      </c>
      <c r="AS161" s="3">
        <v>5</v>
      </c>
      <c r="AT161" s="3">
        <v>7</v>
      </c>
      <c r="AU161" s="3">
        <v>6</v>
      </c>
      <c r="AV161" s="3">
        <v>5</v>
      </c>
      <c r="AW161" s="3">
        <v>7</v>
      </c>
      <c r="AX161" s="3">
        <v>3</v>
      </c>
      <c r="AY161" s="3">
        <v>2</v>
      </c>
      <c r="AZ161" s="4">
        <v>2</v>
      </c>
      <c r="BA161" s="4">
        <v>2</v>
      </c>
      <c r="BB161" s="3">
        <v>2</v>
      </c>
      <c r="BC161" s="3">
        <v>6</v>
      </c>
      <c r="BD161" s="3">
        <v>3</v>
      </c>
      <c r="BE161" s="3" t="s">
        <v>122</v>
      </c>
      <c r="BF161" s="3" t="s">
        <v>122</v>
      </c>
      <c r="BG161" s="3" t="s">
        <v>122</v>
      </c>
      <c r="BH161" s="3" t="s">
        <v>122</v>
      </c>
      <c r="BI161" s="3" t="s">
        <v>122</v>
      </c>
      <c r="BJ161" s="3" t="s">
        <v>122</v>
      </c>
      <c r="BK161" s="3" t="s">
        <v>122</v>
      </c>
      <c r="BL161" s="3" t="s">
        <v>122</v>
      </c>
      <c r="BM161" s="3" t="s">
        <v>122</v>
      </c>
      <c r="BN161" s="3">
        <v>7</v>
      </c>
      <c r="BO161" s="3" t="s">
        <v>122</v>
      </c>
      <c r="BP161" s="3" t="s">
        <v>122</v>
      </c>
      <c r="BQ161" s="3" t="s">
        <v>122</v>
      </c>
      <c r="BR161" s="3" t="s">
        <v>122</v>
      </c>
      <c r="BS161" s="3" t="s">
        <v>122</v>
      </c>
      <c r="BT161" s="3" t="s">
        <v>122</v>
      </c>
      <c r="BU161" s="3" t="s">
        <v>122</v>
      </c>
      <c r="BV161" s="3" t="s">
        <v>122</v>
      </c>
      <c r="BW161" s="3" t="s">
        <v>122</v>
      </c>
      <c r="BX161" s="3" t="s">
        <v>122</v>
      </c>
      <c r="BY161" s="3" t="s">
        <v>122</v>
      </c>
      <c r="BZ161" s="3" t="s">
        <v>122</v>
      </c>
      <c r="CA161" s="3" t="s">
        <v>122</v>
      </c>
      <c r="CB161" s="3" t="s">
        <v>122</v>
      </c>
      <c r="CC161" s="3" t="s">
        <v>122</v>
      </c>
      <c r="CD161" s="3" t="s">
        <v>122</v>
      </c>
      <c r="CE161" s="3" t="s">
        <v>122</v>
      </c>
      <c r="CF161" s="3">
        <v>1</v>
      </c>
      <c r="CG161" s="4" t="s">
        <v>122</v>
      </c>
      <c r="CH161" s="3">
        <v>3</v>
      </c>
      <c r="CI161" s="4" t="s">
        <v>122</v>
      </c>
      <c r="CJ161" s="4" t="s">
        <v>122</v>
      </c>
      <c r="CK161" s="4" t="s">
        <v>122</v>
      </c>
      <c r="CL161" s="4" t="s">
        <v>122</v>
      </c>
      <c r="CM161" s="4" t="s">
        <v>122</v>
      </c>
      <c r="CN161" s="4" t="s">
        <v>122</v>
      </c>
      <c r="CO161" s="4" t="s">
        <v>125</v>
      </c>
      <c r="CP161" s="4" t="s">
        <v>122</v>
      </c>
      <c r="CQ161" s="4" t="s">
        <v>122</v>
      </c>
      <c r="CR161" s="4" t="s">
        <v>122</v>
      </c>
      <c r="CS161" s="3">
        <v>3</v>
      </c>
      <c r="CT161" s="3">
        <v>6</v>
      </c>
      <c r="CU161" s="42">
        <v>2</v>
      </c>
      <c r="CV161" cm="1">
        <f t="array" ref="CV161">_xlfn.IFS(CU161*1=2,1,CU161*1=4,1,TRUE,0)</f>
        <v>1</v>
      </c>
      <c r="CW161" cm="1">
        <f t="array" ref="CW161">_xlfn.IFS(CU161*1=1,1,CU161*1=2,1,TRUE,0)</f>
        <v>1</v>
      </c>
      <c r="CX161" s="3">
        <f t="shared" si="19"/>
        <v>2</v>
      </c>
      <c r="CY161" s="3">
        <f t="shared" si="20"/>
        <v>6</v>
      </c>
      <c r="CZ161" s="3" cm="1">
        <f t="array" ref="CZ161">_xlfn.IFS(BP161&lt;&gt;"", BP161, CV161=1,  AQ161, CV161=0,  AZ161)</f>
        <v>6</v>
      </c>
      <c r="DA161" s="36" cm="1">
        <f t="array" ref="DA161">_xlfn.IFS(BO161&lt;&gt;"", BO161, CV161=0,  AQ161, CV161=1,  AZ161)</f>
        <v>2</v>
      </c>
      <c r="DB161" s="36">
        <f t="shared" si="21"/>
        <v>0.5</v>
      </c>
      <c r="DC161" s="3">
        <f t="shared" si="22"/>
        <v>-3.5</v>
      </c>
      <c r="DD161" s="3">
        <f t="shared" si="23"/>
        <v>0.5</v>
      </c>
      <c r="DE161" s="3">
        <f t="shared" si="24"/>
        <v>0.5</v>
      </c>
      <c r="DF161" s="3">
        <f t="shared" si="25"/>
        <v>-3.5</v>
      </c>
      <c r="DG161" s="3">
        <f t="shared" si="26"/>
        <v>-3.5</v>
      </c>
    </row>
    <row r="162" spans="1:111" x14ac:dyDescent="0.4">
      <c r="A162" s="3">
        <v>202503</v>
      </c>
      <c r="B162" s="3">
        <v>222</v>
      </c>
      <c r="C162" s="5">
        <v>45735.549131944441</v>
      </c>
      <c r="D162" s="5">
        <v>45735.5544212963</v>
      </c>
      <c r="E162" s="3">
        <v>0</v>
      </c>
      <c r="F162" s="4" t="s">
        <v>522</v>
      </c>
      <c r="G162" s="3">
        <v>100</v>
      </c>
      <c r="H162" s="3">
        <v>457</v>
      </c>
      <c r="I162" s="3">
        <v>1</v>
      </c>
      <c r="J162" s="5">
        <v>45735.554432777775</v>
      </c>
      <c r="K162" s="4" t="s">
        <v>523</v>
      </c>
      <c r="L162" s="4" t="s">
        <v>122</v>
      </c>
      <c r="M162" s="4" t="s">
        <v>122</v>
      </c>
      <c r="N162" s="4" t="s">
        <v>122</v>
      </c>
      <c r="O162" s="4" t="s">
        <v>122</v>
      </c>
      <c r="P162" s="3">
        <v>33.453200000000002</v>
      </c>
      <c r="Q162" s="3">
        <v>-112.0748</v>
      </c>
      <c r="R162" s="4" t="s">
        <v>129</v>
      </c>
      <c r="S162" s="4" t="s">
        <v>124</v>
      </c>
      <c r="T162" s="3">
        <v>4</v>
      </c>
      <c r="U162" s="3">
        <v>1</v>
      </c>
      <c r="V162" s="3">
        <v>2</v>
      </c>
      <c r="W162" s="3">
        <v>2</v>
      </c>
      <c r="X162" s="3">
        <v>2</v>
      </c>
      <c r="Y162" s="3">
        <v>2</v>
      </c>
      <c r="Z162" s="3">
        <v>2</v>
      </c>
      <c r="AA162" s="3">
        <v>3</v>
      </c>
      <c r="AB162" s="4" t="s">
        <v>122</v>
      </c>
      <c r="AC162" s="4" t="s">
        <v>125</v>
      </c>
      <c r="AD162" s="4" t="s">
        <v>122</v>
      </c>
      <c r="AE162" s="4" t="s">
        <v>122</v>
      </c>
      <c r="AF162" s="4" t="s">
        <v>122</v>
      </c>
      <c r="AG162" s="3">
        <v>4</v>
      </c>
      <c r="AH162" s="3">
        <v>4.5</v>
      </c>
      <c r="AI162" s="4">
        <v>2</v>
      </c>
      <c r="AJ162" s="3">
        <v>7</v>
      </c>
      <c r="AK162" s="3">
        <v>8</v>
      </c>
      <c r="AL162" s="3">
        <v>8</v>
      </c>
      <c r="AM162" s="3">
        <v>5</v>
      </c>
      <c r="AN162" s="3">
        <v>7</v>
      </c>
      <c r="AO162" s="3">
        <v>2</v>
      </c>
      <c r="AP162" s="3">
        <v>2</v>
      </c>
      <c r="AQ162" s="3" t="s">
        <v>122</v>
      </c>
      <c r="AR162" s="4" t="s">
        <v>122</v>
      </c>
      <c r="AS162" s="3">
        <v>6</v>
      </c>
      <c r="AT162" s="3">
        <v>8</v>
      </c>
      <c r="AU162" s="3">
        <v>3</v>
      </c>
      <c r="AV162" s="3">
        <v>5</v>
      </c>
      <c r="AW162" s="3">
        <v>6</v>
      </c>
      <c r="AX162" s="3">
        <v>3</v>
      </c>
      <c r="AY162" s="3">
        <v>4</v>
      </c>
      <c r="AZ162" s="3" t="s">
        <v>122</v>
      </c>
      <c r="BA162" s="4" t="s">
        <v>122</v>
      </c>
      <c r="BB162" s="3" t="s">
        <v>122</v>
      </c>
      <c r="BC162" s="3" t="s">
        <v>122</v>
      </c>
      <c r="BD162" s="3" t="s">
        <v>122</v>
      </c>
      <c r="BE162" s="3" t="s">
        <v>122</v>
      </c>
      <c r="BF162" s="3" t="s">
        <v>122</v>
      </c>
      <c r="BG162" s="3" t="s">
        <v>122</v>
      </c>
      <c r="BH162" s="3" t="s">
        <v>122</v>
      </c>
      <c r="BI162" s="3" t="s">
        <v>122</v>
      </c>
      <c r="BJ162" s="3" t="s">
        <v>122</v>
      </c>
      <c r="BK162" s="3" t="s">
        <v>122</v>
      </c>
      <c r="BL162" s="3" t="s">
        <v>122</v>
      </c>
      <c r="BM162" s="3" t="s">
        <v>122</v>
      </c>
      <c r="BN162" s="3" t="s">
        <v>122</v>
      </c>
      <c r="BO162" s="3">
        <v>4.5</v>
      </c>
      <c r="BP162" s="3">
        <v>4.5</v>
      </c>
      <c r="BQ162" s="3">
        <v>2</v>
      </c>
      <c r="BR162" s="3" t="s">
        <v>122</v>
      </c>
      <c r="BS162" s="3" t="s">
        <v>122</v>
      </c>
      <c r="BT162" s="3" t="s">
        <v>122</v>
      </c>
      <c r="BU162" s="3" t="s">
        <v>122</v>
      </c>
      <c r="BV162" s="3" t="s">
        <v>122</v>
      </c>
      <c r="BW162" s="3" t="s">
        <v>122</v>
      </c>
      <c r="BX162" s="3" t="s">
        <v>122</v>
      </c>
      <c r="BY162" s="3" t="s">
        <v>122</v>
      </c>
      <c r="BZ162" s="3" t="s">
        <v>122</v>
      </c>
      <c r="CA162" s="3">
        <v>1</v>
      </c>
      <c r="CB162" s="3">
        <v>2</v>
      </c>
      <c r="CC162" s="3">
        <v>1</v>
      </c>
      <c r="CD162" s="3">
        <v>4.5</v>
      </c>
      <c r="CE162" s="3">
        <v>3</v>
      </c>
      <c r="CF162" s="3">
        <v>1</v>
      </c>
      <c r="CG162" s="4" t="s">
        <v>122</v>
      </c>
      <c r="CH162" s="3">
        <v>2</v>
      </c>
      <c r="CI162" s="4" t="s">
        <v>122</v>
      </c>
      <c r="CJ162" s="4" t="s">
        <v>122</v>
      </c>
      <c r="CK162" s="4" t="s">
        <v>122</v>
      </c>
      <c r="CL162" s="4" t="s">
        <v>122</v>
      </c>
      <c r="CM162" s="4" t="s">
        <v>122</v>
      </c>
      <c r="CN162" s="4" t="s">
        <v>122</v>
      </c>
      <c r="CO162" s="4" t="s">
        <v>125</v>
      </c>
      <c r="CP162" s="4" t="s">
        <v>122</v>
      </c>
      <c r="CQ162" s="4" t="s">
        <v>122</v>
      </c>
      <c r="CR162" s="4" t="s">
        <v>122</v>
      </c>
      <c r="CS162" s="3">
        <v>4</v>
      </c>
      <c r="CT162" s="3">
        <v>2</v>
      </c>
      <c r="CU162" s="42">
        <v>4</v>
      </c>
      <c r="CV162" cm="1">
        <f t="array" ref="CV162">_xlfn.IFS(CU162*1=2,1,CU162*1=4,1,TRUE,0)</f>
        <v>1</v>
      </c>
      <c r="CW162" cm="1">
        <f t="array" ref="CW162">_xlfn.IFS(CU162*1=1,1,CU162*1=2,1,TRUE,0)</f>
        <v>0</v>
      </c>
      <c r="CX162" s="3">
        <f t="shared" si="19"/>
        <v>2</v>
      </c>
      <c r="CY162" s="3">
        <f t="shared" si="20"/>
        <v>4.5</v>
      </c>
      <c r="CZ162" s="3" cm="1">
        <f t="array" ref="CZ162">_xlfn.IFS(BP162&lt;&gt;"", BP162, CV162=1,  AQ162, CV162=0,  AZ162)</f>
        <v>4.5</v>
      </c>
      <c r="DA162" s="36" cm="1">
        <f t="array" ref="DA162">_xlfn.IFS(BO162&lt;&gt;"", BO162, CV162=0,  AQ162, CV162=1,  AZ162)</f>
        <v>4.5</v>
      </c>
      <c r="DB162" s="36">
        <f t="shared" si="21"/>
        <v>0</v>
      </c>
      <c r="DC162" s="3">
        <f t="shared" si="22"/>
        <v>-2.5</v>
      </c>
      <c r="DD162" s="3">
        <f t="shared" si="23"/>
        <v>0</v>
      </c>
      <c r="DE162" s="3">
        <f t="shared" si="24"/>
        <v>0</v>
      </c>
      <c r="DF162" s="3">
        <f t="shared" si="25"/>
        <v>-2.5</v>
      </c>
      <c r="DG162" s="3">
        <f t="shared" si="26"/>
        <v>0</v>
      </c>
    </row>
    <row r="163" spans="1:111" x14ac:dyDescent="0.4">
      <c r="A163" s="3">
        <v>202503</v>
      </c>
      <c r="B163" s="3">
        <v>222</v>
      </c>
      <c r="C163" s="5">
        <v>45735.549583333333</v>
      </c>
      <c r="D163" s="5">
        <v>45735.558425925927</v>
      </c>
      <c r="E163" s="3">
        <v>0</v>
      </c>
      <c r="F163" s="4" t="s">
        <v>528</v>
      </c>
      <c r="G163" s="3">
        <v>100</v>
      </c>
      <c r="H163" s="3">
        <v>763</v>
      </c>
      <c r="I163" s="3">
        <v>1</v>
      </c>
      <c r="J163" s="5">
        <v>45735.558437094907</v>
      </c>
      <c r="K163" s="4" t="s">
        <v>529</v>
      </c>
      <c r="L163" s="4" t="s">
        <v>122</v>
      </c>
      <c r="M163" s="4" t="s">
        <v>122</v>
      </c>
      <c r="N163" s="4" t="s">
        <v>122</v>
      </c>
      <c r="O163" s="4" t="s">
        <v>122</v>
      </c>
      <c r="P163" s="3">
        <v>32.250300000000003</v>
      </c>
      <c r="Q163" s="3">
        <v>-110.94499999999999</v>
      </c>
      <c r="R163" s="4" t="s">
        <v>129</v>
      </c>
      <c r="S163" s="4" t="s">
        <v>124</v>
      </c>
      <c r="T163" s="3">
        <v>4</v>
      </c>
      <c r="U163" s="3">
        <v>1</v>
      </c>
      <c r="V163" s="3">
        <v>2</v>
      </c>
      <c r="W163" s="3">
        <v>2</v>
      </c>
      <c r="X163" s="3">
        <v>2</v>
      </c>
      <c r="Y163" s="3">
        <v>2</v>
      </c>
      <c r="Z163" s="3">
        <v>2</v>
      </c>
      <c r="AA163" s="3">
        <v>1</v>
      </c>
      <c r="AB163" s="4" t="s">
        <v>122</v>
      </c>
      <c r="AC163" s="4" t="s">
        <v>122</v>
      </c>
      <c r="AD163" s="4" t="s">
        <v>122</v>
      </c>
      <c r="AE163" s="4" t="s">
        <v>122</v>
      </c>
      <c r="AF163" s="4" t="s">
        <v>125</v>
      </c>
      <c r="AG163" s="3">
        <v>5</v>
      </c>
      <c r="AH163" s="3">
        <v>7</v>
      </c>
      <c r="AI163" s="3">
        <v>2</v>
      </c>
      <c r="AJ163" s="3">
        <v>3</v>
      </c>
      <c r="AK163" s="3">
        <v>8</v>
      </c>
      <c r="AL163" s="3">
        <v>9</v>
      </c>
      <c r="AM163" s="3">
        <v>2</v>
      </c>
      <c r="AN163" s="3">
        <v>6</v>
      </c>
      <c r="AO163" s="3">
        <v>3</v>
      </c>
      <c r="AP163" s="3">
        <v>3</v>
      </c>
      <c r="AQ163" s="4">
        <v>6</v>
      </c>
      <c r="AR163" s="4">
        <v>2</v>
      </c>
      <c r="AS163" s="3">
        <v>6</v>
      </c>
      <c r="AT163" s="3">
        <v>7</v>
      </c>
      <c r="AU163" s="3">
        <v>6</v>
      </c>
      <c r="AV163" s="3">
        <v>4</v>
      </c>
      <c r="AW163" s="3">
        <v>9</v>
      </c>
      <c r="AX163" s="3">
        <v>2</v>
      </c>
      <c r="AY163" s="3">
        <v>2</v>
      </c>
      <c r="AZ163" s="4">
        <v>7</v>
      </c>
      <c r="BA163" s="4">
        <v>3</v>
      </c>
      <c r="BB163" s="3">
        <v>7</v>
      </c>
      <c r="BC163" s="3">
        <v>6</v>
      </c>
      <c r="BD163" s="3">
        <v>3</v>
      </c>
      <c r="BE163" s="3" t="s">
        <v>122</v>
      </c>
      <c r="BF163" s="3" t="s">
        <v>122</v>
      </c>
      <c r="BG163" s="3" t="s">
        <v>122</v>
      </c>
      <c r="BH163" s="3" t="s">
        <v>122</v>
      </c>
      <c r="BI163" s="3" t="s">
        <v>122</v>
      </c>
      <c r="BJ163" s="3" t="s">
        <v>122</v>
      </c>
      <c r="BK163" s="3" t="s">
        <v>122</v>
      </c>
      <c r="BL163" s="3" t="s">
        <v>122</v>
      </c>
      <c r="BM163" s="3" t="s">
        <v>122</v>
      </c>
      <c r="BN163" s="3">
        <v>1</v>
      </c>
      <c r="BO163" s="3" t="s">
        <v>122</v>
      </c>
      <c r="BP163" s="3" t="s">
        <v>122</v>
      </c>
      <c r="BQ163" s="3" t="s">
        <v>122</v>
      </c>
      <c r="BR163" s="3" t="s">
        <v>122</v>
      </c>
      <c r="BS163" s="3" t="s">
        <v>122</v>
      </c>
      <c r="BT163" s="3" t="s">
        <v>122</v>
      </c>
      <c r="BU163" s="3" t="s">
        <v>122</v>
      </c>
      <c r="BV163" s="3" t="s">
        <v>122</v>
      </c>
      <c r="BW163" s="3" t="s">
        <v>122</v>
      </c>
      <c r="BX163" s="3" t="s">
        <v>122</v>
      </c>
      <c r="BY163" s="3" t="s">
        <v>122</v>
      </c>
      <c r="BZ163" s="3" t="s">
        <v>122</v>
      </c>
      <c r="CA163" s="3" t="s">
        <v>122</v>
      </c>
      <c r="CB163" s="3" t="s">
        <v>122</v>
      </c>
      <c r="CC163" s="3" t="s">
        <v>122</v>
      </c>
      <c r="CD163" s="3" t="s">
        <v>122</v>
      </c>
      <c r="CE163" s="3" t="s">
        <v>122</v>
      </c>
      <c r="CF163" s="3">
        <v>1</v>
      </c>
      <c r="CG163" s="4" t="s">
        <v>122</v>
      </c>
      <c r="CH163" s="3">
        <v>2</v>
      </c>
      <c r="CI163" s="4" t="s">
        <v>122</v>
      </c>
      <c r="CJ163" s="4" t="s">
        <v>122</v>
      </c>
      <c r="CK163" s="4" t="s">
        <v>122</v>
      </c>
      <c r="CL163" s="4" t="s">
        <v>122</v>
      </c>
      <c r="CM163" s="4" t="s">
        <v>122</v>
      </c>
      <c r="CN163" s="4" t="s">
        <v>122</v>
      </c>
      <c r="CO163" s="4" t="s">
        <v>125</v>
      </c>
      <c r="CP163" s="4" t="s">
        <v>122</v>
      </c>
      <c r="CQ163" s="4" t="s">
        <v>122</v>
      </c>
      <c r="CR163" s="4" t="s">
        <v>122</v>
      </c>
      <c r="CS163" s="3">
        <v>4</v>
      </c>
      <c r="CT163" s="3">
        <v>5</v>
      </c>
      <c r="CU163" s="42">
        <v>2</v>
      </c>
      <c r="CV163" cm="1">
        <f t="array" ref="CV163">_xlfn.IFS(CU163*1=2,1,CU163*1=4,1,TRUE,0)</f>
        <v>1</v>
      </c>
      <c r="CW163" cm="1">
        <f t="array" ref="CW163">_xlfn.IFS(CU163*1=1,1,CU163*1=2,1,TRUE,0)</f>
        <v>1</v>
      </c>
      <c r="CX163" s="3">
        <f t="shared" si="19"/>
        <v>7</v>
      </c>
      <c r="CY163" s="3">
        <f t="shared" si="20"/>
        <v>6</v>
      </c>
      <c r="CZ163" s="3" cm="1">
        <f t="array" ref="CZ163">_xlfn.IFS(BP163&lt;&gt;"", BP163, CV163=1,  AQ163, CV163=0,  AZ163)</f>
        <v>6</v>
      </c>
      <c r="DA163" s="36" cm="1">
        <f t="array" ref="DA163">_xlfn.IFS(BO163&lt;&gt;"", BO163, CV163=0,  AQ163, CV163=1,  AZ163)</f>
        <v>7</v>
      </c>
      <c r="DB163" s="36">
        <f t="shared" si="21"/>
        <v>-1</v>
      </c>
      <c r="DC163" s="3">
        <f t="shared" si="22"/>
        <v>0</v>
      </c>
      <c r="DD163" s="3">
        <f t="shared" si="23"/>
        <v>-1</v>
      </c>
      <c r="DE163" s="3">
        <f t="shared" si="24"/>
        <v>-1</v>
      </c>
      <c r="DF163" s="3">
        <f t="shared" si="25"/>
        <v>0</v>
      </c>
      <c r="DG163" s="3">
        <f t="shared" si="26"/>
        <v>0</v>
      </c>
    </row>
    <row r="164" spans="1:111" x14ac:dyDescent="0.4">
      <c r="A164" s="3">
        <v>202503</v>
      </c>
      <c r="B164" s="3">
        <v>222</v>
      </c>
      <c r="C164" s="5">
        <v>45735.550335648149</v>
      </c>
      <c r="D164" s="5">
        <v>45735.557164351849</v>
      </c>
      <c r="E164" s="3">
        <v>0</v>
      </c>
      <c r="F164" s="4" t="s">
        <v>526</v>
      </c>
      <c r="G164" s="3">
        <v>100</v>
      </c>
      <c r="H164" s="3">
        <v>589</v>
      </c>
      <c r="I164" s="3">
        <v>1</v>
      </c>
      <c r="J164" s="5">
        <v>45735.557168993058</v>
      </c>
      <c r="K164" s="4" t="s">
        <v>527</v>
      </c>
      <c r="L164" s="4" t="s">
        <v>122</v>
      </c>
      <c r="M164" s="4" t="s">
        <v>122</v>
      </c>
      <c r="N164" s="4" t="s">
        <v>122</v>
      </c>
      <c r="O164" s="4" t="s">
        <v>122</v>
      </c>
      <c r="P164" s="3">
        <v>36.1233</v>
      </c>
      <c r="Q164" s="3">
        <v>-115.2775</v>
      </c>
      <c r="R164" s="4" t="s">
        <v>129</v>
      </c>
      <c r="S164" s="4" t="s">
        <v>124</v>
      </c>
      <c r="T164" s="3">
        <v>4</v>
      </c>
      <c r="U164" s="3">
        <v>0</v>
      </c>
      <c r="V164" s="3">
        <v>1</v>
      </c>
      <c r="W164" s="3">
        <v>1</v>
      </c>
      <c r="X164" s="3">
        <v>1</v>
      </c>
      <c r="Y164" s="3">
        <v>2</v>
      </c>
      <c r="Z164" s="3">
        <v>1</v>
      </c>
      <c r="AA164" s="3">
        <v>1</v>
      </c>
      <c r="AB164" s="4" t="s">
        <v>122</v>
      </c>
      <c r="AC164" s="4" t="s">
        <v>122</v>
      </c>
      <c r="AD164" s="4" t="s">
        <v>122</v>
      </c>
      <c r="AE164" s="4" t="s">
        <v>122</v>
      </c>
      <c r="AF164" s="4" t="s">
        <v>122</v>
      </c>
      <c r="AG164" s="3">
        <v>5</v>
      </c>
      <c r="AH164" s="3">
        <v>0</v>
      </c>
      <c r="AI164" s="3" t="s">
        <v>122</v>
      </c>
      <c r="AJ164" s="3">
        <v>2</v>
      </c>
      <c r="AK164" s="3">
        <v>4</v>
      </c>
      <c r="AL164" s="3">
        <v>7</v>
      </c>
      <c r="AM164" s="3">
        <v>1</v>
      </c>
      <c r="AN164" s="3">
        <v>3</v>
      </c>
      <c r="AO164" s="3">
        <v>4</v>
      </c>
      <c r="AP164" s="3">
        <v>2</v>
      </c>
      <c r="AQ164" s="4" t="s">
        <v>122</v>
      </c>
      <c r="AR164" s="4" t="s">
        <v>122</v>
      </c>
      <c r="AS164" s="3">
        <v>4</v>
      </c>
      <c r="AT164" s="3">
        <v>5</v>
      </c>
      <c r="AU164" s="3">
        <v>7</v>
      </c>
      <c r="AV164" s="3">
        <v>4</v>
      </c>
      <c r="AW164" s="3">
        <v>5</v>
      </c>
      <c r="AX164" s="3">
        <v>3</v>
      </c>
      <c r="AY164" s="3">
        <v>3</v>
      </c>
      <c r="AZ164" s="4" t="s">
        <v>122</v>
      </c>
      <c r="BA164" s="4" t="s">
        <v>122</v>
      </c>
      <c r="BB164" s="3" t="s">
        <v>122</v>
      </c>
      <c r="BC164" s="3" t="s">
        <v>122</v>
      </c>
      <c r="BD164" s="3" t="s">
        <v>122</v>
      </c>
      <c r="BE164" s="3" t="s">
        <v>122</v>
      </c>
      <c r="BF164" s="3" t="s">
        <v>122</v>
      </c>
      <c r="BG164" s="3" t="s">
        <v>122</v>
      </c>
      <c r="BH164" s="3" t="s">
        <v>122</v>
      </c>
      <c r="BI164" s="3" t="s">
        <v>122</v>
      </c>
      <c r="BJ164" s="3" t="s">
        <v>122</v>
      </c>
      <c r="BK164" s="3" t="s">
        <v>122</v>
      </c>
      <c r="BL164" s="3" t="s">
        <v>122</v>
      </c>
      <c r="BM164" s="3" t="s">
        <v>122</v>
      </c>
      <c r="BN164" s="3" t="s">
        <v>122</v>
      </c>
      <c r="BO164" s="3">
        <v>2</v>
      </c>
      <c r="BP164" s="3">
        <v>2</v>
      </c>
      <c r="BQ164" s="3">
        <v>2</v>
      </c>
      <c r="BR164" s="3" t="s">
        <v>122</v>
      </c>
      <c r="BS164" s="3" t="s">
        <v>122</v>
      </c>
      <c r="BT164" s="3" t="s">
        <v>122</v>
      </c>
      <c r="BU164" s="3" t="s">
        <v>122</v>
      </c>
      <c r="BV164" s="3" t="s">
        <v>122</v>
      </c>
      <c r="BW164" s="3" t="s">
        <v>122</v>
      </c>
      <c r="BX164" s="3" t="s">
        <v>122</v>
      </c>
      <c r="BY164" s="3" t="s">
        <v>122</v>
      </c>
      <c r="BZ164" s="3" t="s">
        <v>122</v>
      </c>
      <c r="CA164" s="3">
        <v>4</v>
      </c>
      <c r="CB164" s="3">
        <v>0</v>
      </c>
      <c r="CC164" s="3" t="s">
        <v>122</v>
      </c>
      <c r="CD164" s="3">
        <v>6</v>
      </c>
      <c r="CE164" s="3">
        <v>1</v>
      </c>
      <c r="CF164" s="3">
        <v>1</v>
      </c>
      <c r="CG164" s="4" t="s">
        <v>122</v>
      </c>
      <c r="CH164" s="3">
        <v>2</v>
      </c>
      <c r="CI164" s="4" t="s">
        <v>122</v>
      </c>
      <c r="CJ164" s="4" t="s">
        <v>122</v>
      </c>
      <c r="CK164" s="4" t="s">
        <v>125</v>
      </c>
      <c r="CL164" s="4" t="s">
        <v>122</v>
      </c>
      <c r="CM164" s="4" t="s">
        <v>122</v>
      </c>
      <c r="CN164" s="4" t="s">
        <v>122</v>
      </c>
      <c r="CO164" s="4" t="s">
        <v>122</v>
      </c>
      <c r="CP164" s="4" t="s">
        <v>122</v>
      </c>
      <c r="CQ164" s="4" t="s">
        <v>122</v>
      </c>
      <c r="CR164" s="4" t="s">
        <v>122</v>
      </c>
      <c r="CS164" s="3">
        <v>5</v>
      </c>
      <c r="CT164" s="3">
        <v>2</v>
      </c>
      <c r="CU164" s="42">
        <v>3</v>
      </c>
      <c r="CV164" cm="1">
        <f t="array" ref="CV164">_xlfn.IFS(CU164*1=2,1,CU164*1=4,1,TRUE,0)</f>
        <v>0</v>
      </c>
      <c r="CW164" cm="1">
        <f t="array" ref="CW164">_xlfn.IFS(CU164*1=1,1,CU164*1=2,1,TRUE,0)</f>
        <v>0</v>
      </c>
      <c r="CX164" s="3">
        <f t="shared" si="19"/>
        <v>0</v>
      </c>
      <c r="CY164" s="3">
        <f t="shared" si="20"/>
        <v>6</v>
      </c>
      <c r="CZ164" s="3" cm="1">
        <f t="array" ref="CZ164">_xlfn.IFS(BP164&lt;&gt;"", BP164, CV164=1,  AQ164, CV164=0,  AZ164)</f>
        <v>2</v>
      </c>
      <c r="DA164" s="36" cm="1">
        <f t="array" ref="DA164">_xlfn.IFS(BO164&lt;&gt;"", BO164, CV164=0,  AQ164, CV164=1,  AZ164)</f>
        <v>2</v>
      </c>
      <c r="DB164" s="36">
        <f t="shared" si="21"/>
        <v>6</v>
      </c>
      <c r="DC164" s="3">
        <f t="shared" si="22"/>
        <v>0</v>
      </c>
      <c r="DD164" s="3">
        <f t="shared" si="23"/>
        <v>6</v>
      </c>
      <c r="DE164" s="3">
        <f t="shared" si="24"/>
        <v>2</v>
      </c>
      <c r="DF164" s="3">
        <f t="shared" si="25"/>
        <v>0</v>
      </c>
      <c r="DG164" s="3">
        <f t="shared" si="26"/>
        <v>2</v>
      </c>
    </row>
    <row r="165" spans="1:111" x14ac:dyDescent="0.4">
      <c r="A165" s="3">
        <v>202503</v>
      </c>
      <c r="B165" s="3">
        <v>222</v>
      </c>
      <c r="C165" s="5">
        <v>45735.554432870369</v>
      </c>
      <c r="D165" s="5">
        <v>45735.560787037037</v>
      </c>
      <c r="E165" s="3">
        <v>0</v>
      </c>
      <c r="F165" s="4" t="s">
        <v>288</v>
      </c>
      <c r="G165" s="3">
        <v>100</v>
      </c>
      <c r="H165" s="3">
        <v>548</v>
      </c>
      <c r="I165" s="3">
        <v>1</v>
      </c>
      <c r="J165" s="5">
        <v>45735.560794432873</v>
      </c>
      <c r="K165" s="4" t="s">
        <v>532</v>
      </c>
      <c r="L165" s="4" t="s">
        <v>122</v>
      </c>
      <c r="M165" s="4" t="s">
        <v>122</v>
      </c>
      <c r="N165" s="4" t="s">
        <v>122</v>
      </c>
      <c r="O165" s="4" t="s">
        <v>122</v>
      </c>
      <c r="P165" s="3">
        <v>32.250300000000003</v>
      </c>
      <c r="Q165" s="3">
        <v>-110.94499999999999</v>
      </c>
      <c r="R165" s="4" t="s">
        <v>129</v>
      </c>
      <c r="S165" s="4" t="s">
        <v>124</v>
      </c>
      <c r="T165" s="3">
        <v>4</v>
      </c>
      <c r="U165" s="3">
        <v>1</v>
      </c>
      <c r="V165" s="3">
        <v>4</v>
      </c>
      <c r="W165" s="3">
        <v>3</v>
      </c>
      <c r="X165" s="3">
        <v>1</v>
      </c>
      <c r="Y165" s="3">
        <v>1</v>
      </c>
      <c r="Z165" s="3">
        <v>1</v>
      </c>
      <c r="AA165" s="3">
        <v>1</v>
      </c>
      <c r="AB165" s="4" t="s">
        <v>122</v>
      </c>
      <c r="AC165" s="4" t="s">
        <v>122</v>
      </c>
      <c r="AD165" s="4" t="s">
        <v>122</v>
      </c>
      <c r="AE165" s="4" t="s">
        <v>122</v>
      </c>
      <c r="AF165" s="4" t="s">
        <v>122</v>
      </c>
      <c r="AG165" s="3">
        <v>3</v>
      </c>
      <c r="AH165" s="3">
        <v>0</v>
      </c>
      <c r="AI165" s="3" t="s">
        <v>122</v>
      </c>
      <c r="AJ165" s="3">
        <v>7</v>
      </c>
      <c r="AK165" s="3">
        <v>6</v>
      </c>
      <c r="AL165" s="3">
        <v>7</v>
      </c>
      <c r="AM165" s="3">
        <v>7</v>
      </c>
      <c r="AN165" s="3">
        <v>7</v>
      </c>
      <c r="AO165" s="3">
        <v>2</v>
      </c>
      <c r="AP165" s="3">
        <v>3</v>
      </c>
      <c r="AQ165" s="3">
        <v>0</v>
      </c>
      <c r="AR165" s="4" t="s">
        <v>122</v>
      </c>
      <c r="AS165" s="3">
        <v>6</v>
      </c>
      <c r="AT165" s="3">
        <v>6</v>
      </c>
      <c r="AU165" s="3">
        <v>6</v>
      </c>
      <c r="AV165" s="3">
        <v>7</v>
      </c>
      <c r="AW165" s="3">
        <v>6</v>
      </c>
      <c r="AX165" s="3">
        <v>3</v>
      </c>
      <c r="AY165" s="3">
        <v>2</v>
      </c>
      <c r="AZ165" s="3">
        <v>0</v>
      </c>
      <c r="BA165" s="3" t="s">
        <v>122</v>
      </c>
      <c r="BB165" s="3">
        <v>0</v>
      </c>
      <c r="BC165" s="3">
        <v>0</v>
      </c>
      <c r="BD165" s="3">
        <v>2</v>
      </c>
      <c r="BE165" s="3" t="s">
        <v>122</v>
      </c>
      <c r="BF165" s="3" t="s">
        <v>122</v>
      </c>
      <c r="BG165" s="3" t="s">
        <v>122</v>
      </c>
      <c r="BH165" s="3" t="s">
        <v>122</v>
      </c>
      <c r="BI165" s="3" t="s">
        <v>122</v>
      </c>
      <c r="BJ165" s="3" t="s">
        <v>122</v>
      </c>
      <c r="BK165" s="3" t="s">
        <v>122</v>
      </c>
      <c r="BL165" s="3" t="s">
        <v>122</v>
      </c>
      <c r="BM165" s="3" t="s">
        <v>122</v>
      </c>
      <c r="BN165" s="3">
        <v>3</v>
      </c>
      <c r="BO165" s="3" t="s">
        <v>122</v>
      </c>
      <c r="BP165" s="3" t="s">
        <v>122</v>
      </c>
      <c r="BQ165" s="3" t="s">
        <v>122</v>
      </c>
      <c r="BR165" s="3" t="s">
        <v>122</v>
      </c>
      <c r="BS165" s="3" t="s">
        <v>122</v>
      </c>
      <c r="BT165" s="3" t="s">
        <v>122</v>
      </c>
      <c r="BU165" s="3" t="s">
        <v>122</v>
      </c>
      <c r="BV165" s="3" t="s">
        <v>122</v>
      </c>
      <c r="BW165" s="3" t="s">
        <v>122</v>
      </c>
      <c r="BX165" s="3" t="s">
        <v>122</v>
      </c>
      <c r="BY165" s="3" t="s">
        <v>122</v>
      </c>
      <c r="BZ165" s="3" t="s">
        <v>122</v>
      </c>
      <c r="CA165" s="3" t="s">
        <v>122</v>
      </c>
      <c r="CB165" s="3" t="s">
        <v>122</v>
      </c>
      <c r="CC165" s="3" t="s">
        <v>122</v>
      </c>
      <c r="CD165" s="3" t="s">
        <v>122</v>
      </c>
      <c r="CE165" s="3" t="s">
        <v>122</v>
      </c>
      <c r="CF165" s="3">
        <v>1</v>
      </c>
      <c r="CG165" s="4" t="s">
        <v>122</v>
      </c>
      <c r="CH165" s="3">
        <v>2</v>
      </c>
      <c r="CI165" s="4" t="s">
        <v>122</v>
      </c>
      <c r="CJ165" s="4" t="s">
        <v>122</v>
      </c>
      <c r="CK165" s="4" t="s">
        <v>122</v>
      </c>
      <c r="CL165" s="4" t="s">
        <v>122</v>
      </c>
      <c r="CM165" s="4" t="s">
        <v>125</v>
      </c>
      <c r="CN165" s="4" t="s">
        <v>122</v>
      </c>
      <c r="CO165" s="4" t="s">
        <v>122</v>
      </c>
      <c r="CP165" s="4" t="s">
        <v>122</v>
      </c>
      <c r="CQ165" s="4" t="s">
        <v>122</v>
      </c>
      <c r="CR165" s="4" t="s">
        <v>122</v>
      </c>
      <c r="CS165" s="3">
        <v>5</v>
      </c>
      <c r="CT165" s="3">
        <v>1</v>
      </c>
      <c r="CU165" s="42">
        <v>1</v>
      </c>
      <c r="CV165" cm="1">
        <f t="array" ref="CV165">_xlfn.IFS(CU165*1=2,1,CU165*1=4,1,TRUE,0)</f>
        <v>0</v>
      </c>
      <c r="CW165" cm="1">
        <f t="array" ref="CW165">_xlfn.IFS(CU165*1=1,1,CU165*1=2,1,TRUE,0)</f>
        <v>1</v>
      </c>
      <c r="CX165" s="3">
        <f t="shared" si="19"/>
        <v>0</v>
      </c>
      <c r="CY165" s="3">
        <f t="shared" si="20"/>
        <v>0</v>
      </c>
      <c r="CZ165" s="3" cm="1">
        <f t="array" ref="CZ165">_xlfn.IFS(BP165&lt;&gt;"", BP165, CV165=1,  AQ165, CV165=0,  AZ165)</f>
        <v>0</v>
      </c>
      <c r="DA165" s="36" cm="1">
        <f t="array" ref="DA165">_xlfn.IFS(BO165&lt;&gt;"", BO165, CV165=0,  AQ165, CV165=1,  AZ165)</f>
        <v>0</v>
      </c>
      <c r="DB165" s="36">
        <f t="shared" si="21"/>
        <v>0</v>
      </c>
      <c r="DC165" s="3">
        <f t="shared" si="22"/>
        <v>0</v>
      </c>
      <c r="DD165" s="3">
        <f t="shared" si="23"/>
        <v>0</v>
      </c>
      <c r="DE165" s="3">
        <f t="shared" si="24"/>
        <v>0</v>
      </c>
      <c r="DF165" s="3">
        <f t="shared" si="25"/>
        <v>0</v>
      </c>
      <c r="DG165" s="3">
        <f t="shared" si="26"/>
        <v>0</v>
      </c>
    </row>
    <row r="166" spans="1:111" x14ac:dyDescent="0.4">
      <c r="A166" s="3">
        <v>202503</v>
      </c>
      <c r="B166" s="3">
        <v>222</v>
      </c>
      <c r="C166" s="5">
        <v>45735.555856481478</v>
      </c>
      <c r="D166" s="5">
        <v>45735.559421296297</v>
      </c>
      <c r="E166" s="3">
        <v>0</v>
      </c>
      <c r="F166" s="4" t="s">
        <v>530</v>
      </c>
      <c r="G166" s="3">
        <v>100</v>
      </c>
      <c r="H166" s="3">
        <v>308</v>
      </c>
      <c r="I166" s="3">
        <v>1</v>
      </c>
      <c r="J166" s="5">
        <v>45735.559437337964</v>
      </c>
      <c r="K166" s="4" t="s">
        <v>531</v>
      </c>
      <c r="L166" s="4" t="s">
        <v>122</v>
      </c>
      <c r="M166" s="4" t="s">
        <v>122</v>
      </c>
      <c r="N166" s="4" t="s">
        <v>122</v>
      </c>
      <c r="O166" s="4" t="s">
        <v>122</v>
      </c>
      <c r="P166" s="3">
        <v>32.250300000000003</v>
      </c>
      <c r="Q166" s="3">
        <v>-110.94499999999999</v>
      </c>
      <c r="R166" s="4" t="s">
        <v>129</v>
      </c>
      <c r="S166" s="4" t="s">
        <v>124</v>
      </c>
      <c r="T166" s="3">
        <v>4</v>
      </c>
      <c r="U166" s="3">
        <v>1</v>
      </c>
      <c r="V166" s="3">
        <v>5</v>
      </c>
      <c r="W166" s="3">
        <v>5</v>
      </c>
      <c r="X166" s="3">
        <v>2</v>
      </c>
      <c r="Y166" s="3">
        <v>5</v>
      </c>
      <c r="Z166" s="3">
        <v>4</v>
      </c>
      <c r="AA166" s="3">
        <v>2</v>
      </c>
      <c r="AB166" s="4" t="s">
        <v>122</v>
      </c>
      <c r="AC166" s="4" t="s">
        <v>125</v>
      </c>
      <c r="AD166" s="4" t="s">
        <v>122</v>
      </c>
      <c r="AE166" s="4" t="s">
        <v>122</v>
      </c>
      <c r="AF166" s="4" t="s">
        <v>122</v>
      </c>
      <c r="AG166" s="3">
        <v>4</v>
      </c>
      <c r="AH166" s="3">
        <v>2</v>
      </c>
      <c r="AI166" s="3">
        <v>3</v>
      </c>
      <c r="AJ166" s="3">
        <v>8</v>
      </c>
      <c r="AK166" s="3">
        <v>6</v>
      </c>
      <c r="AL166" s="3">
        <v>6</v>
      </c>
      <c r="AM166" s="3">
        <v>8</v>
      </c>
      <c r="AN166" s="3">
        <v>7</v>
      </c>
      <c r="AO166" s="3">
        <v>3</v>
      </c>
      <c r="AP166" s="3">
        <v>3</v>
      </c>
      <c r="AQ166" s="3" t="s">
        <v>122</v>
      </c>
      <c r="AR166" s="3" t="s">
        <v>122</v>
      </c>
      <c r="AS166" s="3">
        <v>8</v>
      </c>
      <c r="AT166" s="3">
        <v>7</v>
      </c>
      <c r="AU166" s="3">
        <v>7</v>
      </c>
      <c r="AV166" s="3">
        <v>7</v>
      </c>
      <c r="AW166" s="3">
        <v>7</v>
      </c>
      <c r="AX166" s="3">
        <v>3</v>
      </c>
      <c r="AY166" s="3">
        <v>3</v>
      </c>
      <c r="AZ166" s="3" t="s">
        <v>122</v>
      </c>
      <c r="BA166" s="3" t="s">
        <v>122</v>
      </c>
      <c r="BB166" s="3" t="s">
        <v>122</v>
      </c>
      <c r="BC166" s="3" t="s">
        <v>122</v>
      </c>
      <c r="BD166" s="3" t="s">
        <v>122</v>
      </c>
      <c r="BE166" s="3" t="s">
        <v>122</v>
      </c>
      <c r="BF166" s="3" t="s">
        <v>122</v>
      </c>
      <c r="BG166" s="3" t="s">
        <v>122</v>
      </c>
      <c r="BH166" s="3" t="s">
        <v>122</v>
      </c>
      <c r="BI166" s="3" t="s">
        <v>122</v>
      </c>
      <c r="BJ166" s="3" t="s">
        <v>122</v>
      </c>
      <c r="BK166" s="3" t="s">
        <v>122</v>
      </c>
      <c r="BL166" s="3" t="s">
        <v>122</v>
      </c>
      <c r="BM166" s="3" t="s">
        <v>122</v>
      </c>
      <c r="BN166" s="3" t="s">
        <v>122</v>
      </c>
      <c r="BO166" s="3">
        <v>2</v>
      </c>
      <c r="BP166" s="3">
        <v>2</v>
      </c>
      <c r="BQ166" s="3">
        <v>3</v>
      </c>
      <c r="BR166" s="3" t="s">
        <v>122</v>
      </c>
      <c r="BS166" s="3" t="s">
        <v>122</v>
      </c>
      <c r="BT166" s="3" t="s">
        <v>122</v>
      </c>
      <c r="BU166" s="3" t="s">
        <v>122</v>
      </c>
      <c r="BV166" s="3" t="s">
        <v>122</v>
      </c>
      <c r="BW166" s="3" t="s">
        <v>122</v>
      </c>
      <c r="BX166" s="3" t="s">
        <v>122</v>
      </c>
      <c r="BY166" s="3" t="s">
        <v>122</v>
      </c>
      <c r="BZ166" s="3" t="s">
        <v>122</v>
      </c>
      <c r="CA166" s="3">
        <v>1</v>
      </c>
      <c r="CB166" s="3">
        <v>2</v>
      </c>
      <c r="CC166" s="3">
        <v>3</v>
      </c>
      <c r="CD166" s="3">
        <v>2</v>
      </c>
      <c r="CE166" s="3">
        <v>3</v>
      </c>
      <c r="CF166" s="3">
        <v>1</v>
      </c>
      <c r="CG166" s="4" t="s">
        <v>122</v>
      </c>
      <c r="CH166" s="3">
        <v>3</v>
      </c>
      <c r="CI166" s="4" t="s">
        <v>122</v>
      </c>
      <c r="CJ166" s="4" t="s">
        <v>122</v>
      </c>
      <c r="CK166" s="4" t="s">
        <v>122</v>
      </c>
      <c r="CL166" s="4" t="s">
        <v>122</v>
      </c>
      <c r="CM166" s="4" t="s">
        <v>122</v>
      </c>
      <c r="CN166" s="4" t="s">
        <v>122</v>
      </c>
      <c r="CO166" s="4" t="s">
        <v>125</v>
      </c>
      <c r="CP166" s="4" t="s">
        <v>122</v>
      </c>
      <c r="CQ166" s="4" t="s">
        <v>122</v>
      </c>
      <c r="CR166" s="4" t="s">
        <v>122</v>
      </c>
      <c r="CS166" s="3">
        <v>5</v>
      </c>
      <c r="CT166" s="3">
        <v>2</v>
      </c>
      <c r="CU166" s="42">
        <v>3</v>
      </c>
      <c r="CV166" cm="1">
        <f t="array" ref="CV166">_xlfn.IFS(CU166*1=2,1,CU166*1=4,1,TRUE,0)</f>
        <v>0</v>
      </c>
      <c r="CW166" cm="1">
        <f t="array" ref="CW166">_xlfn.IFS(CU166*1=1,1,CU166*1=2,1,TRUE,0)</f>
        <v>0</v>
      </c>
      <c r="CX166" s="3">
        <f t="shared" si="19"/>
        <v>2</v>
      </c>
      <c r="CY166" s="3">
        <f t="shared" si="20"/>
        <v>2</v>
      </c>
      <c r="CZ166" s="3" cm="1">
        <f t="array" ref="CZ166">_xlfn.IFS(BP166&lt;&gt;"", BP166, CV166=1,  AQ166, CV166=0,  AZ166)</f>
        <v>2</v>
      </c>
      <c r="DA166" s="36" cm="1">
        <f t="array" ref="DA166">_xlfn.IFS(BO166&lt;&gt;"", BO166, CV166=0,  AQ166, CV166=1,  AZ166)</f>
        <v>2</v>
      </c>
      <c r="DB166" s="36">
        <f t="shared" si="21"/>
        <v>0</v>
      </c>
      <c r="DC166" s="3">
        <f t="shared" si="22"/>
        <v>0</v>
      </c>
      <c r="DD166" s="3">
        <f t="shared" si="23"/>
        <v>0</v>
      </c>
      <c r="DE166" s="3">
        <f t="shared" si="24"/>
        <v>0</v>
      </c>
      <c r="DF166" s="3">
        <f t="shared" si="25"/>
        <v>0</v>
      </c>
      <c r="DG166" s="3">
        <f t="shared" si="26"/>
        <v>0</v>
      </c>
    </row>
    <row r="167" spans="1:111" x14ac:dyDescent="0.4">
      <c r="A167" s="3">
        <v>202503</v>
      </c>
      <c r="B167" s="3">
        <v>222</v>
      </c>
      <c r="C167" s="5">
        <v>45735.557152777779</v>
      </c>
      <c r="D167" s="5">
        <v>45735.56459490741</v>
      </c>
      <c r="E167" s="3">
        <v>0</v>
      </c>
      <c r="F167" s="4" t="s">
        <v>533</v>
      </c>
      <c r="G167" s="3">
        <v>100</v>
      </c>
      <c r="H167" s="3">
        <v>643</v>
      </c>
      <c r="I167" s="3">
        <v>1</v>
      </c>
      <c r="J167" s="5">
        <v>45735.564611956019</v>
      </c>
      <c r="K167" s="4" t="s">
        <v>534</v>
      </c>
      <c r="L167" s="4" t="s">
        <v>122</v>
      </c>
      <c r="M167" s="4" t="s">
        <v>122</v>
      </c>
      <c r="N167" s="4" t="s">
        <v>122</v>
      </c>
      <c r="O167" s="4" t="s">
        <v>122</v>
      </c>
      <c r="P167" s="3">
        <v>32.250300000000003</v>
      </c>
      <c r="Q167" s="3">
        <v>-110.94499999999999</v>
      </c>
      <c r="R167" s="4" t="s">
        <v>129</v>
      </c>
      <c r="S167" s="4" t="s">
        <v>124</v>
      </c>
      <c r="T167" s="3">
        <v>4</v>
      </c>
      <c r="U167" s="3">
        <v>1</v>
      </c>
      <c r="V167" s="3">
        <v>2</v>
      </c>
      <c r="W167" s="3">
        <v>1</v>
      </c>
      <c r="X167" s="3">
        <v>5</v>
      </c>
      <c r="Y167" s="3">
        <v>4</v>
      </c>
      <c r="Z167" s="3">
        <v>3</v>
      </c>
      <c r="AA167" s="3">
        <v>3</v>
      </c>
      <c r="AB167" s="4" t="s">
        <v>122</v>
      </c>
      <c r="AC167" s="4" t="s">
        <v>125</v>
      </c>
      <c r="AD167" s="4" t="s">
        <v>122</v>
      </c>
      <c r="AE167" s="4" t="s">
        <v>122</v>
      </c>
      <c r="AF167" s="4" t="s">
        <v>125</v>
      </c>
      <c r="AG167" s="3">
        <v>3</v>
      </c>
      <c r="AH167" s="3">
        <v>6</v>
      </c>
      <c r="AI167" s="3">
        <v>2</v>
      </c>
      <c r="AJ167" s="3">
        <v>6</v>
      </c>
      <c r="AK167" s="3">
        <v>6</v>
      </c>
      <c r="AL167" s="3">
        <v>7</v>
      </c>
      <c r="AM167" s="3">
        <v>4</v>
      </c>
      <c r="AN167" s="3">
        <v>7</v>
      </c>
      <c r="AO167" s="3">
        <v>4</v>
      </c>
      <c r="AP167" s="3">
        <v>4</v>
      </c>
      <c r="AQ167" s="3" t="s">
        <v>122</v>
      </c>
      <c r="AR167" s="3" t="s">
        <v>122</v>
      </c>
      <c r="AS167" s="3">
        <v>7</v>
      </c>
      <c r="AT167" s="3">
        <v>7</v>
      </c>
      <c r="AU167" s="3">
        <v>7</v>
      </c>
      <c r="AV167" s="3">
        <v>7</v>
      </c>
      <c r="AW167" s="3">
        <v>7</v>
      </c>
      <c r="AX167" s="3">
        <v>3</v>
      </c>
      <c r="AY167" s="3">
        <v>3</v>
      </c>
      <c r="AZ167" s="3" t="s">
        <v>122</v>
      </c>
      <c r="BA167" s="3" t="s">
        <v>122</v>
      </c>
      <c r="BB167" s="3" t="s">
        <v>122</v>
      </c>
      <c r="BC167" s="3" t="s">
        <v>122</v>
      </c>
      <c r="BD167" s="3" t="s">
        <v>122</v>
      </c>
      <c r="BE167" s="3" t="s">
        <v>122</v>
      </c>
      <c r="BF167" s="3" t="s">
        <v>122</v>
      </c>
      <c r="BG167" s="3" t="s">
        <v>122</v>
      </c>
      <c r="BH167" s="3" t="s">
        <v>122</v>
      </c>
      <c r="BI167" s="3" t="s">
        <v>122</v>
      </c>
      <c r="BJ167" s="3" t="s">
        <v>122</v>
      </c>
      <c r="BK167" s="3" t="s">
        <v>122</v>
      </c>
      <c r="BL167" s="3" t="s">
        <v>122</v>
      </c>
      <c r="BM167" s="3" t="s">
        <v>122</v>
      </c>
      <c r="BN167" s="3" t="s">
        <v>122</v>
      </c>
      <c r="BO167" s="3">
        <v>6</v>
      </c>
      <c r="BP167" s="3">
        <v>6</v>
      </c>
      <c r="BQ167" s="3">
        <v>2</v>
      </c>
      <c r="BR167" s="3" t="s">
        <v>122</v>
      </c>
      <c r="BS167" s="3" t="s">
        <v>122</v>
      </c>
      <c r="BT167" s="3" t="s">
        <v>122</v>
      </c>
      <c r="BU167" s="3" t="s">
        <v>122</v>
      </c>
      <c r="BV167" s="3" t="s">
        <v>122</v>
      </c>
      <c r="BW167" s="3" t="s">
        <v>122</v>
      </c>
      <c r="BX167" s="3" t="s">
        <v>122</v>
      </c>
      <c r="BY167" s="3" t="s">
        <v>122</v>
      </c>
      <c r="BZ167" s="3" t="s">
        <v>122</v>
      </c>
      <c r="CA167" s="3">
        <v>4</v>
      </c>
      <c r="CB167" s="3">
        <v>6</v>
      </c>
      <c r="CC167" s="3">
        <v>3</v>
      </c>
      <c r="CD167" s="3">
        <v>6</v>
      </c>
      <c r="CE167" s="3">
        <v>2</v>
      </c>
      <c r="CF167" s="3">
        <v>1</v>
      </c>
      <c r="CG167" s="4" t="s">
        <v>122</v>
      </c>
      <c r="CH167" s="3">
        <v>4</v>
      </c>
      <c r="CI167" s="4" t="s">
        <v>122</v>
      </c>
      <c r="CJ167" s="4" t="s">
        <v>122</v>
      </c>
      <c r="CK167" s="4" t="s">
        <v>122</v>
      </c>
      <c r="CL167" s="4" t="s">
        <v>122</v>
      </c>
      <c r="CM167" s="4" t="s">
        <v>122</v>
      </c>
      <c r="CN167" s="4" t="s">
        <v>122</v>
      </c>
      <c r="CO167" s="4" t="s">
        <v>125</v>
      </c>
      <c r="CP167" s="4" t="s">
        <v>122</v>
      </c>
      <c r="CQ167" s="4" t="s">
        <v>122</v>
      </c>
      <c r="CR167" s="4" t="s">
        <v>122</v>
      </c>
      <c r="CS167" s="3">
        <v>5</v>
      </c>
      <c r="CT167" s="3">
        <v>5</v>
      </c>
      <c r="CU167" s="42">
        <v>4</v>
      </c>
      <c r="CV167" cm="1">
        <f t="array" ref="CV167">_xlfn.IFS(CU167*1=2,1,CU167*1=4,1,TRUE,0)</f>
        <v>1</v>
      </c>
      <c r="CW167" cm="1">
        <f t="array" ref="CW167">_xlfn.IFS(CU167*1=1,1,CU167*1=2,1,TRUE,0)</f>
        <v>0</v>
      </c>
      <c r="CX167" s="3">
        <f t="shared" si="19"/>
        <v>6</v>
      </c>
      <c r="CY167" s="3">
        <f t="shared" si="20"/>
        <v>6</v>
      </c>
      <c r="CZ167" s="3" cm="1">
        <f t="array" ref="CZ167">_xlfn.IFS(BP167&lt;&gt;"", BP167, CV167=1,  AQ167, CV167=0,  AZ167)</f>
        <v>6</v>
      </c>
      <c r="DA167" s="36" cm="1">
        <f t="array" ref="DA167">_xlfn.IFS(BO167&lt;&gt;"", BO167, CV167=0,  AQ167, CV167=1,  AZ167)</f>
        <v>6</v>
      </c>
      <c r="DB167" s="36">
        <f t="shared" si="21"/>
        <v>0</v>
      </c>
      <c r="DC167" s="3">
        <f t="shared" si="22"/>
        <v>0</v>
      </c>
      <c r="DD167" s="3">
        <f t="shared" si="23"/>
        <v>0</v>
      </c>
      <c r="DE167" s="3">
        <f t="shared" si="24"/>
        <v>0</v>
      </c>
      <c r="DF167" s="3">
        <f t="shared" si="25"/>
        <v>0</v>
      </c>
      <c r="DG167" s="3">
        <f t="shared" si="26"/>
        <v>0</v>
      </c>
    </row>
    <row r="168" spans="1:111" x14ac:dyDescent="0.4">
      <c r="A168" s="3">
        <v>202503</v>
      </c>
      <c r="B168" s="3">
        <v>222</v>
      </c>
      <c r="C168" s="5">
        <v>45735.561574074076</v>
      </c>
      <c r="D168" s="5">
        <v>45735.567708333336</v>
      </c>
      <c r="E168" s="3">
        <v>0</v>
      </c>
      <c r="F168" s="4" t="s">
        <v>537</v>
      </c>
      <c r="G168" s="3">
        <v>100</v>
      </c>
      <c r="H168" s="3">
        <v>530</v>
      </c>
      <c r="I168" s="3">
        <v>1</v>
      </c>
      <c r="J168" s="5">
        <v>45735.567722881948</v>
      </c>
      <c r="K168" s="4" t="s">
        <v>538</v>
      </c>
      <c r="L168" s="4" t="s">
        <v>122</v>
      </c>
      <c r="M168" s="4" t="s">
        <v>122</v>
      </c>
      <c r="N168" s="4" t="s">
        <v>122</v>
      </c>
      <c r="O168" s="4" t="s">
        <v>122</v>
      </c>
      <c r="P168" s="3">
        <v>32.406300000000002</v>
      </c>
      <c r="Q168" s="3">
        <v>-111.0633</v>
      </c>
      <c r="R168" s="4" t="s">
        <v>129</v>
      </c>
      <c r="S168" s="4" t="s">
        <v>124</v>
      </c>
      <c r="T168" s="3">
        <v>4</v>
      </c>
      <c r="U168" s="3">
        <v>1</v>
      </c>
      <c r="V168" s="3">
        <v>3</v>
      </c>
      <c r="W168" s="3">
        <v>2</v>
      </c>
      <c r="X168" s="3">
        <v>2</v>
      </c>
      <c r="Y168" s="3">
        <v>5</v>
      </c>
      <c r="Z168" s="3">
        <v>5</v>
      </c>
      <c r="AA168" s="3">
        <v>5</v>
      </c>
      <c r="AB168" s="4" t="s">
        <v>125</v>
      </c>
      <c r="AC168" s="4" t="s">
        <v>125</v>
      </c>
      <c r="AD168" s="4" t="s">
        <v>125</v>
      </c>
      <c r="AE168" s="4" t="s">
        <v>122</v>
      </c>
      <c r="AF168" s="4" t="s">
        <v>122</v>
      </c>
      <c r="AG168" s="3">
        <v>1</v>
      </c>
      <c r="AH168" s="3">
        <v>6</v>
      </c>
      <c r="AI168" s="3">
        <v>2</v>
      </c>
      <c r="AJ168" s="3">
        <v>6</v>
      </c>
      <c r="AK168" s="3">
        <v>7</v>
      </c>
      <c r="AL168" s="3">
        <v>7</v>
      </c>
      <c r="AM168" s="3">
        <v>6</v>
      </c>
      <c r="AN168" s="3">
        <v>6</v>
      </c>
      <c r="AO168" s="3">
        <v>4</v>
      </c>
      <c r="AP168" s="3">
        <v>3</v>
      </c>
      <c r="AQ168" s="3">
        <v>0</v>
      </c>
      <c r="AR168" s="3" t="s">
        <v>122</v>
      </c>
      <c r="AS168" s="3">
        <v>7</v>
      </c>
      <c r="AT168" s="3">
        <v>7</v>
      </c>
      <c r="AU168" s="3">
        <v>6</v>
      </c>
      <c r="AV168" s="3">
        <v>7</v>
      </c>
      <c r="AW168" s="3">
        <v>6</v>
      </c>
      <c r="AX168" s="3">
        <v>3</v>
      </c>
      <c r="AY168" s="3">
        <v>3</v>
      </c>
      <c r="AZ168" s="3">
        <v>6</v>
      </c>
      <c r="BA168" s="3">
        <v>2</v>
      </c>
      <c r="BB168" s="3">
        <v>5</v>
      </c>
      <c r="BC168" s="3">
        <v>6</v>
      </c>
      <c r="BD168" s="3">
        <v>2</v>
      </c>
      <c r="BE168" s="3" t="s">
        <v>122</v>
      </c>
      <c r="BF168" s="3" t="s">
        <v>122</v>
      </c>
      <c r="BG168" s="3" t="s">
        <v>122</v>
      </c>
      <c r="BH168" s="3" t="s">
        <v>122</v>
      </c>
      <c r="BI168" s="3" t="s">
        <v>122</v>
      </c>
      <c r="BJ168" s="3" t="s">
        <v>122</v>
      </c>
      <c r="BK168" s="3" t="s">
        <v>122</v>
      </c>
      <c r="BL168" s="3" t="s">
        <v>122</v>
      </c>
      <c r="BM168" s="3" t="s">
        <v>122</v>
      </c>
      <c r="BN168" s="3">
        <v>1</v>
      </c>
      <c r="BO168" s="3" t="s">
        <v>122</v>
      </c>
      <c r="BP168" s="3" t="s">
        <v>122</v>
      </c>
      <c r="BQ168" s="3" t="s">
        <v>122</v>
      </c>
      <c r="BR168" s="3" t="s">
        <v>122</v>
      </c>
      <c r="BS168" s="3" t="s">
        <v>122</v>
      </c>
      <c r="BT168" s="3" t="s">
        <v>122</v>
      </c>
      <c r="BU168" s="3" t="s">
        <v>122</v>
      </c>
      <c r="BV168" s="3" t="s">
        <v>122</v>
      </c>
      <c r="BW168" s="3" t="s">
        <v>122</v>
      </c>
      <c r="BX168" s="3" t="s">
        <v>122</v>
      </c>
      <c r="BY168" s="3" t="s">
        <v>122</v>
      </c>
      <c r="BZ168" s="3" t="s">
        <v>122</v>
      </c>
      <c r="CA168" s="3" t="s">
        <v>122</v>
      </c>
      <c r="CB168" s="3" t="s">
        <v>122</v>
      </c>
      <c r="CC168" s="3" t="s">
        <v>122</v>
      </c>
      <c r="CD168" s="3" t="s">
        <v>122</v>
      </c>
      <c r="CE168" s="3" t="s">
        <v>122</v>
      </c>
      <c r="CF168" s="3">
        <v>2</v>
      </c>
      <c r="CG168" s="4" t="s">
        <v>122</v>
      </c>
      <c r="CH168" s="3">
        <v>5</v>
      </c>
      <c r="CI168" s="4" t="s">
        <v>122</v>
      </c>
      <c r="CJ168" s="4" t="s">
        <v>122</v>
      </c>
      <c r="CK168" s="4" t="s">
        <v>122</v>
      </c>
      <c r="CL168" s="4" t="s">
        <v>122</v>
      </c>
      <c r="CM168" s="4" t="s">
        <v>122</v>
      </c>
      <c r="CN168" s="4" t="s">
        <v>122</v>
      </c>
      <c r="CO168" s="4" t="s">
        <v>125</v>
      </c>
      <c r="CP168" s="4" t="s">
        <v>122</v>
      </c>
      <c r="CQ168" s="4" t="s">
        <v>122</v>
      </c>
      <c r="CR168" s="4" t="s">
        <v>122</v>
      </c>
      <c r="CS168" s="3">
        <v>5</v>
      </c>
      <c r="CT168" s="3">
        <v>5</v>
      </c>
      <c r="CU168" s="42">
        <v>1</v>
      </c>
      <c r="CV168" cm="1">
        <f t="array" ref="CV168">_xlfn.IFS(CU168*1=2,1,CU168*1=4,1,TRUE,0)</f>
        <v>0</v>
      </c>
      <c r="CW168" cm="1">
        <f t="array" ref="CW168">_xlfn.IFS(CU168*1=1,1,CU168*1=2,1,TRUE,0)</f>
        <v>1</v>
      </c>
      <c r="CX168" s="3">
        <f t="shared" si="19"/>
        <v>5</v>
      </c>
      <c r="CY168" s="3">
        <f t="shared" si="20"/>
        <v>6</v>
      </c>
      <c r="CZ168" s="3" cm="1">
        <f t="array" ref="CZ168">_xlfn.IFS(BP168&lt;&gt;"", BP168, CV168=1,  AQ168, CV168=0,  AZ168)</f>
        <v>6</v>
      </c>
      <c r="DA168" s="36" cm="1">
        <f t="array" ref="DA168">_xlfn.IFS(BO168&lt;&gt;"", BO168, CV168=0,  AQ168, CV168=1,  AZ168)</f>
        <v>0</v>
      </c>
      <c r="DB168" s="36">
        <f t="shared" si="21"/>
        <v>0</v>
      </c>
      <c r="DC168" s="3">
        <f t="shared" si="22"/>
        <v>-1</v>
      </c>
      <c r="DD168" s="3">
        <f t="shared" si="23"/>
        <v>0</v>
      </c>
      <c r="DE168" s="3">
        <f t="shared" si="24"/>
        <v>0</v>
      </c>
      <c r="DF168" s="3">
        <f t="shared" si="25"/>
        <v>-6</v>
      </c>
      <c r="DG168" s="3">
        <f t="shared" si="26"/>
        <v>-1</v>
      </c>
    </row>
    <row r="169" spans="1:111" x14ac:dyDescent="0.4">
      <c r="A169" s="3">
        <v>202503</v>
      </c>
      <c r="B169" s="3">
        <v>222</v>
      </c>
      <c r="C169" s="5">
        <v>45735.562326388892</v>
      </c>
      <c r="D169" s="5">
        <v>45735.570567129631</v>
      </c>
      <c r="E169" s="3">
        <v>0</v>
      </c>
      <c r="F169" s="4" t="s">
        <v>541</v>
      </c>
      <c r="G169" s="3">
        <v>100</v>
      </c>
      <c r="H169" s="3">
        <v>712</v>
      </c>
      <c r="I169" s="3">
        <v>1</v>
      </c>
      <c r="J169" s="5">
        <v>45735.570583576387</v>
      </c>
      <c r="K169" s="4" t="s">
        <v>542</v>
      </c>
      <c r="L169" s="4" t="s">
        <v>122</v>
      </c>
      <c r="M169" s="4" t="s">
        <v>122</v>
      </c>
      <c r="N169" s="4" t="s">
        <v>122</v>
      </c>
      <c r="O169" s="4" t="s">
        <v>122</v>
      </c>
      <c r="P169" s="3">
        <v>32.2699</v>
      </c>
      <c r="Q169" s="3">
        <v>-110.9853</v>
      </c>
      <c r="R169" s="4" t="s">
        <v>129</v>
      </c>
      <c r="S169" s="4" t="s">
        <v>124</v>
      </c>
      <c r="T169" s="3">
        <v>4</v>
      </c>
      <c r="U169" s="3">
        <v>1</v>
      </c>
      <c r="V169" s="3">
        <v>2</v>
      </c>
      <c r="W169" s="3">
        <v>2</v>
      </c>
      <c r="X169" s="3">
        <v>1</v>
      </c>
      <c r="Y169" s="3">
        <v>1</v>
      </c>
      <c r="Z169" s="3">
        <v>1</v>
      </c>
      <c r="AA169" s="3">
        <v>1</v>
      </c>
      <c r="AB169" s="4" t="s">
        <v>122</v>
      </c>
      <c r="AC169" s="4" t="s">
        <v>122</v>
      </c>
      <c r="AD169" s="4" t="s">
        <v>122</v>
      </c>
      <c r="AE169" s="4" t="s">
        <v>122</v>
      </c>
      <c r="AF169" s="4" t="s">
        <v>122</v>
      </c>
      <c r="AG169" s="3">
        <v>3</v>
      </c>
      <c r="AH169" s="3">
        <v>5</v>
      </c>
      <c r="AI169" s="3">
        <v>1</v>
      </c>
      <c r="AJ169" s="3">
        <v>7</v>
      </c>
      <c r="AK169" s="3">
        <v>7</v>
      </c>
      <c r="AL169" s="3">
        <v>8</v>
      </c>
      <c r="AM169" s="3">
        <v>7</v>
      </c>
      <c r="AN169" s="3">
        <v>8</v>
      </c>
      <c r="AO169" s="3">
        <v>4</v>
      </c>
      <c r="AP169" s="3">
        <v>4</v>
      </c>
      <c r="AQ169" s="4">
        <v>5</v>
      </c>
      <c r="AR169" s="4">
        <v>1</v>
      </c>
      <c r="AS169" s="3">
        <v>8</v>
      </c>
      <c r="AT169" s="3">
        <v>8</v>
      </c>
      <c r="AU169" s="3">
        <v>6</v>
      </c>
      <c r="AV169" s="3">
        <v>8</v>
      </c>
      <c r="AW169" s="3">
        <v>8</v>
      </c>
      <c r="AX169" s="3">
        <v>2</v>
      </c>
      <c r="AY169" s="3">
        <v>3</v>
      </c>
      <c r="AZ169" s="4">
        <v>5</v>
      </c>
      <c r="BA169" s="4">
        <v>1</v>
      </c>
      <c r="BB169" s="3">
        <v>0</v>
      </c>
      <c r="BC169" s="3">
        <v>0</v>
      </c>
      <c r="BD169" s="3">
        <v>2</v>
      </c>
      <c r="BE169" s="3" t="s">
        <v>122</v>
      </c>
      <c r="BF169" s="3" t="s">
        <v>122</v>
      </c>
      <c r="BG169" s="3" t="s">
        <v>122</v>
      </c>
      <c r="BH169" s="3" t="s">
        <v>122</v>
      </c>
      <c r="BI169" s="3" t="s">
        <v>122</v>
      </c>
      <c r="BJ169" s="3" t="s">
        <v>122</v>
      </c>
      <c r="BK169" s="3" t="s">
        <v>122</v>
      </c>
      <c r="BL169" s="3" t="s">
        <v>122</v>
      </c>
      <c r="BM169" s="3" t="s">
        <v>122</v>
      </c>
      <c r="BN169" s="3">
        <v>1</v>
      </c>
      <c r="BO169" s="3" t="s">
        <v>122</v>
      </c>
      <c r="BP169" s="3" t="s">
        <v>122</v>
      </c>
      <c r="BQ169" s="3" t="s">
        <v>122</v>
      </c>
      <c r="BR169" s="3" t="s">
        <v>122</v>
      </c>
      <c r="BS169" s="3" t="s">
        <v>122</v>
      </c>
      <c r="BT169" s="3" t="s">
        <v>122</v>
      </c>
      <c r="BU169" s="3" t="s">
        <v>122</v>
      </c>
      <c r="BV169" s="3" t="s">
        <v>122</v>
      </c>
      <c r="BW169" s="3" t="s">
        <v>122</v>
      </c>
      <c r="BX169" s="3" t="s">
        <v>122</v>
      </c>
      <c r="BY169" s="3" t="s">
        <v>122</v>
      </c>
      <c r="BZ169" s="3" t="s">
        <v>122</v>
      </c>
      <c r="CA169" s="3" t="s">
        <v>122</v>
      </c>
      <c r="CB169" s="3" t="s">
        <v>122</v>
      </c>
      <c r="CC169" s="3" t="s">
        <v>122</v>
      </c>
      <c r="CD169" s="3" t="s">
        <v>122</v>
      </c>
      <c r="CE169" s="3" t="s">
        <v>122</v>
      </c>
      <c r="CF169" s="3">
        <v>2</v>
      </c>
      <c r="CG169" s="4" t="s">
        <v>122</v>
      </c>
      <c r="CH169" s="3">
        <v>3</v>
      </c>
      <c r="CI169" s="4" t="s">
        <v>122</v>
      </c>
      <c r="CJ169" s="4" t="s">
        <v>122</v>
      </c>
      <c r="CK169" s="4" t="s">
        <v>122</v>
      </c>
      <c r="CL169" s="4" t="s">
        <v>122</v>
      </c>
      <c r="CM169" s="4" t="s">
        <v>122</v>
      </c>
      <c r="CN169" s="4" t="s">
        <v>122</v>
      </c>
      <c r="CO169" s="4" t="s">
        <v>125</v>
      </c>
      <c r="CP169" s="4" t="s">
        <v>122</v>
      </c>
      <c r="CQ169" s="4" t="s">
        <v>122</v>
      </c>
      <c r="CR169" s="4" t="s">
        <v>122</v>
      </c>
      <c r="CS169" s="3">
        <v>5</v>
      </c>
      <c r="CT169" s="3">
        <v>3</v>
      </c>
      <c r="CU169" s="42">
        <v>2</v>
      </c>
      <c r="CV169" cm="1">
        <f t="array" ref="CV169">_xlfn.IFS(CU169*1=2,1,CU169*1=4,1,TRUE,0)</f>
        <v>1</v>
      </c>
      <c r="CW169" cm="1">
        <f t="array" ref="CW169">_xlfn.IFS(CU169*1=1,1,CU169*1=2,1,TRUE,0)</f>
        <v>1</v>
      </c>
      <c r="CX169" s="3">
        <f t="shared" si="19"/>
        <v>0</v>
      </c>
      <c r="CY169" s="3">
        <f t="shared" si="20"/>
        <v>0</v>
      </c>
      <c r="CZ169" s="3" cm="1">
        <f t="array" ref="CZ169">_xlfn.IFS(BP169&lt;&gt;"", BP169, CV169=1,  AQ169, CV169=0,  AZ169)</f>
        <v>5</v>
      </c>
      <c r="DA169" s="36" cm="1">
        <f t="array" ref="DA169">_xlfn.IFS(BO169&lt;&gt;"", BO169, CV169=0,  AQ169, CV169=1,  AZ169)</f>
        <v>5</v>
      </c>
      <c r="DB169" s="36">
        <f t="shared" si="21"/>
        <v>-5</v>
      </c>
      <c r="DC169" s="3">
        <f t="shared" si="22"/>
        <v>-5</v>
      </c>
      <c r="DD169" s="3">
        <f t="shared" si="23"/>
        <v>0</v>
      </c>
      <c r="DE169" s="3">
        <f t="shared" si="24"/>
        <v>-5</v>
      </c>
      <c r="DF169" s="3">
        <f t="shared" si="25"/>
        <v>0</v>
      </c>
      <c r="DG169" s="3">
        <f t="shared" si="26"/>
        <v>-5</v>
      </c>
    </row>
    <row r="170" spans="1:111" x14ac:dyDescent="0.4">
      <c r="A170" s="3">
        <v>202503</v>
      </c>
      <c r="B170" s="3">
        <v>222</v>
      </c>
      <c r="C170" s="5">
        <v>45735.562615740739</v>
      </c>
      <c r="D170" s="5">
        <v>45735.566979166666</v>
      </c>
      <c r="E170" s="3">
        <v>0</v>
      </c>
      <c r="F170" s="4" t="s">
        <v>535</v>
      </c>
      <c r="G170" s="3">
        <v>100</v>
      </c>
      <c r="H170" s="3">
        <v>376</v>
      </c>
      <c r="I170" s="3">
        <v>1</v>
      </c>
      <c r="J170" s="5">
        <v>45735.566986342594</v>
      </c>
      <c r="K170" s="4" t="s">
        <v>536</v>
      </c>
      <c r="L170" s="4" t="s">
        <v>122</v>
      </c>
      <c r="M170" s="4" t="s">
        <v>122</v>
      </c>
      <c r="N170" s="4" t="s">
        <v>122</v>
      </c>
      <c r="O170" s="4" t="s">
        <v>122</v>
      </c>
      <c r="P170" s="3">
        <v>32.250300000000003</v>
      </c>
      <c r="Q170" s="3">
        <v>-110.94499999999999</v>
      </c>
      <c r="R170" s="4" t="s">
        <v>129</v>
      </c>
      <c r="S170" s="4" t="s">
        <v>124</v>
      </c>
      <c r="T170" s="3">
        <v>4</v>
      </c>
      <c r="U170" s="3">
        <v>1</v>
      </c>
      <c r="V170" s="3">
        <v>2</v>
      </c>
      <c r="W170" s="3">
        <v>2</v>
      </c>
      <c r="X170" s="3">
        <v>1</v>
      </c>
      <c r="Y170" s="3">
        <v>1</v>
      </c>
      <c r="Z170" s="3">
        <v>1</v>
      </c>
      <c r="AA170" s="3">
        <v>1</v>
      </c>
      <c r="AB170" s="4" t="s">
        <v>122</v>
      </c>
      <c r="AC170" s="4" t="s">
        <v>122</v>
      </c>
      <c r="AD170" s="4" t="s">
        <v>122</v>
      </c>
      <c r="AE170" s="4" t="s">
        <v>122</v>
      </c>
      <c r="AF170" s="4" t="s">
        <v>122</v>
      </c>
      <c r="AG170" s="3">
        <v>2</v>
      </c>
      <c r="AH170" s="3">
        <v>2</v>
      </c>
      <c r="AI170" s="3">
        <v>3</v>
      </c>
      <c r="AJ170" s="3">
        <v>9</v>
      </c>
      <c r="AK170" s="3">
        <v>9</v>
      </c>
      <c r="AL170" s="3">
        <v>7</v>
      </c>
      <c r="AM170" s="3">
        <v>9</v>
      </c>
      <c r="AN170" s="3">
        <v>6</v>
      </c>
      <c r="AO170" s="3">
        <v>2</v>
      </c>
      <c r="AP170" s="3">
        <v>3</v>
      </c>
      <c r="AQ170" s="4">
        <v>5</v>
      </c>
      <c r="AR170" s="4">
        <v>3</v>
      </c>
      <c r="AS170" s="3">
        <v>4</v>
      </c>
      <c r="AT170" s="3">
        <v>6</v>
      </c>
      <c r="AU170" s="3">
        <v>5</v>
      </c>
      <c r="AV170" s="3">
        <v>4</v>
      </c>
      <c r="AW170" s="3">
        <v>4</v>
      </c>
      <c r="AX170" s="3">
        <v>5</v>
      </c>
      <c r="AY170" s="3">
        <v>4</v>
      </c>
      <c r="AZ170" s="4">
        <v>2</v>
      </c>
      <c r="BA170" s="4">
        <v>3</v>
      </c>
      <c r="BB170" s="3">
        <v>0</v>
      </c>
      <c r="BC170" s="3">
        <v>0</v>
      </c>
      <c r="BD170" s="3">
        <v>3</v>
      </c>
      <c r="BE170" s="3" t="s">
        <v>122</v>
      </c>
      <c r="BF170" s="3" t="s">
        <v>122</v>
      </c>
      <c r="BG170" s="3" t="s">
        <v>122</v>
      </c>
      <c r="BH170" s="3" t="s">
        <v>122</v>
      </c>
      <c r="BI170" s="3" t="s">
        <v>122</v>
      </c>
      <c r="BJ170" s="3" t="s">
        <v>122</v>
      </c>
      <c r="BK170" s="3" t="s">
        <v>122</v>
      </c>
      <c r="BL170" s="3" t="s">
        <v>122</v>
      </c>
      <c r="BM170" s="3" t="s">
        <v>122</v>
      </c>
      <c r="BN170" s="3">
        <v>1</v>
      </c>
      <c r="BO170" s="3" t="s">
        <v>122</v>
      </c>
      <c r="BP170" s="3" t="s">
        <v>122</v>
      </c>
      <c r="BQ170" s="3" t="s">
        <v>122</v>
      </c>
      <c r="BR170" s="3" t="s">
        <v>122</v>
      </c>
      <c r="BS170" s="3" t="s">
        <v>122</v>
      </c>
      <c r="BT170" s="3" t="s">
        <v>122</v>
      </c>
      <c r="BU170" s="3" t="s">
        <v>122</v>
      </c>
      <c r="BV170" s="3" t="s">
        <v>122</v>
      </c>
      <c r="BW170" s="3" t="s">
        <v>122</v>
      </c>
      <c r="BX170" s="3" t="s">
        <v>122</v>
      </c>
      <c r="BY170" s="3" t="s">
        <v>122</v>
      </c>
      <c r="BZ170" s="3" t="s">
        <v>122</v>
      </c>
      <c r="CA170" s="3" t="s">
        <v>122</v>
      </c>
      <c r="CB170" s="3" t="s">
        <v>122</v>
      </c>
      <c r="CC170" s="3" t="s">
        <v>122</v>
      </c>
      <c r="CD170" s="3" t="s">
        <v>122</v>
      </c>
      <c r="CE170" s="3" t="s">
        <v>122</v>
      </c>
      <c r="CF170" s="3">
        <v>2</v>
      </c>
      <c r="CG170" s="4" t="s">
        <v>122</v>
      </c>
      <c r="CH170" s="3">
        <v>2</v>
      </c>
      <c r="CI170" s="4" t="s">
        <v>122</v>
      </c>
      <c r="CJ170" s="4" t="s">
        <v>122</v>
      </c>
      <c r="CK170" s="4" t="s">
        <v>122</v>
      </c>
      <c r="CL170" s="4" t="s">
        <v>122</v>
      </c>
      <c r="CM170" s="4" t="s">
        <v>122</v>
      </c>
      <c r="CN170" s="4" t="s">
        <v>122</v>
      </c>
      <c r="CO170" s="4" t="s">
        <v>125</v>
      </c>
      <c r="CP170" s="4" t="s">
        <v>122</v>
      </c>
      <c r="CQ170" s="4" t="s">
        <v>122</v>
      </c>
      <c r="CR170" s="4" t="s">
        <v>122</v>
      </c>
      <c r="CS170" s="3">
        <v>3</v>
      </c>
      <c r="CT170" s="3">
        <v>1</v>
      </c>
      <c r="CU170" s="42">
        <v>1</v>
      </c>
      <c r="CV170" cm="1">
        <f t="array" ref="CV170">_xlfn.IFS(CU170*1=2,1,CU170*1=4,1,TRUE,0)</f>
        <v>0</v>
      </c>
      <c r="CW170" cm="1">
        <f t="array" ref="CW170">_xlfn.IFS(CU170*1=1,1,CU170*1=2,1,TRUE,0)</f>
        <v>1</v>
      </c>
      <c r="CX170" s="3">
        <f t="shared" si="19"/>
        <v>0</v>
      </c>
      <c r="CY170" s="3">
        <f t="shared" si="20"/>
        <v>0</v>
      </c>
      <c r="CZ170" s="3" cm="1">
        <f t="array" ref="CZ170">_xlfn.IFS(BP170&lt;&gt;"", BP170, CV170=1,  AQ170, CV170=0,  AZ170)</f>
        <v>2</v>
      </c>
      <c r="DA170" s="36" cm="1">
        <f t="array" ref="DA170">_xlfn.IFS(BO170&lt;&gt;"", BO170, CV170=0,  AQ170, CV170=1,  AZ170)</f>
        <v>5</v>
      </c>
      <c r="DB170" s="36">
        <f t="shared" si="21"/>
        <v>-2</v>
      </c>
      <c r="DC170" s="3">
        <f t="shared" si="22"/>
        <v>-2</v>
      </c>
      <c r="DD170" s="3">
        <f t="shared" si="23"/>
        <v>0</v>
      </c>
      <c r="DE170" s="3">
        <f t="shared" si="24"/>
        <v>-2</v>
      </c>
      <c r="DF170" s="3">
        <f t="shared" si="25"/>
        <v>3</v>
      </c>
      <c r="DG170" s="3">
        <f t="shared" si="26"/>
        <v>-2</v>
      </c>
    </row>
    <row r="171" spans="1:111" x14ac:dyDescent="0.4">
      <c r="A171" s="3">
        <v>202503</v>
      </c>
      <c r="B171" s="3">
        <v>222</v>
      </c>
      <c r="C171" s="5">
        <v>45735.562719907408</v>
      </c>
      <c r="D171" s="5">
        <v>45735.567858796298</v>
      </c>
      <c r="E171" s="3">
        <v>0</v>
      </c>
      <c r="F171" s="4" t="s">
        <v>539</v>
      </c>
      <c r="G171" s="3">
        <v>100</v>
      </c>
      <c r="H171" s="3">
        <v>443</v>
      </c>
      <c r="I171" s="3">
        <v>1</v>
      </c>
      <c r="J171" s="5">
        <v>45735.567868854167</v>
      </c>
      <c r="K171" s="4" t="s">
        <v>540</v>
      </c>
      <c r="L171" s="4" t="s">
        <v>122</v>
      </c>
      <c r="M171" s="4" t="s">
        <v>122</v>
      </c>
      <c r="N171" s="4" t="s">
        <v>122</v>
      </c>
      <c r="O171" s="4" t="s">
        <v>122</v>
      </c>
      <c r="P171" s="3">
        <v>33.453200000000002</v>
      </c>
      <c r="Q171" s="3">
        <v>-112.0748</v>
      </c>
      <c r="R171" s="4" t="s">
        <v>129</v>
      </c>
      <c r="S171" s="4" t="s">
        <v>124</v>
      </c>
      <c r="T171" s="3">
        <v>4</v>
      </c>
      <c r="U171" s="3">
        <v>1</v>
      </c>
      <c r="V171" s="3">
        <v>3</v>
      </c>
      <c r="W171" s="3">
        <v>3</v>
      </c>
      <c r="X171" s="3">
        <v>3</v>
      </c>
      <c r="Y171" s="3">
        <v>3</v>
      </c>
      <c r="Z171" s="3">
        <v>3</v>
      </c>
      <c r="AA171" s="3">
        <v>3</v>
      </c>
      <c r="AB171" s="4" t="s">
        <v>122</v>
      </c>
      <c r="AC171" s="4" t="s">
        <v>122</v>
      </c>
      <c r="AD171" s="4" t="s">
        <v>122</v>
      </c>
      <c r="AE171" s="4" t="s">
        <v>122</v>
      </c>
      <c r="AF171" s="4" t="s">
        <v>125</v>
      </c>
      <c r="AG171" s="3">
        <v>3</v>
      </c>
      <c r="AH171" s="3">
        <v>5</v>
      </c>
      <c r="AI171" s="4">
        <v>2</v>
      </c>
      <c r="AJ171" s="3">
        <v>6</v>
      </c>
      <c r="AK171" s="3">
        <v>6</v>
      </c>
      <c r="AL171" s="3">
        <v>6</v>
      </c>
      <c r="AM171" s="3">
        <v>6</v>
      </c>
      <c r="AN171" s="3">
        <v>7</v>
      </c>
      <c r="AO171" s="3">
        <v>2</v>
      </c>
      <c r="AP171" s="3">
        <v>2</v>
      </c>
      <c r="AQ171" s="4">
        <v>4</v>
      </c>
      <c r="AR171" s="4">
        <v>2</v>
      </c>
      <c r="AS171" s="3">
        <v>5</v>
      </c>
      <c r="AT171" s="3">
        <v>5</v>
      </c>
      <c r="AU171" s="3">
        <v>5</v>
      </c>
      <c r="AV171" s="3">
        <v>5</v>
      </c>
      <c r="AW171" s="3">
        <v>4</v>
      </c>
      <c r="AX171" s="3">
        <v>1</v>
      </c>
      <c r="AY171" s="3">
        <v>2</v>
      </c>
      <c r="AZ171" s="4">
        <v>4</v>
      </c>
      <c r="BA171" s="4">
        <v>2</v>
      </c>
      <c r="BB171" s="3">
        <v>4</v>
      </c>
      <c r="BC171" s="3">
        <v>4.5</v>
      </c>
      <c r="BD171" s="3">
        <v>2</v>
      </c>
      <c r="BE171" s="3" t="s">
        <v>122</v>
      </c>
      <c r="BF171" s="3" t="s">
        <v>122</v>
      </c>
      <c r="BG171" s="3" t="s">
        <v>122</v>
      </c>
      <c r="BH171" s="3" t="s">
        <v>122</v>
      </c>
      <c r="BI171" s="3" t="s">
        <v>122</v>
      </c>
      <c r="BJ171" s="3" t="s">
        <v>122</v>
      </c>
      <c r="BK171" s="3" t="s">
        <v>122</v>
      </c>
      <c r="BL171" s="3" t="s">
        <v>122</v>
      </c>
      <c r="BM171" s="3" t="s">
        <v>122</v>
      </c>
      <c r="BN171" s="3">
        <v>4</v>
      </c>
      <c r="BO171" s="3" t="s">
        <v>122</v>
      </c>
      <c r="BP171" s="3" t="s">
        <v>122</v>
      </c>
      <c r="BQ171" s="3" t="s">
        <v>122</v>
      </c>
      <c r="BR171" s="3" t="s">
        <v>122</v>
      </c>
      <c r="BS171" s="3" t="s">
        <v>122</v>
      </c>
      <c r="BT171" s="3" t="s">
        <v>122</v>
      </c>
      <c r="BU171" s="3" t="s">
        <v>122</v>
      </c>
      <c r="BV171" s="3" t="s">
        <v>122</v>
      </c>
      <c r="BW171" s="3" t="s">
        <v>122</v>
      </c>
      <c r="BX171" s="3" t="s">
        <v>122</v>
      </c>
      <c r="BY171" s="3" t="s">
        <v>122</v>
      </c>
      <c r="BZ171" s="3" t="s">
        <v>122</v>
      </c>
      <c r="CA171" s="3" t="s">
        <v>122</v>
      </c>
      <c r="CB171" s="3" t="s">
        <v>122</v>
      </c>
      <c r="CC171" s="3" t="s">
        <v>122</v>
      </c>
      <c r="CD171" s="3" t="s">
        <v>122</v>
      </c>
      <c r="CE171" s="3" t="s">
        <v>122</v>
      </c>
      <c r="CF171" s="3">
        <v>-999</v>
      </c>
      <c r="CG171" s="4" t="s">
        <v>122</v>
      </c>
      <c r="CH171" s="3">
        <v>5</v>
      </c>
      <c r="CI171" s="4" t="s">
        <v>122</v>
      </c>
      <c r="CJ171" s="4" t="s">
        <v>122</v>
      </c>
      <c r="CK171" s="4" t="s">
        <v>122</v>
      </c>
      <c r="CL171" s="4" t="s">
        <v>122</v>
      </c>
      <c r="CM171" s="4" t="s">
        <v>122</v>
      </c>
      <c r="CN171" s="4" t="s">
        <v>122</v>
      </c>
      <c r="CO171" s="4" t="s">
        <v>122</v>
      </c>
      <c r="CP171" s="4" t="s">
        <v>125</v>
      </c>
      <c r="CQ171" s="4" t="s">
        <v>122</v>
      </c>
      <c r="CR171" s="4" t="s">
        <v>122</v>
      </c>
      <c r="CS171" s="3">
        <v>3</v>
      </c>
      <c r="CT171" s="3">
        <v>1</v>
      </c>
      <c r="CU171" s="42">
        <v>2</v>
      </c>
      <c r="CV171" cm="1">
        <f t="array" ref="CV171">_xlfn.IFS(CU171*1=2,1,CU171*1=4,1,TRUE,0)</f>
        <v>1</v>
      </c>
      <c r="CW171" cm="1">
        <f t="array" ref="CW171">_xlfn.IFS(CU171*1=1,1,CU171*1=2,1,TRUE,0)</f>
        <v>1</v>
      </c>
      <c r="CX171" s="3">
        <f t="shared" si="19"/>
        <v>4</v>
      </c>
      <c r="CY171" s="3">
        <f t="shared" si="20"/>
        <v>4.5</v>
      </c>
      <c r="CZ171" s="3" cm="1">
        <f t="array" ref="CZ171">_xlfn.IFS(BP171&lt;&gt;"", BP171, CV171=1,  AQ171, CV171=0,  AZ171)</f>
        <v>4</v>
      </c>
      <c r="DA171" s="36" cm="1">
        <f t="array" ref="DA171">_xlfn.IFS(BO171&lt;&gt;"", BO171, CV171=0,  AQ171, CV171=1,  AZ171)</f>
        <v>4</v>
      </c>
      <c r="DB171" s="36">
        <f t="shared" si="21"/>
        <v>-0.5</v>
      </c>
      <c r="DC171" s="3">
        <f t="shared" si="22"/>
        <v>-1</v>
      </c>
      <c r="DD171" s="3">
        <f t="shared" si="23"/>
        <v>-1</v>
      </c>
      <c r="DE171" s="3">
        <f t="shared" si="24"/>
        <v>-0.5</v>
      </c>
      <c r="DF171" s="3">
        <f t="shared" si="25"/>
        <v>-1</v>
      </c>
      <c r="DG171" s="3">
        <f t="shared" si="26"/>
        <v>-1</v>
      </c>
    </row>
    <row r="172" spans="1:111" x14ac:dyDescent="0.4">
      <c r="A172" s="3">
        <v>202503</v>
      </c>
      <c r="B172" s="3">
        <v>222</v>
      </c>
      <c r="C172" s="5">
        <v>45735.568703703706</v>
      </c>
      <c r="D172" s="5">
        <v>45735.574016203704</v>
      </c>
      <c r="E172" s="3">
        <v>0</v>
      </c>
      <c r="F172" s="4" t="s">
        <v>543</v>
      </c>
      <c r="G172" s="3">
        <v>100</v>
      </c>
      <c r="H172" s="3">
        <v>458</v>
      </c>
      <c r="I172" s="3">
        <v>1</v>
      </c>
      <c r="J172" s="5">
        <v>45735.574022152781</v>
      </c>
      <c r="K172" s="4" t="s">
        <v>544</v>
      </c>
      <c r="L172" s="4" t="s">
        <v>122</v>
      </c>
      <c r="M172" s="4" t="s">
        <v>122</v>
      </c>
      <c r="N172" s="4" t="s">
        <v>122</v>
      </c>
      <c r="O172" s="4" t="s">
        <v>122</v>
      </c>
      <c r="P172" s="3">
        <v>32.145299999999999</v>
      </c>
      <c r="Q172" s="3">
        <v>-110.9456</v>
      </c>
      <c r="R172" s="4" t="s">
        <v>129</v>
      </c>
      <c r="S172" s="4" t="s">
        <v>124</v>
      </c>
      <c r="T172" s="3">
        <v>4</v>
      </c>
      <c r="U172" s="3">
        <v>1</v>
      </c>
      <c r="V172" s="3">
        <v>4</v>
      </c>
      <c r="W172" s="3">
        <v>2</v>
      </c>
      <c r="X172" s="3">
        <v>3</v>
      </c>
      <c r="Y172" s="3">
        <v>5</v>
      </c>
      <c r="Z172" s="3">
        <v>5</v>
      </c>
      <c r="AA172" s="3">
        <v>5</v>
      </c>
      <c r="AB172" s="4" t="s">
        <v>122</v>
      </c>
      <c r="AC172" s="4" t="s">
        <v>125</v>
      </c>
      <c r="AD172" s="4" t="s">
        <v>122</v>
      </c>
      <c r="AE172" s="4" t="s">
        <v>122</v>
      </c>
      <c r="AF172" s="4" t="s">
        <v>125</v>
      </c>
      <c r="AG172" s="3">
        <v>2</v>
      </c>
      <c r="AH172" s="3">
        <v>6</v>
      </c>
      <c r="AI172" s="3">
        <v>3</v>
      </c>
      <c r="AJ172" s="3">
        <v>8</v>
      </c>
      <c r="AK172" s="3">
        <v>8</v>
      </c>
      <c r="AL172" s="3">
        <v>8</v>
      </c>
      <c r="AM172" s="3">
        <v>8</v>
      </c>
      <c r="AN172" s="3">
        <v>7</v>
      </c>
      <c r="AO172" s="3">
        <v>3</v>
      </c>
      <c r="AP172" s="3">
        <v>3</v>
      </c>
      <c r="AQ172" s="3" t="s">
        <v>122</v>
      </c>
      <c r="AR172" s="4" t="s">
        <v>122</v>
      </c>
      <c r="AS172" s="3">
        <v>9</v>
      </c>
      <c r="AT172" s="3">
        <v>8</v>
      </c>
      <c r="AU172" s="3">
        <v>8</v>
      </c>
      <c r="AV172" s="3">
        <v>8</v>
      </c>
      <c r="AW172" s="3">
        <v>8</v>
      </c>
      <c r="AX172" s="3">
        <v>3</v>
      </c>
      <c r="AY172" s="3">
        <v>3</v>
      </c>
      <c r="AZ172" s="3" t="s">
        <v>122</v>
      </c>
      <c r="BA172" s="3" t="s">
        <v>122</v>
      </c>
      <c r="BB172" s="3" t="s">
        <v>122</v>
      </c>
      <c r="BC172" s="3" t="s">
        <v>122</v>
      </c>
      <c r="BD172" s="3" t="s">
        <v>122</v>
      </c>
      <c r="BE172" s="3" t="s">
        <v>122</v>
      </c>
      <c r="BF172" s="3" t="s">
        <v>122</v>
      </c>
      <c r="BG172" s="3" t="s">
        <v>122</v>
      </c>
      <c r="BH172" s="3" t="s">
        <v>122</v>
      </c>
      <c r="BI172" s="3" t="s">
        <v>122</v>
      </c>
      <c r="BJ172" s="3" t="s">
        <v>122</v>
      </c>
      <c r="BK172" s="3" t="s">
        <v>122</v>
      </c>
      <c r="BL172" s="3" t="s">
        <v>122</v>
      </c>
      <c r="BM172" s="3" t="s">
        <v>122</v>
      </c>
      <c r="BN172" s="3" t="s">
        <v>122</v>
      </c>
      <c r="BO172" s="3">
        <v>6</v>
      </c>
      <c r="BP172" s="3">
        <v>6</v>
      </c>
      <c r="BQ172" s="3">
        <v>3</v>
      </c>
      <c r="BR172" s="3" t="s">
        <v>122</v>
      </c>
      <c r="BS172" s="3" t="s">
        <v>122</v>
      </c>
      <c r="BT172" s="3" t="s">
        <v>122</v>
      </c>
      <c r="BU172" s="3" t="s">
        <v>122</v>
      </c>
      <c r="BV172" s="3" t="s">
        <v>122</v>
      </c>
      <c r="BW172" s="3" t="s">
        <v>122</v>
      </c>
      <c r="BX172" s="3" t="s">
        <v>122</v>
      </c>
      <c r="BY172" s="3" t="s">
        <v>122</v>
      </c>
      <c r="BZ172" s="3" t="s">
        <v>122</v>
      </c>
      <c r="CA172" s="3">
        <v>3</v>
      </c>
      <c r="CB172" s="3">
        <v>6</v>
      </c>
      <c r="CC172" s="3">
        <v>3</v>
      </c>
      <c r="CD172" s="3">
        <v>6</v>
      </c>
      <c r="CE172" s="3">
        <v>3</v>
      </c>
      <c r="CF172" s="3">
        <v>2</v>
      </c>
      <c r="CG172" s="4" t="s">
        <v>122</v>
      </c>
      <c r="CH172" s="3">
        <v>4</v>
      </c>
      <c r="CI172" s="4" t="s">
        <v>122</v>
      </c>
      <c r="CJ172" s="4" t="s">
        <v>122</v>
      </c>
      <c r="CK172" s="4" t="s">
        <v>122</v>
      </c>
      <c r="CL172" s="4" t="s">
        <v>125</v>
      </c>
      <c r="CM172" s="4" t="s">
        <v>122</v>
      </c>
      <c r="CN172" s="4" t="s">
        <v>122</v>
      </c>
      <c r="CO172" s="4" t="s">
        <v>122</v>
      </c>
      <c r="CP172" s="4" t="s">
        <v>122</v>
      </c>
      <c r="CQ172" s="4" t="s">
        <v>122</v>
      </c>
      <c r="CR172" s="4" t="s">
        <v>122</v>
      </c>
      <c r="CS172" s="3">
        <v>4</v>
      </c>
      <c r="CT172" s="3">
        <v>5</v>
      </c>
      <c r="CU172" s="42">
        <v>4</v>
      </c>
      <c r="CV172" cm="1">
        <f t="array" ref="CV172">_xlfn.IFS(CU172*1=2,1,CU172*1=4,1,TRUE,0)</f>
        <v>1</v>
      </c>
      <c r="CW172" cm="1">
        <f t="array" ref="CW172">_xlfn.IFS(CU172*1=1,1,CU172*1=2,1,TRUE,0)</f>
        <v>0</v>
      </c>
      <c r="CX172" s="3">
        <f t="shared" si="19"/>
        <v>6</v>
      </c>
      <c r="CY172" s="3">
        <f t="shared" si="20"/>
        <v>6</v>
      </c>
      <c r="CZ172" s="3" cm="1">
        <f t="array" ref="CZ172">_xlfn.IFS(BP172&lt;&gt;"", BP172, CV172=1,  AQ172, CV172=0,  AZ172)</f>
        <v>6</v>
      </c>
      <c r="DA172" s="36" cm="1">
        <f t="array" ref="DA172">_xlfn.IFS(BO172&lt;&gt;"", BO172, CV172=0,  AQ172, CV172=1,  AZ172)</f>
        <v>6</v>
      </c>
      <c r="DB172" s="36">
        <f t="shared" si="21"/>
        <v>0</v>
      </c>
      <c r="DC172" s="3">
        <f t="shared" si="22"/>
        <v>0</v>
      </c>
      <c r="DD172" s="3">
        <f t="shared" si="23"/>
        <v>0</v>
      </c>
      <c r="DE172" s="3">
        <f t="shared" si="24"/>
        <v>0</v>
      </c>
      <c r="DF172" s="3">
        <f t="shared" si="25"/>
        <v>0</v>
      </c>
      <c r="DG172" s="3">
        <f t="shared" si="26"/>
        <v>0</v>
      </c>
    </row>
    <row r="173" spans="1:111" x14ac:dyDescent="0.4">
      <c r="A173" s="3">
        <v>202503</v>
      </c>
      <c r="B173" s="3">
        <v>222</v>
      </c>
      <c r="C173" s="5">
        <v>45735.571145833332</v>
      </c>
      <c r="D173" s="5">
        <v>45735.577337962961</v>
      </c>
      <c r="E173" s="3">
        <v>0</v>
      </c>
      <c r="F173" s="4" t="s">
        <v>545</v>
      </c>
      <c r="G173" s="3">
        <v>100</v>
      </c>
      <c r="H173" s="3">
        <v>534</v>
      </c>
      <c r="I173" s="3">
        <v>1</v>
      </c>
      <c r="J173" s="5">
        <v>45735.577345150465</v>
      </c>
      <c r="K173" s="4" t="s">
        <v>546</v>
      </c>
      <c r="L173" s="4" t="s">
        <v>122</v>
      </c>
      <c r="M173" s="4" t="s">
        <v>122</v>
      </c>
      <c r="N173" s="4" t="s">
        <v>122</v>
      </c>
      <c r="O173" s="4" t="s">
        <v>122</v>
      </c>
      <c r="P173" s="3">
        <v>33.453200000000002</v>
      </c>
      <c r="Q173" s="3">
        <v>-112.0748</v>
      </c>
      <c r="R173" s="4" t="s">
        <v>129</v>
      </c>
      <c r="S173" s="4" t="s">
        <v>124</v>
      </c>
      <c r="T173" s="3">
        <v>4</v>
      </c>
      <c r="U173" s="3">
        <v>1</v>
      </c>
      <c r="V173" s="3">
        <v>4</v>
      </c>
      <c r="W173" s="3">
        <v>4</v>
      </c>
      <c r="X173" s="3">
        <v>1</v>
      </c>
      <c r="Y173" s="3">
        <v>1</v>
      </c>
      <c r="Z173" s="3">
        <v>1</v>
      </c>
      <c r="AA173" s="3">
        <v>1</v>
      </c>
      <c r="AB173" s="4" t="s">
        <v>122</v>
      </c>
      <c r="AC173" s="4" t="s">
        <v>122</v>
      </c>
      <c r="AD173" s="4" t="s">
        <v>122</v>
      </c>
      <c r="AE173" s="4" t="s">
        <v>122</v>
      </c>
      <c r="AF173" s="4" t="s">
        <v>122</v>
      </c>
      <c r="AG173" s="3">
        <v>2</v>
      </c>
      <c r="AH173" s="3">
        <v>2</v>
      </c>
      <c r="AI173" s="3">
        <v>3</v>
      </c>
      <c r="AJ173" s="3">
        <v>6</v>
      </c>
      <c r="AK173" s="3">
        <v>6</v>
      </c>
      <c r="AL173" s="3">
        <v>6</v>
      </c>
      <c r="AM173" s="3">
        <v>6</v>
      </c>
      <c r="AN173" s="3">
        <v>7</v>
      </c>
      <c r="AO173" s="3">
        <v>1</v>
      </c>
      <c r="AP173" s="3">
        <v>2</v>
      </c>
      <c r="AQ173" s="4" t="s">
        <v>122</v>
      </c>
      <c r="AR173" s="4" t="s">
        <v>122</v>
      </c>
      <c r="AS173" s="3">
        <v>6</v>
      </c>
      <c r="AT173" s="3">
        <v>7</v>
      </c>
      <c r="AU173" s="3">
        <v>6</v>
      </c>
      <c r="AV173" s="3">
        <v>7</v>
      </c>
      <c r="AW173" s="3">
        <v>6</v>
      </c>
      <c r="AX173" s="3">
        <v>2</v>
      </c>
      <c r="AY173" s="3">
        <v>3</v>
      </c>
      <c r="AZ173" s="4" t="s">
        <v>122</v>
      </c>
      <c r="BA173" s="4" t="s">
        <v>122</v>
      </c>
      <c r="BB173" s="3" t="s">
        <v>122</v>
      </c>
      <c r="BC173" s="3" t="s">
        <v>122</v>
      </c>
      <c r="BD173" s="3" t="s">
        <v>122</v>
      </c>
      <c r="BE173" s="3" t="s">
        <v>122</v>
      </c>
      <c r="BF173" s="3" t="s">
        <v>122</v>
      </c>
      <c r="BG173" s="3" t="s">
        <v>122</v>
      </c>
      <c r="BH173" s="3" t="s">
        <v>122</v>
      </c>
      <c r="BI173" s="3" t="s">
        <v>122</v>
      </c>
      <c r="BJ173" s="3" t="s">
        <v>122</v>
      </c>
      <c r="BK173" s="3" t="s">
        <v>122</v>
      </c>
      <c r="BL173" s="3" t="s">
        <v>122</v>
      </c>
      <c r="BM173" s="3" t="s">
        <v>122</v>
      </c>
      <c r="BN173" s="3" t="s">
        <v>122</v>
      </c>
      <c r="BO173" s="3">
        <v>2</v>
      </c>
      <c r="BP173" s="3">
        <v>2</v>
      </c>
      <c r="BQ173" s="3">
        <v>3</v>
      </c>
      <c r="BR173" s="3" t="s">
        <v>122</v>
      </c>
      <c r="BS173" s="3" t="s">
        <v>122</v>
      </c>
      <c r="BT173" s="3" t="s">
        <v>122</v>
      </c>
      <c r="BU173" s="3" t="s">
        <v>122</v>
      </c>
      <c r="BV173" s="3" t="s">
        <v>122</v>
      </c>
      <c r="BW173" s="3" t="s">
        <v>122</v>
      </c>
      <c r="BX173" s="3" t="s">
        <v>122</v>
      </c>
      <c r="BY173" s="3" t="s">
        <v>122</v>
      </c>
      <c r="BZ173" s="3" t="s">
        <v>122</v>
      </c>
      <c r="CA173" s="3">
        <v>4</v>
      </c>
      <c r="CB173" s="3">
        <v>2</v>
      </c>
      <c r="CC173" s="3">
        <v>3</v>
      </c>
      <c r="CD173" s="3">
        <v>2</v>
      </c>
      <c r="CE173" s="3">
        <v>3</v>
      </c>
      <c r="CF173" s="3">
        <v>1</v>
      </c>
      <c r="CG173" s="4" t="s">
        <v>122</v>
      </c>
      <c r="CH173" s="3">
        <v>2</v>
      </c>
      <c r="CI173" s="4" t="s">
        <v>122</v>
      </c>
      <c r="CJ173" s="4" t="s">
        <v>122</v>
      </c>
      <c r="CK173" s="4" t="s">
        <v>122</v>
      </c>
      <c r="CL173" s="4" t="s">
        <v>122</v>
      </c>
      <c r="CM173" s="4" t="s">
        <v>122</v>
      </c>
      <c r="CN173" s="4" t="s">
        <v>122</v>
      </c>
      <c r="CO173" s="4" t="s">
        <v>125</v>
      </c>
      <c r="CP173" s="4" t="s">
        <v>122</v>
      </c>
      <c r="CQ173" s="4" t="s">
        <v>122</v>
      </c>
      <c r="CR173" s="4" t="s">
        <v>122</v>
      </c>
      <c r="CS173" s="3">
        <v>4</v>
      </c>
      <c r="CT173" s="3">
        <v>2</v>
      </c>
      <c r="CU173" s="42">
        <v>3</v>
      </c>
      <c r="CV173" cm="1">
        <f t="array" ref="CV173">_xlfn.IFS(CU173*1=2,1,CU173*1=4,1,TRUE,0)</f>
        <v>0</v>
      </c>
      <c r="CW173" cm="1">
        <f t="array" ref="CW173">_xlfn.IFS(CU173*1=1,1,CU173*1=2,1,TRUE,0)</f>
        <v>0</v>
      </c>
      <c r="CX173" s="3">
        <f t="shared" si="19"/>
        <v>2</v>
      </c>
      <c r="CY173" s="3">
        <f t="shared" si="20"/>
        <v>2</v>
      </c>
      <c r="CZ173" s="3" cm="1">
        <f t="array" ref="CZ173">_xlfn.IFS(BP173&lt;&gt;"", BP173, CV173=1,  AQ173, CV173=0,  AZ173)</f>
        <v>2</v>
      </c>
      <c r="DA173" s="36" cm="1">
        <f t="array" ref="DA173">_xlfn.IFS(BO173&lt;&gt;"", BO173, CV173=0,  AQ173, CV173=1,  AZ173)</f>
        <v>2</v>
      </c>
      <c r="DB173" s="36">
        <f t="shared" si="21"/>
        <v>0</v>
      </c>
      <c r="DC173" s="3">
        <f t="shared" si="22"/>
        <v>0</v>
      </c>
      <c r="DD173" s="3">
        <f t="shared" si="23"/>
        <v>0</v>
      </c>
      <c r="DE173" s="3">
        <f t="shared" si="24"/>
        <v>0</v>
      </c>
      <c r="DF173" s="3">
        <f t="shared" si="25"/>
        <v>0</v>
      </c>
      <c r="DG173" s="3">
        <f t="shared" si="26"/>
        <v>0</v>
      </c>
    </row>
    <row r="174" spans="1:111" x14ac:dyDescent="0.4">
      <c r="A174" s="3">
        <v>202503</v>
      </c>
      <c r="B174" s="3">
        <v>222</v>
      </c>
      <c r="C174" s="5">
        <v>45735.574583333335</v>
      </c>
      <c r="D174" s="5">
        <v>45735.579259259262</v>
      </c>
      <c r="E174" s="3">
        <v>0</v>
      </c>
      <c r="F174" s="4" t="s">
        <v>541</v>
      </c>
      <c r="G174" s="3">
        <v>100</v>
      </c>
      <c r="H174" s="3">
        <v>403</v>
      </c>
      <c r="I174" s="3">
        <v>1</v>
      </c>
      <c r="J174" s="5">
        <v>45735.579266400462</v>
      </c>
      <c r="K174" s="4" t="s">
        <v>547</v>
      </c>
      <c r="L174" s="4" t="s">
        <v>122</v>
      </c>
      <c r="M174" s="4" t="s">
        <v>122</v>
      </c>
      <c r="N174" s="4" t="s">
        <v>122</v>
      </c>
      <c r="O174" s="4" t="s">
        <v>122</v>
      </c>
      <c r="P174" s="3">
        <v>32.250300000000003</v>
      </c>
      <c r="Q174" s="3">
        <v>-110.94499999999999</v>
      </c>
      <c r="R174" s="4" t="s">
        <v>129</v>
      </c>
      <c r="S174" s="4" t="s">
        <v>124</v>
      </c>
      <c r="T174" s="3">
        <v>4</v>
      </c>
      <c r="U174" s="3">
        <v>1</v>
      </c>
      <c r="V174" s="3">
        <v>2</v>
      </c>
      <c r="W174" s="3">
        <v>2</v>
      </c>
      <c r="X174" s="3">
        <v>1</v>
      </c>
      <c r="Y174" s="3">
        <v>1</v>
      </c>
      <c r="Z174" s="3">
        <v>1</v>
      </c>
      <c r="AA174" s="3">
        <v>1</v>
      </c>
      <c r="AB174" s="4" t="s">
        <v>122</v>
      </c>
      <c r="AC174" s="4" t="s">
        <v>122</v>
      </c>
      <c r="AD174" s="4" t="s">
        <v>122</v>
      </c>
      <c r="AE174" s="4" t="s">
        <v>122</v>
      </c>
      <c r="AF174" s="4" t="s">
        <v>122</v>
      </c>
      <c r="AG174" s="3">
        <v>2</v>
      </c>
      <c r="AH174" s="3">
        <v>0</v>
      </c>
      <c r="AI174" s="3" t="s">
        <v>122</v>
      </c>
      <c r="AJ174" s="3">
        <v>6</v>
      </c>
      <c r="AK174" s="3">
        <v>8</v>
      </c>
      <c r="AL174" s="3">
        <v>7</v>
      </c>
      <c r="AM174" s="3">
        <v>6</v>
      </c>
      <c r="AN174" s="3">
        <v>6</v>
      </c>
      <c r="AO174" s="3">
        <v>4</v>
      </c>
      <c r="AP174" s="3">
        <v>3</v>
      </c>
      <c r="AQ174" s="4" t="s">
        <v>122</v>
      </c>
      <c r="AR174" s="4" t="s">
        <v>122</v>
      </c>
      <c r="AS174" s="3">
        <v>3</v>
      </c>
      <c r="AT174" s="3">
        <v>7</v>
      </c>
      <c r="AU174" s="3">
        <v>3</v>
      </c>
      <c r="AV174" s="3">
        <v>4</v>
      </c>
      <c r="AW174" s="3">
        <v>4</v>
      </c>
      <c r="AX174" s="3">
        <v>3</v>
      </c>
      <c r="AY174" s="3">
        <v>2</v>
      </c>
      <c r="AZ174" s="4" t="s">
        <v>122</v>
      </c>
      <c r="BA174" s="4" t="s">
        <v>122</v>
      </c>
      <c r="BB174" s="3" t="s">
        <v>122</v>
      </c>
      <c r="BC174" s="3" t="s">
        <v>122</v>
      </c>
      <c r="BD174" s="3" t="s">
        <v>122</v>
      </c>
      <c r="BE174" s="3" t="s">
        <v>122</v>
      </c>
      <c r="BF174" s="3" t="s">
        <v>122</v>
      </c>
      <c r="BG174" s="3" t="s">
        <v>122</v>
      </c>
      <c r="BH174" s="3" t="s">
        <v>122</v>
      </c>
      <c r="BI174" s="3" t="s">
        <v>122</v>
      </c>
      <c r="BJ174" s="3" t="s">
        <v>122</v>
      </c>
      <c r="BK174" s="3" t="s">
        <v>122</v>
      </c>
      <c r="BL174" s="3" t="s">
        <v>122</v>
      </c>
      <c r="BM174" s="3" t="s">
        <v>122</v>
      </c>
      <c r="BN174" s="3" t="s">
        <v>122</v>
      </c>
      <c r="BO174" s="3">
        <v>0</v>
      </c>
      <c r="BP174" s="3">
        <v>0</v>
      </c>
      <c r="BQ174" s="3">
        <v>3</v>
      </c>
      <c r="BR174" s="3" t="s">
        <v>122</v>
      </c>
      <c r="BS174" s="3" t="s">
        <v>122</v>
      </c>
      <c r="BT174" s="3" t="s">
        <v>122</v>
      </c>
      <c r="BU174" s="3" t="s">
        <v>122</v>
      </c>
      <c r="BV174" s="3" t="s">
        <v>122</v>
      </c>
      <c r="BW174" s="3" t="s">
        <v>122</v>
      </c>
      <c r="BX174" s="3" t="s">
        <v>122</v>
      </c>
      <c r="BY174" s="3" t="s">
        <v>122</v>
      </c>
      <c r="BZ174" s="3" t="s">
        <v>122</v>
      </c>
      <c r="CA174" s="3" t="s">
        <v>122</v>
      </c>
      <c r="CB174" s="3">
        <v>0</v>
      </c>
      <c r="CC174" s="3" t="s">
        <v>122</v>
      </c>
      <c r="CD174" s="3">
        <v>0</v>
      </c>
      <c r="CE174" s="3" t="s">
        <v>122</v>
      </c>
      <c r="CF174" s="3">
        <v>1</v>
      </c>
      <c r="CG174" s="4" t="s">
        <v>122</v>
      </c>
      <c r="CH174" s="3">
        <v>3</v>
      </c>
      <c r="CI174" s="4" t="s">
        <v>122</v>
      </c>
      <c r="CJ174" s="4" t="s">
        <v>122</v>
      </c>
      <c r="CK174" s="4" t="s">
        <v>122</v>
      </c>
      <c r="CL174" s="4" t="s">
        <v>122</v>
      </c>
      <c r="CM174" s="4" t="s">
        <v>122</v>
      </c>
      <c r="CN174" s="4" t="s">
        <v>122</v>
      </c>
      <c r="CO174" s="4" t="s">
        <v>125</v>
      </c>
      <c r="CP174" s="4" t="s">
        <v>122</v>
      </c>
      <c r="CQ174" s="4" t="s">
        <v>122</v>
      </c>
      <c r="CR174" s="4" t="s">
        <v>122</v>
      </c>
      <c r="CS174" s="3">
        <v>5</v>
      </c>
      <c r="CT174" s="3">
        <v>4</v>
      </c>
      <c r="CU174" s="42">
        <v>4</v>
      </c>
      <c r="CV174" cm="1">
        <f t="array" ref="CV174">_xlfn.IFS(CU174*1=2,1,CU174*1=4,1,TRUE,0)</f>
        <v>1</v>
      </c>
      <c r="CW174" cm="1">
        <f t="array" ref="CW174">_xlfn.IFS(CU174*1=1,1,CU174*1=2,1,TRUE,0)</f>
        <v>0</v>
      </c>
      <c r="CX174" s="3">
        <f t="shared" si="19"/>
        <v>0</v>
      </c>
      <c r="CY174" s="3">
        <f t="shared" si="20"/>
        <v>0</v>
      </c>
      <c r="CZ174" s="3" cm="1">
        <f t="array" ref="CZ174">_xlfn.IFS(BP174&lt;&gt;"", BP174, CV174=1,  AQ174, CV174=0,  AZ174)</f>
        <v>0</v>
      </c>
      <c r="DA174" s="36" cm="1">
        <f t="array" ref="DA174">_xlfn.IFS(BO174&lt;&gt;"", BO174, CV174=0,  AQ174, CV174=1,  AZ174)</f>
        <v>0</v>
      </c>
      <c r="DB174" s="36">
        <f t="shared" si="21"/>
        <v>0</v>
      </c>
      <c r="DC174" s="3">
        <f t="shared" si="22"/>
        <v>0</v>
      </c>
      <c r="DD174" s="3">
        <f t="shared" si="23"/>
        <v>0</v>
      </c>
      <c r="DE174" s="3">
        <f t="shared" si="24"/>
        <v>0</v>
      </c>
      <c r="DF174" s="3">
        <f t="shared" si="25"/>
        <v>0</v>
      </c>
      <c r="DG174" s="3">
        <f t="shared" si="26"/>
        <v>0</v>
      </c>
    </row>
    <row r="175" spans="1:111" x14ac:dyDescent="0.4">
      <c r="A175" s="3">
        <v>202503</v>
      </c>
      <c r="B175" s="3">
        <v>222</v>
      </c>
      <c r="C175" s="5">
        <v>45735.586793981478</v>
      </c>
      <c r="D175" s="5">
        <v>45735.594375000001</v>
      </c>
      <c r="E175" s="3">
        <v>0</v>
      </c>
      <c r="F175" s="4" t="s">
        <v>548</v>
      </c>
      <c r="G175" s="3">
        <v>100</v>
      </c>
      <c r="H175" s="3">
        <v>655</v>
      </c>
      <c r="I175" s="3">
        <v>1</v>
      </c>
      <c r="J175" s="5">
        <v>45735.594393043983</v>
      </c>
      <c r="K175" s="4" t="s">
        <v>549</v>
      </c>
      <c r="L175" s="4" t="s">
        <v>122</v>
      </c>
      <c r="M175" s="4" t="s">
        <v>122</v>
      </c>
      <c r="N175" s="4" t="s">
        <v>122</v>
      </c>
      <c r="O175" s="4" t="s">
        <v>122</v>
      </c>
      <c r="P175" s="3">
        <v>32.145299999999999</v>
      </c>
      <c r="Q175" s="3">
        <v>-110.9456</v>
      </c>
      <c r="R175" s="4" t="s">
        <v>129</v>
      </c>
      <c r="S175" s="4" t="s">
        <v>124</v>
      </c>
      <c r="T175" s="3">
        <v>4</v>
      </c>
      <c r="U175" s="3">
        <v>1</v>
      </c>
      <c r="V175" s="3">
        <v>2</v>
      </c>
      <c r="W175" s="3">
        <v>2</v>
      </c>
      <c r="X175" s="3">
        <v>1</v>
      </c>
      <c r="Y175" s="3">
        <v>2</v>
      </c>
      <c r="Z175" s="3">
        <v>1</v>
      </c>
      <c r="AA175" s="3">
        <v>1</v>
      </c>
      <c r="AB175" s="4" t="s">
        <v>122</v>
      </c>
      <c r="AC175" s="4" t="s">
        <v>122</v>
      </c>
      <c r="AD175" s="4" t="s">
        <v>122</v>
      </c>
      <c r="AE175" s="4" t="s">
        <v>122</v>
      </c>
      <c r="AF175" s="4" t="s">
        <v>122</v>
      </c>
      <c r="AG175" s="3">
        <v>3</v>
      </c>
      <c r="AH175" s="3">
        <v>5</v>
      </c>
      <c r="AI175" s="3">
        <v>3</v>
      </c>
      <c r="AJ175" s="3">
        <v>3</v>
      </c>
      <c r="AK175" s="3">
        <v>8</v>
      </c>
      <c r="AL175" s="3">
        <v>6</v>
      </c>
      <c r="AM175" s="3">
        <v>3</v>
      </c>
      <c r="AN175" s="3">
        <v>8</v>
      </c>
      <c r="AO175" s="3">
        <v>4</v>
      </c>
      <c r="AP175" s="3">
        <v>3</v>
      </c>
      <c r="AQ175" s="3">
        <v>0</v>
      </c>
      <c r="AR175" s="3" t="s">
        <v>122</v>
      </c>
      <c r="AS175" s="3">
        <v>7</v>
      </c>
      <c r="AT175" s="3">
        <v>8</v>
      </c>
      <c r="AU175" s="3">
        <v>6</v>
      </c>
      <c r="AV175" s="3">
        <v>7</v>
      </c>
      <c r="AW175" s="3">
        <v>7</v>
      </c>
      <c r="AX175" s="3">
        <v>2</v>
      </c>
      <c r="AY175" s="3">
        <v>3</v>
      </c>
      <c r="AZ175" s="3">
        <v>5</v>
      </c>
      <c r="BA175" s="4">
        <v>3</v>
      </c>
      <c r="BB175" s="3">
        <v>5</v>
      </c>
      <c r="BC175" s="3">
        <v>5</v>
      </c>
      <c r="BD175" s="3">
        <v>3</v>
      </c>
      <c r="BE175" s="3" t="s">
        <v>122</v>
      </c>
      <c r="BF175" s="3" t="s">
        <v>122</v>
      </c>
      <c r="BG175" s="3" t="s">
        <v>122</v>
      </c>
      <c r="BH175" s="3" t="s">
        <v>122</v>
      </c>
      <c r="BI175" s="3" t="s">
        <v>122</v>
      </c>
      <c r="BJ175" s="3" t="s">
        <v>122</v>
      </c>
      <c r="BK175" s="3" t="s">
        <v>122</v>
      </c>
      <c r="BL175" s="3" t="s">
        <v>122</v>
      </c>
      <c r="BM175" s="3" t="s">
        <v>122</v>
      </c>
      <c r="BN175" s="3">
        <v>6</v>
      </c>
      <c r="BO175" s="3" t="s">
        <v>122</v>
      </c>
      <c r="BP175" s="3" t="s">
        <v>122</v>
      </c>
      <c r="BQ175" s="3" t="s">
        <v>122</v>
      </c>
      <c r="BR175" s="3" t="s">
        <v>122</v>
      </c>
      <c r="BS175" s="3" t="s">
        <v>122</v>
      </c>
      <c r="BT175" s="3" t="s">
        <v>122</v>
      </c>
      <c r="BU175" s="3" t="s">
        <v>122</v>
      </c>
      <c r="BV175" s="3" t="s">
        <v>122</v>
      </c>
      <c r="BW175" s="3" t="s">
        <v>122</v>
      </c>
      <c r="BX175" s="3" t="s">
        <v>122</v>
      </c>
      <c r="BY175" s="3" t="s">
        <v>122</v>
      </c>
      <c r="BZ175" s="3" t="s">
        <v>122</v>
      </c>
      <c r="CA175" s="3" t="s">
        <v>122</v>
      </c>
      <c r="CB175" s="3" t="s">
        <v>122</v>
      </c>
      <c r="CC175" s="3" t="s">
        <v>122</v>
      </c>
      <c r="CD175" s="3" t="s">
        <v>122</v>
      </c>
      <c r="CE175" s="3" t="s">
        <v>122</v>
      </c>
      <c r="CF175" s="3">
        <v>2</v>
      </c>
      <c r="CG175" s="4" t="s">
        <v>122</v>
      </c>
      <c r="CH175" s="3">
        <v>3</v>
      </c>
      <c r="CI175" s="4" t="s">
        <v>122</v>
      </c>
      <c r="CJ175" s="4" t="s">
        <v>122</v>
      </c>
      <c r="CK175" s="4" t="s">
        <v>122</v>
      </c>
      <c r="CL175" s="4" t="s">
        <v>122</v>
      </c>
      <c r="CM175" s="4" t="s">
        <v>122</v>
      </c>
      <c r="CN175" s="4" t="s">
        <v>122</v>
      </c>
      <c r="CO175" s="4" t="s">
        <v>125</v>
      </c>
      <c r="CP175" s="4" t="s">
        <v>122</v>
      </c>
      <c r="CQ175" s="4" t="s">
        <v>122</v>
      </c>
      <c r="CR175" s="4" t="s">
        <v>122</v>
      </c>
      <c r="CS175" s="3">
        <v>5</v>
      </c>
      <c r="CT175" s="3">
        <v>3</v>
      </c>
      <c r="CU175" s="42">
        <v>2</v>
      </c>
      <c r="CV175" cm="1">
        <f t="array" ref="CV175">_xlfn.IFS(CU175*1=2,1,CU175*1=4,1,TRUE,0)</f>
        <v>1</v>
      </c>
      <c r="CW175" cm="1">
        <f t="array" ref="CW175">_xlfn.IFS(CU175*1=1,1,CU175*1=2,1,TRUE,0)</f>
        <v>1</v>
      </c>
      <c r="CX175" s="3">
        <f t="shared" si="19"/>
        <v>5</v>
      </c>
      <c r="CY175" s="3">
        <f t="shared" si="20"/>
        <v>5</v>
      </c>
      <c r="CZ175" s="3" cm="1">
        <f t="array" ref="CZ175">_xlfn.IFS(BP175&lt;&gt;"", BP175, CV175=1,  AQ175, CV175=0,  AZ175)</f>
        <v>0</v>
      </c>
      <c r="DA175" s="36" cm="1">
        <f t="array" ref="DA175">_xlfn.IFS(BO175&lt;&gt;"", BO175, CV175=0,  AQ175, CV175=1,  AZ175)</f>
        <v>5</v>
      </c>
      <c r="DB175" s="36">
        <f t="shared" si="21"/>
        <v>0</v>
      </c>
      <c r="DC175" s="3">
        <f t="shared" si="22"/>
        <v>0</v>
      </c>
      <c r="DD175" s="3">
        <f t="shared" si="23"/>
        <v>-5</v>
      </c>
      <c r="DE175" s="3">
        <f t="shared" si="24"/>
        <v>0</v>
      </c>
      <c r="DF175" s="3">
        <f t="shared" si="25"/>
        <v>0</v>
      </c>
      <c r="DG175" s="3">
        <f t="shared" si="26"/>
        <v>0</v>
      </c>
    </row>
    <row r="176" spans="1:111" x14ac:dyDescent="0.4">
      <c r="A176" s="3">
        <v>202503</v>
      </c>
      <c r="B176" s="3">
        <v>222</v>
      </c>
      <c r="C176" s="5">
        <v>45735.588692129626</v>
      </c>
      <c r="D176" s="5">
        <v>45735.596956018519</v>
      </c>
      <c r="E176" s="3">
        <v>0</v>
      </c>
      <c r="F176" s="4" t="s">
        <v>381</v>
      </c>
      <c r="G176" s="3">
        <v>100</v>
      </c>
      <c r="H176" s="3">
        <v>713</v>
      </c>
      <c r="I176" s="3">
        <v>1</v>
      </c>
      <c r="J176" s="5">
        <v>45735.596964444441</v>
      </c>
      <c r="K176" s="4" t="s">
        <v>552</v>
      </c>
      <c r="L176" s="4" t="s">
        <v>122</v>
      </c>
      <c r="M176" s="4" t="s">
        <v>122</v>
      </c>
      <c r="N176" s="4" t="s">
        <v>122</v>
      </c>
      <c r="O176" s="4" t="s">
        <v>122</v>
      </c>
      <c r="P176" s="3">
        <v>32.250300000000003</v>
      </c>
      <c r="Q176" s="3">
        <v>-110.94499999999999</v>
      </c>
      <c r="R176" s="4" t="s">
        <v>129</v>
      </c>
      <c r="S176" s="4" t="s">
        <v>124</v>
      </c>
      <c r="T176" s="3">
        <v>4</v>
      </c>
      <c r="U176" s="3">
        <v>1</v>
      </c>
      <c r="V176" s="3">
        <v>4</v>
      </c>
      <c r="W176" s="3">
        <v>5</v>
      </c>
      <c r="X176" s="3">
        <v>1</v>
      </c>
      <c r="Y176" s="3">
        <v>1</v>
      </c>
      <c r="Z176" s="3">
        <v>3</v>
      </c>
      <c r="AA176" s="3">
        <v>3</v>
      </c>
      <c r="AB176" s="4" t="s">
        <v>122</v>
      </c>
      <c r="AC176" s="4" t="s">
        <v>122</v>
      </c>
      <c r="AD176" s="4" t="s">
        <v>122</v>
      </c>
      <c r="AE176" s="4" t="s">
        <v>122</v>
      </c>
      <c r="AF176" s="4" t="s">
        <v>122</v>
      </c>
      <c r="AG176" s="3">
        <v>3</v>
      </c>
      <c r="AH176" s="3">
        <v>6</v>
      </c>
      <c r="AI176" s="3">
        <v>2</v>
      </c>
      <c r="AJ176" s="3">
        <v>7</v>
      </c>
      <c r="AK176" s="3">
        <v>7</v>
      </c>
      <c r="AL176" s="3">
        <v>7</v>
      </c>
      <c r="AM176" s="3">
        <v>6</v>
      </c>
      <c r="AN176" s="3">
        <v>8</v>
      </c>
      <c r="AO176" s="3">
        <v>3</v>
      </c>
      <c r="AP176" s="3">
        <v>2</v>
      </c>
      <c r="AQ176" s="3" t="s">
        <v>122</v>
      </c>
      <c r="AR176" s="3" t="s">
        <v>122</v>
      </c>
      <c r="AS176" s="3">
        <v>7</v>
      </c>
      <c r="AT176" s="3">
        <v>7</v>
      </c>
      <c r="AU176" s="3">
        <v>5</v>
      </c>
      <c r="AV176" s="3">
        <v>6</v>
      </c>
      <c r="AW176" s="3">
        <v>7</v>
      </c>
      <c r="AX176" s="3">
        <v>2</v>
      </c>
      <c r="AY176" s="3">
        <v>3</v>
      </c>
      <c r="AZ176" s="3" t="s">
        <v>122</v>
      </c>
      <c r="BA176" s="3" t="s">
        <v>122</v>
      </c>
      <c r="BB176" s="3" t="s">
        <v>122</v>
      </c>
      <c r="BC176" s="3" t="s">
        <v>122</v>
      </c>
      <c r="BD176" s="3" t="s">
        <v>122</v>
      </c>
      <c r="BE176" s="3" t="s">
        <v>122</v>
      </c>
      <c r="BF176" s="3" t="s">
        <v>122</v>
      </c>
      <c r="BG176" s="3" t="s">
        <v>122</v>
      </c>
      <c r="BH176" s="3" t="s">
        <v>122</v>
      </c>
      <c r="BI176" s="3" t="s">
        <v>122</v>
      </c>
      <c r="BJ176" s="3" t="s">
        <v>122</v>
      </c>
      <c r="BK176" s="3" t="s">
        <v>122</v>
      </c>
      <c r="BL176" s="3" t="s">
        <v>122</v>
      </c>
      <c r="BM176" s="3" t="s">
        <v>122</v>
      </c>
      <c r="BN176" s="3" t="s">
        <v>122</v>
      </c>
      <c r="BO176" s="3">
        <v>4.5</v>
      </c>
      <c r="BP176" s="3">
        <v>5</v>
      </c>
      <c r="BQ176" s="3">
        <v>2</v>
      </c>
      <c r="BR176" s="3" t="s">
        <v>122</v>
      </c>
      <c r="BS176" s="3" t="s">
        <v>122</v>
      </c>
      <c r="BT176" s="3" t="s">
        <v>122</v>
      </c>
      <c r="BU176" s="3" t="s">
        <v>122</v>
      </c>
      <c r="BV176" s="3" t="s">
        <v>122</v>
      </c>
      <c r="BW176" s="3" t="s">
        <v>122</v>
      </c>
      <c r="BX176" s="3" t="s">
        <v>122</v>
      </c>
      <c r="BY176" s="3" t="s">
        <v>122</v>
      </c>
      <c r="BZ176" s="3" t="s">
        <v>122</v>
      </c>
      <c r="CA176" s="3">
        <v>4</v>
      </c>
      <c r="CB176" s="3">
        <v>4.5</v>
      </c>
      <c r="CC176" s="3">
        <v>2</v>
      </c>
      <c r="CD176" s="3">
        <v>4.5</v>
      </c>
      <c r="CE176" s="3">
        <v>2</v>
      </c>
      <c r="CF176" s="3">
        <v>1</v>
      </c>
      <c r="CG176" s="4" t="s">
        <v>122</v>
      </c>
      <c r="CH176" s="3">
        <v>2</v>
      </c>
      <c r="CI176" s="4" t="s">
        <v>122</v>
      </c>
      <c r="CJ176" s="4" t="s">
        <v>122</v>
      </c>
      <c r="CK176" s="4" t="s">
        <v>122</v>
      </c>
      <c r="CL176" s="4" t="s">
        <v>125</v>
      </c>
      <c r="CM176" s="4" t="s">
        <v>122</v>
      </c>
      <c r="CN176" s="4" t="s">
        <v>122</v>
      </c>
      <c r="CO176" s="4" t="s">
        <v>122</v>
      </c>
      <c r="CP176" s="4" t="s">
        <v>122</v>
      </c>
      <c r="CQ176" s="4" t="s">
        <v>122</v>
      </c>
      <c r="CR176" s="4" t="s">
        <v>122</v>
      </c>
      <c r="CS176" s="3">
        <v>3</v>
      </c>
      <c r="CT176" s="3">
        <v>-999</v>
      </c>
      <c r="CU176" s="42">
        <v>3</v>
      </c>
      <c r="CV176" cm="1">
        <f t="array" ref="CV176">_xlfn.IFS(CU176*1=2,1,CU176*1=4,1,TRUE,0)</f>
        <v>0</v>
      </c>
      <c r="CW176" cm="1">
        <f t="array" ref="CW176">_xlfn.IFS(CU176*1=1,1,CU176*1=2,1,TRUE,0)</f>
        <v>0</v>
      </c>
      <c r="CX176" s="3">
        <f t="shared" si="19"/>
        <v>4.5</v>
      </c>
      <c r="CY176" s="3">
        <f t="shared" si="20"/>
        <v>4.5</v>
      </c>
      <c r="CZ176" s="3" cm="1">
        <f t="array" ref="CZ176">_xlfn.IFS(BP176&lt;&gt;"", BP176, CV176=1,  AQ176, CV176=0,  AZ176)</f>
        <v>5</v>
      </c>
      <c r="DA176" s="36" cm="1">
        <f t="array" ref="DA176">_xlfn.IFS(BO176&lt;&gt;"", BO176, CV176=0,  AQ176, CV176=1,  AZ176)</f>
        <v>4.5</v>
      </c>
      <c r="DB176" s="36">
        <f t="shared" si="21"/>
        <v>-1.5</v>
      </c>
      <c r="DC176" s="3">
        <f t="shared" si="22"/>
        <v>-1.5</v>
      </c>
      <c r="DD176" s="3">
        <f t="shared" si="23"/>
        <v>-1.5</v>
      </c>
      <c r="DE176" s="3">
        <f t="shared" si="24"/>
        <v>-1</v>
      </c>
      <c r="DF176" s="3">
        <f t="shared" si="25"/>
        <v>-1.5</v>
      </c>
      <c r="DG176" s="3">
        <f t="shared" si="26"/>
        <v>-1.5</v>
      </c>
    </row>
    <row r="177" spans="1:111" x14ac:dyDescent="0.4">
      <c r="A177" s="3">
        <v>202503</v>
      </c>
      <c r="B177" s="3">
        <v>222</v>
      </c>
      <c r="C177" s="5">
        <v>45735.590370370373</v>
      </c>
      <c r="D177" s="5">
        <v>45735.595601851855</v>
      </c>
      <c r="E177" s="3">
        <v>0</v>
      </c>
      <c r="F177" s="4" t="s">
        <v>550</v>
      </c>
      <c r="G177" s="3">
        <v>100</v>
      </c>
      <c r="H177" s="3">
        <v>452</v>
      </c>
      <c r="I177" s="3">
        <v>1</v>
      </c>
      <c r="J177" s="5">
        <v>45735.595608553238</v>
      </c>
      <c r="K177" s="4" t="s">
        <v>551</v>
      </c>
      <c r="L177" s="4" t="s">
        <v>122</v>
      </c>
      <c r="M177" s="4" t="s">
        <v>122</v>
      </c>
      <c r="N177" s="4" t="s">
        <v>122</v>
      </c>
      <c r="O177" s="4" t="s">
        <v>122</v>
      </c>
      <c r="P177" s="3">
        <v>36.1233</v>
      </c>
      <c r="Q177" s="3">
        <v>-115.2775</v>
      </c>
      <c r="R177" s="4" t="s">
        <v>129</v>
      </c>
      <c r="S177" s="4" t="s">
        <v>124</v>
      </c>
      <c r="T177" s="3">
        <v>4</v>
      </c>
      <c r="U177" s="3">
        <v>1</v>
      </c>
      <c r="V177" s="3">
        <v>2</v>
      </c>
      <c r="W177" s="3">
        <v>2</v>
      </c>
      <c r="X177" s="3">
        <v>2</v>
      </c>
      <c r="Y177" s="3">
        <v>4</v>
      </c>
      <c r="Z177" s="3">
        <v>4</v>
      </c>
      <c r="AA177" s="3">
        <v>2</v>
      </c>
      <c r="AB177" s="4" t="s">
        <v>122</v>
      </c>
      <c r="AC177" s="4" t="s">
        <v>125</v>
      </c>
      <c r="AD177" s="4" t="s">
        <v>125</v>
      </c>
      <c r="AE177" s="4" t="s">
        <v>122</v>
      </c>
      <c r="AF177" s="4" t="s">
        <v>122</v>
      </c>
      <c r="AG177" s="3">
        <v>2</v>
      </c>
      <c r="AH177" s="3">
        <v>6.5</v>
      </c>
      <c r="AI177" s="3">
        <v>3</v>
      </c>
      <c r="AJ177" s="3">
        <v>9</v>
      </c>
      <c r="AK177" s="3">
        <v>5</v>
      </c>
      <c r="AL177" s="3">
        <v>9</v>
      </c>
      <c r="AM177" s="3">
        <v>9</v>
      </c>
      <c r="AN177" s="3">
        <v>9</v>
      </c>
      <c r="AO177" s="3">
        <v>1</v>
      </c>
      <c r="AP177" s="3">
        <v>5</v>
      </c>
      <c r="AQ177" s="4" t="s">
        <v>122</v>
      </c>
      <c r="AR177" s="4" t="s">
        <v>122</v>
      </c>
      <c r="AS177" s="3">
        <v>4</v>
      </c>
      <c r="AT177" s="3">
        <v>5</v>
      </c>
      <c r="AU177" s="3">
        <v>3</v>
      </c>
      <c r="AV177" s="3">
        <v>4</v>
      </c>
      <c r="AW177" s="3">
        <v>7</v>
      </c>
      <c r="AX177" s="3">
        <v>2</v>
      </c>
      <c r="AY177" s="3">
        <v>4</v>
      </c>
      <c r="AZ177" s="4" t="s">
        <v>122</v>
      </c>
      <c r="BA177" s="4" t="s">
        <v>122</v>
      </c>
      <c r="BB177" s="3" t="s">
        <v>122</v>
      </c>
      <c r="BC177" s="3" t="s">
        <v>122</v>
      </c>
      <c r="BD177" s="3" t="s">
        <v>122</v>
      </c>
      <c r="BE177" s="3" t="s">
        <v>122</v>
      </c>
      <c r="BF177" s="3" t="s">
        <v>122</v>
      </c>
      <c r="BG177" s="3" t="s">
        <v>122</v>
      </c>
      <c r="BH177" s="3" t="s">
        <v>122</v>
      </c>
      <c r="BI177" s="3" t="s">
        <v>122</v>
      </c>
      <c r="BJ177" s="3" t="s">
        <v>122</v>
      </c>
      <c r="BK177" s="3" t="s">
        <v>122</v>
      </c>
      <c r="BL177" s="3" t="s">
        <v>122</v>
      </c>
      <c r="BM177" s="3" t="s">
        <v>122</v>
      </c>
      <c r="BN177" s="3" t="s">
        <v>122</v>
      </c>
      <c r="BO177" s="3">
        <v>6.5</v>
      </c>
      <c r="BP177" s="3">
        <v>6.5</v>
      </c>
      <c r="BQ177" s="3">
        <v>3</v>
      </c>
      <c r="BR177" s="3" t="s">
        <v>122</v>
      </c>
      <c r="BS177" s="3" t="s">
        <v>122</v>
      </c>
      <c r="BT177" s="3" t="s">
        <v>122</v>
      </c>
      <c r="BU177" s="3" t="s">
        <v>122</v>
      </c>
      <c r="BV177" s="3" t="s">
        <v>122</v>
      </c>
      <c r="BW177" s="3" t="s">
        <v>122</v>
      </c>
      <c r="BX177" s="3" t="s">
        <v>122</v>
      </c>
      <c r="BY177" s="3" t="s">
        <v>122</v>
      </c>
      <c r="BZ177" s="3" t="s">
        <v>122</v>
      </c>
      <c r="CA177" s="3">
        <v>1</v>
      </c>
      <c r="CB177" s="3">
        <v>6</v>
      </c>
      <c r="CC177" s="3">
        <v>1</v>
      </c>
      <c r="CD177" s="3">
        <v>7.5</v>
      </c>
      <c r="CE177" s="3">
        <v>3</v>
      </c>
      <c r="CF177" s="3">
        <v>1</v>
      </c>
      <c r="CG177" s="4" t="s">
        <v>122</v>
      </c>
      <c r="CH177" s="3">
        <v>2</v>
      </c>
      <c r="CI177" s="4" t="s">
        <v>122</v>
      </c>
      <c r="CJ177" s="4" t="s">
        <v>122</v>
      </c>
      <c r="CK177" s="4" t="s">
        <v>122</v>
      </c>
      <c r="CL177" s="4" t="s">
        <v>125</v>
      </c>
      <c r="CM177" s="4" t="s">
        <v>122</v>
      </c>
      <c r="CN177" s="4" t="s">
        <v>122</v>
      </c>
      <c r="CO177" s="4" t="s">
        <v>125</v>
      </c>
      <c r="CP177" s="4" t="s">
        <v>122</v>
      </c>
      <c r="CQ177" s="4" t="s">
        <v>122</v>
      </c>
      <c r="CR177" s="4" t="s">
        <v>122</v>
      </c>
      <c r="CS177" s="3">
        <v>3</v>
      </c>
      <c r="CT177" s="3">
        <v>3</v>
      </c>
      <c r="CU177" s="42">
        <v>4</v>
      </c>
      <c r="CV177" cm="1">
        <f t="array" ref="CV177">_xlfn.IFS(CU177*1=2,1,CU177*1=4,1,TRUE,0)</f>
        <v>1</v>
      </c>
      <c r="CW177" cm="1">
        <f t="array" ref="CW177">_xlfn.IFS(CU177*1=1,1,CU177*1=2,1,TRUE,0)</f>
        <v>0</v>
      </c>
      <c r="CX177" s="3">
        <f t="shared" si="19"/>
        <v>6</v>
      </c>
      <c r="CY177" s="3">
        <f t="shared" si="20"/>
        <v>7.5</v>
      </c>
      <c r="CZ177" s="3" cm="1">
        <f t="array" ref="CZ177">_xlfn.IFS(BP177&lt;&gt;"", BP177, CV177=1,  AQ177, CV177=0,  AZ177)</f>
        <v>6.5</v>
      </c>
      <c r="DA177" s="36" cm="1">
        <f t="array" ref="DA177">_xlfn.IFS(BO177&lt;&gt;"", BO177, CV177=0,  AQ177, CV177=1,  AZ177)</f>
        <v>6.5</v>
      </c>
      <c r="DB177" s="36">
        <f t="shared" si="21"/>
        <v>1</v>
      </c>
      <c r="DC177" s="3">
        <f t="shared" si="22"/>
        <v>-0.5</v>
      </c>
      <c r="DD177" s="3">
        <f t="shared" si="23"/>
        <v>1</v>
      </c>
      <c r="DE177" s="3">
        <f t="shared" si="24"/>
        <v>0</v>
      </c>
      <c r="DF177" s="3">
        <f t="shared" si="25"/>
        <v>-0.5</v>
      </c>
      <c r="DG177" s="3">
        <f t="shared" si="26"/>
        <v>0</v>
      </c>
    </row>
    <row r="178" spans="1:111" x14ac:dyDescent="0.4">
      <c r="A178" s="3">
        <v>202503</v>
      </c>
      <c r="B178" s="3">
        <v>222</v>
      </c>
      <c r="C178" s="5">
        <v>45735.591956018521</v>
      </c>
      <c r="D178" s="5">
        <v>45735.599664351852</v>
      </c>
      <c r="E178" s="3">
        <v>0</v>
      </c>
      <c r="F178" s="4" t="s">
        <v>553</v>
      </c>
      <c r="G178" s="3">
        <v>100</v>
      </c>
      <c r="H178" s="3">
        <v>665</v>
      </c>
      <c r="I178" s="3">
        <v>1</v>
      </c>
      <c r="J178" s="5">
        <v>45735.599674537036</v>
      </c>
      <c r="K178" s="4" t="s">
        <v>554</v>
      </c>
      <c r="L178" s="4" t="s">
        <v>122</v>
      </c>
      <c r="M178" s="4" t="s">
        <v>122</v>
      </c>
      <c r="N178" s="4" t="s">
        <v>122</v>
      </c>
      <c r="O178" s="4" t="s">
        <v>122</v>
      </c>
      <c r="P178" s="3">
        <v>32.250300000000003</v>
      </c>
      <c r="Q178" s="3">
        <v>-110.94499999999999</v>
      </c>
      <c r="R178" s="4" t="s">
        <v>129</v>
      </c>
      <c r="S178" s="4" t="s">
        <v>124</v>
      </c>
      <c r="T178" s="3">
        <v>4</v>
      </c>
      <c r="U178" s="3">
        <v>1</v>
      </c>
      <c r="V178" s="3">
        <v>2</v>
      </c>
      <c r="W178" s="3">
        <v>3</v>
      </c>
      <c r="X178" s="3">
        <v>2</v>
      </c>
      <c r="Y178" s="3">
        <v>2</v>
      </c>
      <c r="Z178" s="3">
        <v>2</v>
      </c>
      <c r="AA178" s="3">
        <v>2</v>
      </c>
      <c r="AB178" s="4" t="s">
        <v>122</v>
      </c>
      <c r="AC178" s="4" t="s">
        <v>125</v>
      </c>
      <c r="AD178" s="4" t="s">
        <v>125</v>
      </c>
      <c r="AE178" s="4" t="s">
        <v>122</v>
      </c>
      <c r="AF178" s="4" t="s">
        <v>122</v>
      </c>
      <c r="AG178" s="3">
        <v>2</v>
      </c>
      <c r="AH178" s="3">
        <v>4</v>
      </c>
      <c r="AI178" s="3">
        <v>2</v>
      </c>
      <c r="AJ178" s="3">
        <v>7</v>
      </c>
      <c r="AK178" s="3">
        <v>5</v>
      </c>
      <c r="AL178" s="3">
        <v>5</v>
      </c>
      <c r="AM178" s="3">
        <v>7</v>
      </c>
      <c r="AN178" s="3">
        <v>7</v>
      </c>
      <c r="AO178" s="3">
        <v>3</v>
      </c>
      <c r="AP178" s="3">
        <v>4</v>
      </c>
      <c r="AQ178" s="3">
        <v>4</v>
      </c>
      <c r="AR178" s="3">
        <v>2</v>
      </c>
      <c r="AS178" s="3">
        <v>3</v>
      </c>
      <c r="AT178" s="3">
        <v>5</v>
      </c>
      <c r="AU178" s="3">
        <v>4</v>
      </c>
      <c r="AV178" s="3">
        <v>3</v>
      </c>
      <c r="AW178" s="3">
        <v>3</v>
      </c>
      <c r="AX178" s="3">
        <v>1</v>
      </c>
      <c r="AY178" s="3">
        <v>2</v>
      </c>
      <c r="AZ178" s="3">
        <v>0</v>
      </c>
      <c r="BA178" s="4" t="s">
        <v>122</v>
      </c>
      <c r="BB178" s="3">
        <v>0</v>
      </c>
      <c r="BC178" s="3">
        <v>4</v>
      </c>
      <c r="BD178" s="3">
        <v>2</v>
      </c>
      <c r="BE178" s="3" t="s">
        <v>122</v>
      </c>
      <c r="BF178" s="3" t="s">
        <v>122</v>
      </c>
      <c r="BG178" s="3" t="s">
        <v>122</v>
      </c>
      <c r="BH178" s="3" t="s">
        <v>122</v>
      </c>
      <c r="BI178" s="3" t="s">
        <v>122</v>
      </c>
      <c r="BJ178" s="3" t="s">
        <v>122</v>
      </c>
      <c r="BK178" s="3" t="s">
        <v>122</v>
      </c>
      <c r="BL178" s="3" t="s">
        <v>122</v>
      </c>
      <c r="BM178" s="3" t="s">
        <v>122</v>
      </c>
      <c r="BN178" s="3">
        <v>1</v>
      </c>
      <c r="BO178" s="3" t="s">
        <v>122</v>
      </c>
      <c r="BP178" s="3" t="s">
        <v>122</v>
      </c>
      <c r="BQ178" s="3" t="s">
        <v>122</v>
      </c>
      <c r="BR178" s="3" t="s">
        <v>122</v>
      </c>
      <c r="BS178" s="3" t="s">
        <v>122</v>
      </c>
      <c r="BT178" s="3" t="s">
        <v>122</v>
      </c>
      <c r="BU178" s="3" t="s">
        <v>122</v>
      </c>
      <c r="BV178" s="3" t="s">
        <v>122</v>
      </c>
      <c r="BW178" s="3" t="s">
        <v>122</v>
      </c>
      <c r="BX178" s="3" t="s">
        <v>122</v>
      </c>
      <c r="BY178" s="3" t="s">
        <v>122</v>
      </c>
      <c r="BZ178" s="3" t="s">
        <v>122</v>
      </c>
      <c r="CA178" s="3" t="s">
        <v>122</v>
      </c>
      <c r="CB178" s="3" t="s">
        <v>122</v>
      </c>
      <c r="CC178" s="3" t="s">
        <v>122</v>
      </c>
      <c r="CD178" s="3" t="s">
        <v>122</v>
      </c>
      <c r="CE178" s="3" t="s">
        <v>122</v>
      </c>
      <c r="CF178" s="3">
        <v>2</v>
      </c>
      <c r="CG178" s="4" t="s">
        <v>122</v>
      </c>
      <c r="CH178" s="3">
        <v>2</v>
      </c>
      <c r="CI178" s="4" t="s">
        <v>122</v>
      </c>
      <c r="CJ178" s="4" t="s">
        <v>122</v>
      </c>
      <c r="CK178" s="4" t="s">
        <v>122</v>
      </c>
      <c r="CL178" s="4" t="s">
        <v>125</v>
      </c>
      <c r="CM178" s="4" t="s">
        <v>122</v>
      </c>
      <c r="CN178" s="4" t="s">
        <v>122</v>
      </c>
      <c r="CO178" s="4" t="s">
        <v>122</v>
      </c>
      <c r="CP178" s="4" t="s">
        <v>122</v>
      </c>
      <c r="CQ178" s="4" t="s">
        <v>122</v>
      </c>
      <c r="CR178" s="4" t="s">
        <v>122</v>
      </c>
      <c r="CS178" s="3">
        <v>2</v>
      </c>
      <c r="CT178" s="3">
        <v>3</v>
      </c>
      <c r="CU178" s="42">
        <v>2</v>
      </c>
      <c r="CV178" cm="1">
        <f t="array" ref="CV178">_xlfn.IFS(CU178*1=2,1,CU178*1=4,1,TRUE,0)</f>
        <v>1</v>
      </c>
      <c r="CW178" cm="1">
        <f t="array" ref="CW178">_xlfn.IFS(CU178*1=1,1,CU178*1=2,1,TRUE,0)</f>
        <v>1</v>
      </c>
      <c r="CX178" s="3">
        <f t="shared" si="19"/>
        <v>0</v>
      </c>
      <c r="CY178" s="3">
        <f t="shared" si="20"/>
        <v>4</v>
      </c>
      <c r="CZ178" s="3" cm="1">
        <f t="array" ref="CZ178">_xlfn.IFS(BP178&lt;&gt;"", BP178, CV178=1,  AQ178, CV178=0,  AZ178)</f>
        <v>4</v>
      </c>
      <c r="DA178" s="36" cm="1">
        <f t="array" ref="DA178">_xlfn.IFS(BO178&lt;&gt;"", BO178, CV178=0,  AQ178, CV178=1,  AZ178)</f>
        <v>0</v>
      </c>
      <c r="DB178" s="36">
        <f t="shared" si="21"/>
        <v>0</v>
      </c>
      <c r="DC178" s="3">
        <f t="shared" si="22"/>
        <v>-4</v>
      </c>
      <c r="DD178" s="3">
        <f t="shared" si="23"/>
        <v>0</v>
      </c>
      <c r="DE178" s="3">
        <f t="shared" si="24"/>
        <v>0</v>
      </c>
      <c r="DF178" s="3">
        <f t="shared" si="25"/>
        <v>-4</v>
      </c>
      <c r="DG178" s="3">
        <f t="shared" si="26"/>
        <v>-4</v>
      </c>
    </row>
    <row r="179" spans="1:111" x14ac:dyDescent="0.4">
      <c r="A179" s="3">
        <v>202503</v>
      </c>
      <c r="B179" s="3">
        <v>222</v>
      </c>
      <c r="C179" s="5">
        <v>45735.596550925926</v>
      </c>
      <c r="D179" s="5">
        <v>45735.602569444447</v>
      </c>
      <c r="E179" s="3">
        <v>0</v>
      </c>
      <c r="F179" s="4" t="s">
        <v>555</v>
      </c>
      <c r="G179" s="3">
        <v>100</v>
      </c>
      <c r="H179" s="3">
        <v>520</v>
      </c>
      <c r="I179" s="3">
        <v>1</v>
      </c>
      <c r="J179" s="5">
        <v>45735.60258165509</v>
      </c>
      <c r="K179" s="4" t="s">
        <v>556</v>
      </c>
      <c r="L179" s="4" t="s">
        <v>122</v>
      </c>
      <c r="M179" s="4" t="s">
        <v>122</v>
      </c>
      <c r="N179" s="4" t="s">
        <v>122</v>
      </c>
      <c r="O179" s="4" t="s">
        <v>122</v>
      </c>
      <c r="P179" s="3">
        <v>33.514099999999999</v>
      </c>
      <c r="Q179" s="3">
        <v>-112.12350000000001</v>
      </c>
      <c r="R179" s="4" t="s">
        <v>129</v>
      </c>
      <c r="S179" s="4" t="s">
        <v>124</v>
      </c>
      <c r="T179" s="3">
        <v>4</v>
      </c>
      <c r="U179" s="3">
        <v>1</v>
      </c>
      <c r="V179" s="3">
        <v>2</v>
      </c>
      <c r="W179" s="3">
        <v>2</v>
      </c>
      <c r="X179" s="3">
        <v>1</v>
      </c>
      <c r="Y179" s="3">
        <v>2</v>
      </c>
      <c r="Z179" s="3">
        <v>4</v>
      </c>
      <c r="AA179" s="3">
        <v>2</v>
      </c>
      <c r="AB179" s="4" t="s">
        <v>122</v>
      </c>
      <c r="AC179" s="4" t="s">
        <v>122</v>
      </c>
      <c r="AD179" s="4" t="s">
        <v>122</v>
      </c>
      <c r="AE179" s="4" t="s">
        <v>122</v>
      </c>
      <c r="AF179" s="4" t="s">
        <v>122</v>
      </c>
      <c r="AG179" s="3">
        <v>3</v>
      </c>
      <c r="AH179" s="3">
        <v>5.5</v>
      </c>
      <c r="AI179" s="3">
        <v>3</v>
      </c>
      <c r="AJ179" s="3">
        <v>7</v>
      </c>
      <c r="AK179" s="3">
        <v>7</v>
      </c>
      <c r="AL179" s="3">
        <v>8</v>
      </c>
      <c r="AM179" s="3">
        <v>7</v>
      </c>
      <c r="AN179" s="3">
        <v>8</v>
      </c>
      <c r="AO179" s="3">
        <v>3</v>
      </c>
      <c r="AP179" s="3">
        <v>3</v>
      </c>
      <c r="AQ179" s="3">
        <v>6</v>
      </c>
      <c r="AR179" s="3">
        <v>3</v>
      </c>
      <c r="AS179" s="3">
        <v>3</v>
      </c>
      <c r="AT179" s="3">
        <v>8</v>
      </c>
      <c r="AU179" s="3">
        <v>4</v>
      </c>
      <c r="AV179" s="3">
        <v>3</v>
      </c>
      <c r="AW179" s="3">
        <v>7</v>
      </c>
      <c r="AX179" s="3">
        <v>2</v>
      </c>
      <c r="AY179" s="3">
        <v>1</v>
      </c>
      <c r="AZ179" s="3">
        <v>5.5</v>
      </c>
      <c r="BA179" s="3">
        <v>3</v>
      </c>
      <c r="BB179" s="3">
        <v>7.5</v>
      </c>
      <c r="BC179" s="3">
        <v>0</v>
      </c>
      <c r="BD179" s="3">
        <v>3</v>
      </c>
      <c r="BE179" s="3" t="s">
        <v>122</v>
      </c>
      <c r="BF179" s="3" t="s">
        <v>122</v>
      </c>
      <c r="BG179" s="3" t="s">
        <v>122</v>
      </c>
      <c r="BH179" s="3" t="s">
        <v>122</v>
      </c>
      <c r="BI179" s="3" t="s">
        <v>122</v>
      </c>
      <c r="BJ179" s="3" t="s">
        <v>122</v>
      </c>
      <c r="BK179" s="3" t="s">
        <v>122</v>
      </c>
      <c r="BL179" s="3" t="s">
        <v>122</v>
      </c>
      <c r="BM179" s="3" t="s">
        <v>122</v>
      </c>
      <c r="BN179" s="3">
        <v>1</v>
      </c>
      <c r="BO179" s="3" t="s">
        <v>122</v>
      </c>
      <c r="BP179" s="3" t="s">
        <v>122</v>
      </c>
      <c r="BQ179" s="3" t="s">
        <v>122</v>
      </c>
      <c r="BR179" s="3" t="s">
        <v>122</v>
      </c>
      <c r="BS179" s="3" t="s">
        <v>122</v>
      </c>
      <c r="BT179" s="3" t="s">
        <v>122</v>
      </c>
      <c r="BU179" s="3" t="s">
        <v>122</v>
      </c>
      <c r="BV179" s="3" t="s">
        <v>122</v>
      </c>
      <c r="BW179" s="3" t="s">
        <v>122</v>
      </c>
      <c r="BX179" s="3" t="s">
        <v>122</v>
      </c>
      <c r="BY179" s="3" t="s">
        <v>122</v>
      </c>
      <c r="BZ179" s="3" t="s">
        <v>122</v>
      </c>
      <c r="CA179" s="3" t="s">
        <v>122</v>
      </c>
      <c r="CB179" s="3" t="s">
        <v>122</v>
      </c>
      <c r="CC179" s="3" t="s">
        <v>122</v>
      </c>
      <c r="CD179" s="3" t="s">
        <v>122</v>
      </c>
      <c r="CE179" s="3" t="s">
        <v>122</v>
      </c>
      <c r="CF179" s="3">
        <v>2</v>
      </c>
      <c r="CG179" s="4" t="s">
        <v>122</v>
      </c>
      <c r="CH179" s="3">
        <v>4</v>
      </c>
      <c r="CI179" s="4" t="s">
        <v>122</v>
      </c>
      <c r="CJ179" s="4" t="s">
        <v>122</v>
      </c>
      <c r="CK179" s="4" t="s">
        <v>122</v>
      </c>
      <c r="CL179" s="4" t="s">
        <v>122</v>
      </c>
      <c r="CM179" s="4" t="s">
        <v>122</v>
      </c>
      <c r="CN179" s="4" t="s">
        <v>122</v>
      </c>
      <c r="CO179" s="4" t="s">
        <v>122</v>
      </c>
      <c r="CP179" s="4" t="s">
        <v>122</v>
      </c>
      <c r="CQ179" s="4" t="s">
        <v>125</v>
      </c>
      <c r="CR179" s="4" t="s">
        <v>122</v>
      </c>
      <c r="CS179" s="3">
        <v>3</v>
      </c>
      <c r="CT179" s="3">
        <v>4</v>
      </c>
      <c r="CU179" s="42">
        <v>1</v>
      </c>
      <c r="CV179" cm="1">
        <f t="array" ref="CV179">_xlfn.IFS(CU179*1=2,1,CU179*1=4,1,TRUE,0)</f>
        <v>0</v>
      </c>
      <c r="CW179" cm="1">
        <f t="array" ref="CW179">_xlfn.IFS(CU179*1=1,1,CU179*1=2,1,TRUE,0)</f>
        <v>1</v>
      </c>
      <c r="CX179" s="3">
        <f t="shared" si="19"/>
        <v>7.5</v>
      </c>
      <c r="CY179" s="3">
        <f t="shared" si="20"/>
        <v>0</v>
      </c>
      <c r="CZ179" s="3" cm="1">
        <f t="array" ref="CZ179">_xlfn.IFS(BP179&lt;&gt;"", BP179, CV179=1,  AQ179, CV179=0,  AZ179)</f>
        <v>5.5</v>
      </c>
      <c r="DA179" s="36" cm="1">
        <f t="array" ref="DA179">_xlfn.IFS(BO179&lt;&gt;"", BO179, CV179=0,  AQ179, CV179=1,  AZ179)</f>
        <v>6</v>
      </c>
      <c r="DB179" s="36">
        <f t="shared" si="21"/>
        <v>-5.5</v>
      </c>
      <c r="DC179" s="3">
        <f t="shared" si="22"/>
        <v>2</v>
      </c>
      <c r="DD179" s="3">
        <f t="shared" si="23"/>
        <v>0</v>
      </c>
      <c r="DE179" s="3">
        <f t="shared" si="24"/>
        <v>-5.5</v>
      </c>
      <c r="DF179" s="3">
        <f t="shared" si="25"/>
        <v>0.5</v>
      </c>
      <c r="DG179" s="3">
        <f t="shared" si="26"/>
        <v>2</v>
      </c>
    </row>
    <row r="180" spans="1:111" x14ac:dyDescent="0.4">
      <c r="A180" s="3">
        <v>202503</v>
      </c>
      <c r="B180" s="3">
        <v>222</v>
      </c>
      <c r="C180" s="5">
        <v>45735.600474537037</v>
      </c>
      <c r="D180" s="5">
        <v>45735.607071759259</v>
      </c>
      <c r="E180" s="3">
        <v>0</v>
      </c>
      <c r="F180" s="4" t="s">
        <v>385</v>
      </c>
      <c r="G180" s="3">
        <v>100</v>
      </c>
      <c r="H180" s="3">
        <v>569</v>
      </c>
      <c r="I180" s="3">
        <v>1</v>
      </c>
      <c r="J180" s="5">
        <v>45735.60708465278</v>
      </c>
      <c r="K180" s="4" t="s">
        <v>557</v>
      </c>
      <c r="L180" s="4" t="s">
        <v>122</v>
      </c>
      <c r="M180" s="4" t="s">
        <v>122</v>
      </c>
      <c r="N180" s="4" t="s">
        <v>122</v>
      </c>
      <c r="O180" s="4" t="s">
        <v>122</v>
      </c>
      <c r="P180" s="3">
        <v>32.250300000000003</v>
      </c>
      <c r="Q180" s="3">
        <v>-110.94499999999999</v>
      </c>
      <c r="R180" s="4" t="s">
        <v>129</v>
      </c>
      <c r="S180" s="4" t="s">
        <v>124</v>
      </c>
      <c r="T180" s="3">
        <v>4</v>
      </c>
      <c r="U180" s="3">
        <v>1</v>
      </c>
      <c r="V180" s="3">
        <v>3</v>
      </c>
      <c r="W180" s="3">
        <v>3</v>
      </c>
      <c r="X180" s="3">
        <v>1</v>
      </c>
      <c r="Y180" s="3">
        <v>1</v>
      </c>
      <c r="Z180" s="3">
        <v>1</v>
      </c>
      <c r="AA180" s="3">
        <v>1</v>
      </c>
      <c r="AB180" s="4" t="s">
        <v>122</v>
      </c>
      <c r="AC180" s="4" t="s">
        <v>122</v>
      </c>
      <c r="AD180" s="4" t="s">
        <v>122</v>
      </c>
      <c r="AE180" s="4" t="s">
        <v>122</v>
      </c>
      <c r="AF180" s="4" t="s">
        <v>122</v>
      </c>
      <c r="AG180" s="3">
        <v>2</v>
      </c>
      <c r="AH180" s="3">
        <v>4</v>
      </c>
      <c r="AI180" s="4">
        <v>2</v>
      </c>
      <c r="AJ180" s="3">
        <v>4</v>
      </c>
      <c r="AK180" s="3">
        <v>5</v>
      </c>
      <c r="AL180" s="3">
        <v>6</v>
      </c>
      <c r="AM180" s="3">
        <v>3</v>
      </c>
      <c r="AN180" s="3">
        <v>7</v>
      </c>
      <c r="AO180" s="3">
        <v>3</v>
      </c>
      <c r="AP180" s="3">
        <v>4</v>
      </c>
      <c r="AQ180" s="4" t="s">
        <v>122</v>
      </c>
      <c r="AR180" s="4" t="s">
        <v>122</v>
      </c>
      <c r="AS180" s="3">
        <v>6</v>
      </c>
      <c r="AT180" s="3">
        <v>5</v>
      </c>
      <c r="AU180" s="3">
        <v>7</v>
      </c>
      <c r="AV180" s="3">
        <v>6</v>
      </c>
      <c r="AW180" s="3">
        <v>6</v>
      </c>
      <c r="AX180" s="3">
        <v>3</v>
      </c>
      <c r="AY180" s="3">
        <v>3</v>
      </c>
      <c r="AZ180" s="4" t="s">
        <v>122</v>
      </c>
      <c r="BA180" s="4" t="s">
        <v>122</v>
      </c>
      <c r="BB180" s="3" t="s">
        <v>122</v>
      </c>
      <c r="BC180" s="3" t="s">
        <v>122</v>
      </c>
      <c r="BD180" s="3" t="s">
        <v>122</v>
      </c>
      <c r="BE180" s="3" t="s">
        <v>122</v>
      </c>
      <c r="BF180" s="3" t="s">
        <v>122</v>
      </c>
      <c r="BG180" s="3" t="s">
        <v>122</v>
      </c>
      <c r="BH180" s="3" t="s">
        <v>122</v>
      </c>
      <c r="BI180" s="3" t="s">
        <v>122</v>
      </c>
      <c r="BJ180" s="3" t="s">
        <v>122</v>
      </c>
      <c r="BK180" s="3" t="s">
        <v>122</v>
      </c>
      <c r="BL180" s="3" t="s">
        <v>122</v>
      </c>
      <c r="BM180" s="3" t="s">
        <v>122</v>
      </c>
      <c r="BN180" s="3" t="s">
        <v>122</v>
      </c>
      <c r="BO180" s="3">
        <v>5</v>
      </c>
      <c r="BP180" s="3">
        <v>5</v>
      </c>
      <c r="BQ180" s="3">
        <v>2</v>
      </c>
      <c r="BR180" s="3" t="s">
        <v>122</v>
      </c>
      <c r="BS180" s="3" t="s">
        <v>122</v>
      </c>
      <c r="BT180" s="3" t="s">
        <v>122</v>
      </c>
      <c r="BU180" s="3" t="s">
        <v>122</v>
      </c>
      <c r="BV180" s="3" t="s">
        <v>122</v>
      </c>
      <c r="BW180" s="3" t="s">
        <v>122</v>
      </c>
      <c r="BX180" s="3" t="s">
        <v>122</v>
      </c>
      <c r="BY180" s="3" t="s">
        <v>122</v>
      </c>
      <c r="BZ180" s="3" t="s">
        <v>122</v>
      </c>
      <c r="CA180" s="3">
        <v>1</v>
      </c>
      <c r="CB180" s="3">
        <v>4</v>
      </c>
      <c r="CC180" s="3">
        <v>2</v>
      </c>
      <c r="CD180" s="3">
        <v>4</v>
      </c>
      <c r="CE180" s="3">
        <v>2</v>
      </c>
      <c r="CF180" s="3">
        <v>1</v>
      </c>
      <c r="CG180" s="4" t="s">
        <v>122</v>
      </c>
      <c r="CH180" s="3">
        <v>4</v>
      </c>
      <c r="CI180" s="4" t="s">
        <v>122</v>
      </c>
      <c r="CJ180" s="4" t="s">
        <v>122</v>
      </c>
      <c r="CK180" s="4" t="s">
        <v>122</v>
      </c>
      <c r="CL180" s="4" t="s">
        <v>122</v>
      </c>
      <c r="CM180" s="4" t="s">
        <v>122</v>
      </c>
      <c r="CN180" s="4" t="s">
        <v>122</v>
      </c>
      <c r="CO180" s="4" t="s">
        <v>125</v>
      </c>
      <c r="CP180" s="4" t="s">
        <v>122</v>
      </c>
      <c r="CQ180" s="4" t="s">
        <v>122</v>
      </c>
      <c r="CR180" s="4" t="s">
        <v>122</v>
      </c>
      <c r="CS180" s="3">
        <v>5</v>
      </c>
      <c r="CT180" s="3">
        <v>5</v>
      </c>
      <c r="CU180" s="42">
        <v>3</v>
      </c>
      <c r="CV180" cm="1">
        <f t="array" ref="CV180">_xlfn.IFS(CU180*1=2,1,CU180*1=4,1,TRUE,0)</f>
        <v>0</v>
      </c>
      <c r="CW180" cm="1">
        <f t="array" ref="CW180">_xlfn.IFS(CU180*1=1,1,CU180*1=2,1,TRUE,0)</f>
        <v>0</v>
      </c>
      <c r="CX180" s="3">
        <f t="shared" si="19"/>
        <v>4</v>
      </c>
      <c r="CY180" s="3">
        <f t="shared" si="20"/>
        <v>4</v>
      </c>
      <c r="CZ180" s="3" cm="1">
        <f t="array" ref="CZ180">_xlfn.IFS(BP180&lt;&gt;"", BP180, CV180=1,  AQ180, CV180=0,  AZ180)</f>
        <v>5</v>
      </c>
      <c r="DA180" s="36" cm="1">
        <f t="array" ref="DA180">_xlfn.IFS(BO180&lt;&gt;"", BO180, CV180=0,  AQ180, CV180=1,  AZ180)</f>
        <v>5</v>
      </c>
      <c r="DB180" s="36">
        <f t="shared" si="21"/>
        <v>0</v>
      </c>
      <c r="DC180" s="3">
        <f t="shared" si="22"/>
        <v>0</v>
      </c>
      <c r="DD180" s="3">
        <f t="shared" si="23"/>
        <v>0</v>
      </c>
      <c r="DE180" s="3">
        <f t="shared" si="24"/>
        <v>1</v>
      </c>
      <c r="DF180" s="3">
        <f t="shared" si="25"/>
        <v>0</v>
      </c>
      <c r="DG180" s="3">
        <f t="shared" si="26"/>
        <v>1</v>
      </c>
    </row>
    <row r="181" spans="1:111" x14ac:dyDescent="0.4">
      <c r="A181" s="3">
        <v>202503</v>
      </c>
      <c r="B181" s="3">
        <v>222</v>
      </c>
      <c r="C181" s="5">
        <v>45735.603229166663</v>
      </c>
      <c r="D181" s="5">
        <v>45735.607152777775</v>
      </c>
      <c r="E181" s="3">
        <v>0</v>
      </c>
      <c r="F181" s="4" t="s">
        <v>419</v>
      </c>
      <c r="G181" s="3">
        <v>100</v>
      </c>
      <c r="H181" s="3">
        <v>338</v>
      </c>
      <c r="I181" s="3">
        <v>1</v>
      </c>
      <c r="J181" s="5">
        <v>45735.607164490742</v>
      </c>
      <c r="K181" s="4" t="s">
        <v>558</v>
      </c>
      <c r="L181" s="4" t="s">
        <v>122</v>
      </c>
      <c r="M181" s="4" t="s">
        <v>122</v>
      </c>
      <c r="N181" s="4" t="s">
        <v>122</v>
      </c>
      <c r="O181" s="4" t="s">
        <v>122</v>
      </c>
      <c r="P181" s="3">
        <v>32.250300000000003</v>
      </c>
      <c r="Q181" s="3">
        <v>-110.94499999999999</v>
      </c>
      <c r="R181" s="4" t="s">
        <v>129</v>
      </c>
      <c r="S181" s="4" t="s">
        <v>124</v>
      </c>
      <c r="T181" s="3">
        <v>4</v>
      </c>
      <c r="U181" s="3">
        <v>1</v>
      </c>
      <c r="V181" s="3">
        <v>5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4" t="s">
        <v>122</v>
      </c>
      <c r="AC181" s="4" t="s">
        <v>122</v>
      </c>
      <c r="AD181" s="4" t="s">
        <v>122</v>
      </c>
      <c r="AE181" s="4" t="s">
        <v>122</v>
      </c>
      <c r="AF181" s="4" t="s">
        <v>122</v>
      </c>
      <c r="AG181" s="3">
        <v>3</v>
      </c>
      <c r="AH181" s="3">
        <v>4</v>
      </c>
      <c r="AI181" s="3">
        <v>2</v>
      </c>
      <c r="AJ181" s="3">
        <v>8</v>
      </c>
      <c r="AK181" s="3">
        <v>8</v>
      </c>
      <c r="AL181" s="3">
        <v>8</v>
      </c>
      <c r="AM181" s="3">
        <v>7</v>
      </c>
      <c r="AN181" s="3">
        <v>9</v>
      </c>
      <c r="AO181" s="3">
        <v>2</v>
      </c>
      <c r="AP181" s="3">
        <v>3</v>
      </c>
      <c r="AQ181" s="4">
        <v>4</v>
      </c>
      <c r="AR181" s="4">
        <v>3</v>
      </c>
      <c r="AS181" s="3">
        <v>6</v>
      </c>
      <c r="AT181" s="3">
        <v>6</v>
      </c>
      <c r="AU181" s="3">
        <v>6</v>
      </c>
      <c r="AV181" s="3">
        <v>6</v>
      </c>
      <c r="AW181" s="3">
        <v>6</v>
      </c>
      <c r="AX181" s="3">
        <v>2</v>
      </c>
      <c r="AY181" s="3">
        <v>2</v>
      </c>
      <c r="AZ181" s="4">
        <v>0</v>
      </c>
      <c r="BA181" s="4" t="s">
        <v>122</v>
      </c>
      <c r="BB181" s="3">
        <v>0</v>
      </c>
      <c r="BC181" s="3">
        <v>0</v>
      </c>
      <c r="BD181" s="3">
        <v>2</v>
      </c>
      <c r="BE181" s="3" t="s">
        <v>122</v>
      </c>
      <c r="BF181" s="3" t="s">
        <v>122</v>
      </c>
      <c r="BG181" s="3" t="s">
        <v>122</v>
      </c>
      <c r="BH181" s="3" t="s">
        <v>122</v>
      </c>
      <c r="BI181" s="3" t="s">
        <v>122</v>
      </c>
      <c r="BJ181" s="3" t="s">
        <v>122</v>
      </c>
      <c r="BK181" s="3" t="s">
        <v>122</v>
      </c>
      <c r="BL181" s="3" t="s">
        <v>122</v>
      </c>
      <c r="BM181" s="3" t="s">
        <v>122</v>
      </c>
      <c r="BN181" s="3">
        <v>1</v>
      </c>
      <c r="BO181" s="3" t="s">
        <v>122</v>
      </c>
      <c r="BP181" s="3" t="s">
        <v>122</v>
      </c>
      <c r="BQ181" s="3" t="s">
        <v>122</v>
      </c>
      <c r="BR181" s="3" t="s">
        <v>122</v>
      </c>
      <c r="BS181" s="3" t="s">
        <v>122</v>
      </c>
      <c r="BT181" s="3" t="s">
        <v>122</v>
      </c>
      <c r="BU181" s="3" t="s">
        <v>122</v>
      </c>
      <c r="BV181" s="3" t="s">
        <v>122</v>
      </c>
      <c r="BW181" s="3" t="s">
        <v>122</v>
      </c>
      <c r="BX181" s="3" t="s">
        <v>122</v>
      </c>
      <c r="BY181" s="3" t="s">
        <v>122</v>
      </c>
      <c r="BZ181" s="3" t="s">
        <v>122</v>
      </c>
      <c r="CA181" s="3" t="s">
        <v>122</v>
      </c>
      <c r="CB181" s="3" t="s">
        <v>122</v>
      </c>
      <c r="CC181" s="3" t="s">
        <v>122</v>
      </c>
      <c r="CD181" s="3" t="s">
        <v>122</v>
      </c>
      <c r="CE181" s="3" t="s">
        <v>122</v>
      </c>
      <c r="CF181" s="3">
        <v>1</v>
      </c>
      <c r="CG181" s="4" t="s">
        <v>122</v>
      </c>
      <c r="CH181" s="3">
        <v>5</v>
      </c>
      <c r="CI181" s="4" t="s">
        <v>122</v>
      </c>
      <c r="CJ181" s="4" t="s">
        <v>122</v>
      </c>
      <c r="CK181" s="4" t="s">
        <v>122</v>
      </c>
      <c r="CL181" s="4" t="s">
        <v>122</v>
      </c>
      <c r="CM181" s="4" t="s">
        <v>122</v>
      </c>
      <c r="CN181" s="4" t="s">
        <v>122</v>
      </c>
      <c r="CO181" s="4" t="s">
        <v>125</v>
      </c>
      <c r="CP181" s="4" t="s">
        <v>122</v>
      </c>
      <c r="CQ181" s="4" t="s">
        <v>122</v>
      </c>
      <c r="CR181" s="4" t="s">
        <v>122</v>
      </c>
      <c r="CS181" s="3">
        <v>4</v>
      </c>
      <c r="CT181" s="3">
        <v>-999</v>
      </c>
      <c r="CU181" s="42">
        <v>1</v>
      </c>
      <c r="CV181" cm="1">
        <f t="array" ref="CV181">_xlfn.IFS(CU181*1=2,1,CU181*1=4,1,TRUE,0)</f>
        <v>0</v>
      </c>
      <c r="CW181" cm="1">
        <f t="array" ref="CW181">_xlfn.IFS(CU181*1=1,1,CU181*1=2,1,TRUE,0)</f>
        <v>1</v>
      </c>
      <c r="CX181" s="3">
        <f t="shared" si="19"/>
        <v>0</v>
      </c>
      <c r="CY181" s="3">
        <f t="shared" si="20"/>
        <v>0</v>
      </c>
      <c r="CZ181" s="3" cm="1">
        <f t="array" ref="CZ181">_xlfn.IFS(BP181&lt;&gt;"", BP181, CV181=1,  AQ181, CV181=0,  AZ181)</f>
        <v>0</v>
      </c>
      <c r="DA181" s="36" cm="1">
        <f t="array" ref="DA181">_xlfn.IFS(BO181&lt;&gt;"", BO181, CV181=0,  AQ181, CV181=1,  AZ181)</f>
        <v>4</v>
      </c>
      <c r="DB181" s="36">
        <f t="shared" si="21"/>
        <v>-4</v>
      </c>
      <c r="DC181" s="3">
        <f t="shared" si="22"/>
        <v>-4</v>
      </c>
      <c r="DD181" s="3">
        <f t="shared" si="23"/>
        <v>-4</v>
      </c>
      <c r="DE181" s="3">
        <f t="shared" si="24"/>
        <v>-4</v>
      </c>
      <c r="DF181" s="3">
        <f t="shared" si="25"/>
        <v>0</v>
      </c>
      <c r="DG181" s="3">
        <f t="shared" si="26"/>
        <v>-4</v>
      </c>
    </row>
    <row r="182" spans="1:111" x14ac:dyDescent="0.4">
      <c r="A182" s="3">
        <v>202503</v>
      </c>
      <c r="B182" s="3">
        <v>222</v>
      </c>
      <c r="C182" s="5">
        <v>45735.608935185184</v>
      </c>
      <c r="D182" s="5">
        <v>45735.616793981484</v>
      </c>
      <c r="E182" s="3">
        <v>0</v>
      </c>
      <c r="F182" s="4" t="s">
        <v>559</v>
      </c>
      <c r="G182" s="3">
        <v>100</v>
      </c>
      <c r="H182" s="3">
        <v>679</v>
      </c>
      <c r="I182" s="3">
        <v>1</v>
      </c>
      <c r="J182" s="5">
        <v>45735.616808923609</v>
      </c>
      <c r="K182" s="4" t="s">
        <v>560</v>
      </c>
      <c r="L182" s="4" t="s">
        <v>122</v>
      </c>
      <c r="M182" s="4" t="s">
        <v>122</v>
      </c>
      <c r="N182" s="4" t="s">
        <v>122</v>
      </c>
      <c r="O182" s="4" t="s">
        <v>122</v>
      </c>
      <c r="P182" s="3">
        <v>36.0383</v>
      </c>
      <c r="Q182" s="3">
        <v>-115.1446</v>
      </c>
      <c r="R182" s="4" t="s">
        <v>129</v>
      </c>
      <c r="S182" s="4" t="s">
        <v>124</v>
      </c>
      <c r="T182" s="3">
        <v>4</v>
      </c>
      <c r="U182" s="3">
        <v>1</v>
      </c>
      <c r="V182" s="3">
        <v>5</v>
      </c>
      <c r="W182" s="3">
        <v>2</v>
      </c>
      <c r="X182" s="3">
        <v>2</v>
      </c>
      <c r="Y182" s="3">
        <v>1</v>
      </c>
      <c r="Z182" s="3">
        <v>1</v>
      </c>
      <c r="AA182" s="3">
        <v>1</v>
      </c>
      <c r="AB182" s="4" t="s">
        <v>125</v>
      </c>
      <c r="AC182" s="4" t="s">
        <v>125</v>
      </c>
      <c r="AD182" s="4" t="s">
        <v>125</v>
      </c>
      <c r="AE182" s="4" t="s">
        <v>122</v>
      </c>
      <c r="AF182" s="4" t="s">
        <v>125</v>
      </c>
      <c r="AG182" s="3">
        <v>2</v>
      </c>
      <c r="AH182" s="3">
        <v>6</v>
      </c>
      <c r="AI182" s="3">
        <v>2</v>
      </c>
      <c r="AJ182" s="3">
        <v>8</v>
      </c>
      <c r="AK182" s="3">
        <v>7</v>
      </c>
      <c r="AL182" s="3">
        <v>8</v>
      </c>
      <c r="AM182" s="3">
        <v>7</v>
      </c>
      <c r="AN182" s="3">
        <v>5</v>
      </c>
      <c r="AO182" s="3">
        <v>3</v>
      </c>
      <c r="AP182" s="3">
        <v>4</v>
      </c>
      <c r="AQ182" s="3">
        <v>6</v>
      </c>
      <c r="AR182" s="3">
        <v>3</v>
      </c>
      <c r="AS182" s="3">
        <v>5</v>
      </c>
      <c r="AT182" s="3">
        <v>5</v>
      </c>
      <c r="AU182" s="3">
        <v>5</v>
      </c>
      <c r="AV182" s="3">
        <v>5</v>
      </c>
      <c r="AW182" s="3">
        <v>7</v>
      </c>
      <c r="AX182" s="3">
        <v>1</v>
      </c>
      <c r="AY182" s="3">
        <v>2</v>
      </c>
      <c r="AZ182" s="3">
        <v>6</v>
      </c>
      <c r="BA182" s="3">
        <v>2</v>
      </c>
      <c r="BB182" s="3">
        <v>6</v>
      </c>
      <c r="BC182" s="3">
        <v>6</v>
      </c>
      <c r="BD182" s="3">
        <v>3</v>
      </c>
      <c r="BE182" s="3" t="s">
        <v>122</v>
      </c>
      <c r="BF182" s="3" t="s">
        <v>122</v>
      </c>
      <c r="BG182" s="3" t="s">
        <v>122</v>
      </c>
      <c r="BH182" s="3" t="s">
        <v>122</v>
      </c>
      <c r="BI182" s="3" t="s">
        <v>122</v>
      </c>
      <c r="BJ182" s="3" t="s">
        <v>122</v>
      </c>
      <c r="BK182" s="3" t="s">
        <v>122</v>
      </c>
      <c r="BL182" s="3" t="s">
        <v>122</v>
      </c>
      <c r="BM182" s="3" t="s">
        <v>122</v>
      </c>
      <c r="BN182" s="3">
        <v>1</v>
      </c>
      <c r="BO182" s="3" t="s">
        <v>122</v>
      </c>
      <c r="BP182" s="3" t="s">
        <v>122</v>
      </c>
      <c r="BQ182" s="3" t="s">
        <v>122</v>
      </c>
      <c r="BR182" s="3" t="s">
        <v>122</v>
      </c>
      <c r="BS182" s="3" t="s">
        <v>122</v>
      </c>
      <c r="BT182" s="3" t="s">
        <v>122</v>
      </c>
      <c r="BU182" s="3" t="s">
        <v>122</v>
      </c>
      <c r="BV182" s="3" t="s">
        <v>122</v>
      </c>
      <c r="BW182" s="3" t="s">
        <v>122</v>
      </c>
      <c r="BX182" s="3" t="s">
        <v>122</v>
      </c>
      <c r="BY182" s="3" t="s">
        <v>122</v>
      </c>
      <c r="BZ182" s="3" t="s">
        <v>122</v>
      </c>
      <c r="CA182" s="3" t="s">
        <v>122</v>
      </c>
      <c r="CB182" s="3" t="s">
        <v>122</v>
      </c>
      <c r="CC182" s="3" t="s">
        <v>122</v>
      </c>
      <c r="CD182" s="3" t="s">
        <v>122</v>
      </c>
      <c r="CE182" s="3" t="s">
        <v>122</v>
      </c>
      <c r="CF182" s="3">
        <v>1</v>
      </c>
      <c r="CG182" s="4" t="s">
        <v>122</v>
      </c>
      <c r="CH182" s="3">
        <v>4</v>
      </c>
      <c r="CI182" s="4" t="s">
        <v>122</v>
      </c>
      <c r="CJ182" s="4" t="s">
        <v>122</v>
      </c>
      <c r="CK182" s="4" t="s">
        <v>122</v>
      </c>
      <c r="CL182" s="4" t="s">
        <v>125</v>
      </c>
      <c r="CM182" s="4" t="s">
        <v>122</v>
      </c>
      <c r="CN182" s="4" t="s">
        <v>122</v>
      </c>
      <c r="CO182" s="4" t="s">
        <v>125</v>
      </c>
      <c r="CP182" s="4" t="s">
        <v>122</v>
      </c>
      <c r="CQ182" s="4" t="s">
        <v>122</v>
      </c>
      <c r="CR182" s="4" t="s">
        <v>122</v>
      </c>
      <c r="CS182" s="3">
        <v>5</v>
      </c>
      <c r="CT182" s="3">
        <v>3</v>
      </c>
      <c r="CU182" s="42">
        <v>2</v>
      </c>
      <c r="CV182" cm="1">
        <f t="array" ref="CV182">_xlfn.IFS(CU182*1=2,1,CU182*1=4,1,TRUE,0)</f>
        <v>1</v>
      </c>
      <c r="CW182" cm="1">
        <f t="array" ref="CW182">_xlfn.IFS(CU182*1=1,1,CU182*1=2,1,TRUE,0)</f>
        <v>1</v>
      </c>
      <c r="CX182" s="3">
        <f t="shared" si="19"/>
        <v>6</v>
      </c>
      <c r="CY182" s="3">
        <f t="shared" si="20"/>
        <v>6</v>
      </c>
      <c r="CZ182" s="3" cm="1">
        <f t="array" ref="CZ182">_xlfn.IFS(BP182&lt;&gt;"", BP182, CV182=1,  AQ182, CV182=0,  AZ182)</f>
        <v>6</v>
      </c>
      <c r="DA182" s="36" cm="1">
        <f t="array" ref="DA182">_xlfn.IFS(BO182&lt;&gt;"", BO182, CV182=0,  AQ182, CV182=1,  AZ182)</f>
        <v>6</v>
      </c>
      <c r="DB182" s="36">
        <f t="shared" si="21"/>
        <v>0</v>
      </c>
      <c r="DC182" s="3">
        <f t="shared" si="22"/>
        <v>0</v>
      </c>
      <c r="DD182" s="3">
        <f t="shared" si="23"/>
        <v>0</v>
      </c>
      <c r="DE182" s="3">
        <f t="shared" si="24"/>
        <v>0</v>
      </c>
      <c r="DF182" s="3">
        <f t="shared" si="25"/>
        <v>0</v>
      </c>
      <c r="DG182" s="3">
        <f t="shared" si="26"/>
        <v>0</v>
      </c>
    </row>
    <row r="183" spans="1:111" x14ac:dyDescent="0.4">
      <c r="A183" s="3">
        <v>202503</v>
      </c>
      <c r="B183" s="3">
        <v>222</v>
      </c>
      <c r="C183" s="5">
        <v>45735.613263888888</v>
      </c>
      <c r="D183" s="5">
        <v>45735.618275462963</v>
      </c>
      <c r="E183" s="3">
        <v>0</v>
      </c>
      <c r="F183" s="4" t="s">
        <v>561</v>
      </c>
      <c r="G183" s="3">
        <v>100</v>
      </c>
      <c r="H183" s="3">
        <v>433</v>
      </c>
      <c r="I183" s="3">
        <v>1</v>
      </c>
      <c r="J183" s="5">
        <v>45735.618290659724</v>
      </c>
      <c r="K183" s="4" t="s">
        <v>562</v>
      </c>
      <c r="L183" s="4" t="s">
        <v>122</v>
      </c>
      <c r="M183" s="4" t="s">
        <v>122</v>
      </c>
      <c r="N183" s="4" t="s">
        <v>122</v>
      </c>
      <c r="O183" s="4" t="s">
        <v>122</v>
      </c>
      <c r="P183" s="3">
        <v>32.250300000000003</v>
      </c>
      <c r="Q183" s="3">
        <v>-110.94499999999999</v>
      </c>
      <c r="R183" s="4" t="s">
        <v>129</v>
      </c>
      <c r="S183" s="4" t="s">
        <v>124</v>
      </c>
      <c r="T183" s="3">
        <v>4</v>
      </c>
      <c r="U183" s="3">
        <v>0</v>
      </c>
      <c r="V183" s="3">
        <v>1</v>
      </c>
      <c r="W183" s="3">
        <v>1</v>
      </c>
      <c r="X183" s="3">
        <v>1</v>
      </c>
      <c r="Y183" s="3">
        <v>1</v>
      </c>
      <c r="Z183" s="3">
        <v>1</v>
      </c>
      <c r="AA183" s="3">
        <v>1</v>
      </c>
      <c r="AB183" s="4" t="s">
        <v>122</v>
      </c>
      <c r="AC183" s="4" t="s">
        <v>122</v>
      </c>
      <c r="AD183" s="4" t="s">
        <v>122</v>
      </c>
      <c r="AE183" s="4" t="s">
        <v>122</v>
      </c>
      <c r="AF183" s="4" t="s">
        <v>122</v>
      </c>
      <c r="AG183" s="3">
        <v>3</v>
      </c>
      <c r="AH183" s="3">
        <v>0</v>
      </c>
      <c r="AI183" s="3" t="s">
        <v>122</v>
      </c>
      <c r="AJ183" s="3">
        <v>5</v>
      </c>
      <c r="AK183" s="3">
        <v>6</v>
      </c>
      <c r="AL183" s="3">
        <v>7</v>
      </c>
      <c r="AM183" s="3">
        <v>4</v>
      </c>
      <c r="AN183" s="3">
        <v>7</v>
      </c>
      <c r="AO183" s="3">
        <v>4</v>
      </c>
      <c r="AP183" s="3">
        <v>3</v>
      </c>
      <c r="AQ183" s="4" t="s">
        <v>122</v>
      </c>
      <c r="AR183" s="4" t="s">
        <v>122</v>
      </c>
      <c r="AS183" s="3">
        <v>6</v>
      </c>
      <c r="AT183" s="3">
        <v>5</v>
      </c>
      <c r="AU183" s="3">
        <v>6</v>
      </c>
      <c r="AV183" s="3">
        <v>6</v>
      </c>
      <c r="AW183" s="3">
        <v>6</v>
      </c>
      <c r="AX183" s="3">
        <v>3</v>
      </c>
      <c r="AY183" s="3">
        <v>3</v>
      </c>
      <c r="AZ183" s="4" t="s">
        <v>122</v>
      </c>
      <c r="BA183" s="4" t="s">
        <v>122</v>
      </c>
      <c r="BB183" s="3" t="s">
        <v>122</v>
      </c>
      <c r="BC183" s="3" t="s">
        <v>122</v>
      </c>
      <c r="BD183" s="3" t="s">
        <v>122</v>
      </c>
      <c r="BE183" s="3" t="s">
        <v>122</v>
      </c>
      <c r="BF183" s="3" t="s">
        <v>122</v>
      </c>
      <c r="BG183" s="3" t="s">
        <v>122</v>
      </c>
      <c r="BH183" s="3" t="s">
        <v>122</v>
      </c>
      <c r="BI183" s="3" t="s">
        <v>122</v>
      </c>
      <c r="BJ183" s="3" t="s">
        <v>122</v>
      </c>
      <c r="BK183" s="3" t="s">
        <v>122</v>
      </c>
      <c r="BL183" s="3" t="s">
        <v>122</v>
      </c>
      <c r="BM183" s="3" t="s">
        <v>122</v>
      </c>
      <c r="BN183" s="3" t="s">
        <v>122</v>
      </c>
      <c r="BO183" s="3">
        <v>0</v>
      </c>
      <c r="BP183" s="3">
        <v>0</v>
      </c>
      <c r="BQ183" s="3">
        <v>3</v>
      </c>
      <c r="BR183" s="3" t="s">
        <v>122</v>
      </c>
      <c r="BS183" s="3" t="s">
        <v>122</v>
      </c>
      <c r="BT183" s="3" t="s">
        <v>122</v>
      </c>
      <c r="BU183" s="3" t="s">
        <v>122</v>
      </c>
      <c r="BV183" s="3" t="s">
        <v>122</v>
      </c>
      <c r="BW183" s="3" t="s">
        <v>122</v>
      </c>
      <c r="BX183" s="3" t="s">
        <v>122</v>
      </c>
      <c r="BY183" s="3" t="s">
        <v>122</v>
      </c>
      <c r="BZ183" s="3" t="s">
        <v>122</v>
      </c>
      <c r="CA183" s="3" t="s">
        <v>122</v>
      </c>
      <c r="CB183" s="3">
        <v>0</v>
      </c>
      <c r="CC183" s="3" t="s">
        <v>122</v>
      </c>
      <c r="CD183" s="3">
        <v>0</v>
      </c>
      <c r="CE183" s="3" t="s">
        <v>122</v>
      </c>
      <c r="CF183" s="3">
        <v>1</v>
      </c>
      <c r="CG183" s="4" t="s">
        <v>122</v>
      </c>
      <c r="CH183" s="3">
        <v>2</v>
      </c>
      <c r="CI183" s="4" t="s">
        <v>122</v>
      </c>
      <c r="CJ183" s="4" t="s">
        <v>122</v>
      </c>
      <c r="CK183" s="4" t="s">
        <v>122</v>
      </c>
      <c r="CL183" s="4" t="s">
        <v>125</v>
      </c>
      <c r="CM183" s="4" t="s">
        <v>122</v>
      </c>
      <c r="CN183" s="4" t="s">
        <v>122</v>
      </c>
      <c r="CO183" s="4" t="s">
        <v>122</v>
      </c>
      <c r="CP183" s="4" t="s">
        <v>122</v>
      </c>
      <c r="CQ183" s="4" t="s">
        <v>122</v>
      </c>
      <c r="CR183" s="4" t="s">
        <v>122</v>
      </c>
      <c r="CS183" s="3">
        <v>3</v>
      </c>
      <c r="CT183" s="3">
        <v>4</v>
      </c>
      <c r="CU183" s="42">
        <v>3</v>
      </c>
      <c r="CV183" cm="1">
        <f t="array" ref="CV183">_xlfn.IFS(CU183*1=2,1,CU183*1=4,1,TRUE,0)</f>
        <v>0</v>
      </c>
      <c r="CW183" cm="1">
        <f t="array" ref="CW183">_xlfn.IFS(CU183*1=1,1,CU183*1=2,1,TRUE,0)</f>
        <v>0</v>
      </c>
      <c r="CX183" s="3">
        <f t="shared" si="19"/>
        <v>0</v>
      </c>
      <c r="CY183" s="3">
        <f t="shared" si="20"/>
        <v>0</v>
      </c>
      <c r="CZ183" s="3" cm="1">
        <f t="array" ref="CZ183">_xlfn.IFS(BP183&lt;&gt;"", BP183, CV183=1,  AQ183, CV183=0,  AZ183)</f>
        <v>0</v>
      </c>
      <c r="DA183" s="36" cm="1">
        <f t="array" ref="DA183">_xlfn.IFS(BO183&lt;&gt;"", BO183, CV183=0,  AQ183, CV183=1,  AZ183)</f>
        <v>0</v>
      </c>
      <c r="DB183" s="36">
        <f t="shared" si="21"/>
        <v>0</v>
      </c>
      <c r="DC183" s="3">
        <f t="shared" si="22"/>
        <v>0</v>
      </c>
      <c r="DD183" s="3">
        <f t="shared" si="23"/>
        <v>0</v>
      </c>
      <c r="DE183" s="3">
        <f t="shared" si="24"/>
        <v>0</v>
      </c>
      <c r="DF183" s="3">
        <f t="shared" si="25"/>
        <v>0</v>
      </c>
      <c r="DG183" s="3">
        <f t="shared" si="26"/>
        <v>0</v>
      </c>
    </row>
    <row r="184" spans="1:111" x14ac:dyDescent="0.4">
      <c r="A184" s="3">
        <v>202503</v>
      </c>
      <c r="B184" s="3">
        <v>222</v>
      </c>
      <c r="C184" s="5">
        <v>45735.618043981478</v>
      </c>
      <c r="D184" s="5">
        <v>45735.621377314812</v>
      </c>
      <c r="E184" s="3">
        <v>0</v>
      </c>
      <c r="F184" s="4" t="s">
        <v>421</v>
      </c>
      <c r="G184" s="3">
        <v>100</v>
      </c>
      <c r="H184" s="3">
        <v>287</v>
      </c>
      <c r="I184" s="3">
        <v>1</v>
      </c>
      <c r="J184" s="5">
        <v>45735.621391319444</v>
      </c>
      <c r="K184" s="4" t="s">
        <v>563</v>
      </c>
      <c r="L184" s="4" t="s">
        <v>122</v>
      </c>
      <c r="M184" s="4" t="s">
        <v>122</v>
      </c>
      <c r="N184" s="4" t="s">
        <v>122</v>
      </c>
      <c r="O184" s="4" t="s">
        <v>122</v>
      </c>
      <c r="P184" s="3">
        <v>32.250300000000003</v>
      </c>
      <c r="Q184" s="3">
        <v>-110.94499999999999</v>
      </c>
      <c r="R184" s="4" t="s">
        <v>129</v>
      </c>
      <c r="S184" s="4" t="s">
        <v>124</v>
      </c>
      <c r="T184" s="3">
        <v>4</v>
      </c>
      <c r="U184" s="3">
        <v>1</v>
      </c>
      <c r="V184" s="3">
        <v>2</v>
      </c>
      <c r="W184" s="3">
        <v>1</v>
      </c>
      <c r="X184" s="3">
        <v>2</v>
      </c>
      <c r="Y184" s="3">
        <v>1</v>
      </c>
      <c r="Z184" s="3">
        <v>1</v>
      </c>
      <c r="AA184" s="3">
        <v>1</v>
      </c>
      <c r="AB184" s="4" t="s">
        <v>125</v>
      </c>
      <c r="AC184" s="4" t="s">
        <v>122</v>
      </c>
      <c r="AD184" s="4" t="s">
        <v>122</v>
      </c>
      <c r="AE184" s="4" t="s">
        <v>122</v>
      </c>
      <c r="AF184" s="4" t="s">
        <v>122</v>
      </c>
      <c r="AG184" s="3">
        <v>2</v>
      </c>
      <c r="AH184" s="3">
        <v>4</v>
      </c>
      <c r="AI184" s="3">
        <v>3</v>
      </c>
      <c r="AJ184" s="3">
        <v>1</v>
      </c>
      <c r="AK184" s="3">
        <v>4</v>
      </c>
      <c r="AL184" s="3">
        <v>4</v>
      </c>
      <c r="AM184" s="3">
        <v>3</v>
      </c>
      <c r="AN184" s="3">
        <v>2</v>
      </c>
      <c r="AO184" s="3">
        <v>4</v>
      </c>
      <c r="AP184" s="3">
        <v>4</v>
      </c>
      <c r="AQ184" s="4" t="s">
        <v>122</v>
      </c>
      <c r="AR184" s="4" t="s">
        <v>122</v>
      </c>
      <c r="AS184" s="3">
        <v>4</v>
      </c>
      <c r="AT184" s="3">
        <v>1</v>
      </c>
      <c r="AU184" s="3">
        <v>2</v>
      </c>
      <c r="AV184" s="3">
        <v>3</v>
      </c>
      <c r="AW184" s="3">
        <v>3</v>
      </c>
      <c r="AX184" s="3">
        <v>3</v>
      </c>
      <c r="AY184" s="3">
        <v>3</v>
      </c>
      <c r="AZ184" s="4" t="s">
        <v>122</v>
      </c>
      <c r="BA184" s="4" t="s">
        <v>122</v>
      </c>
      <c r="BB184" s="3" t="s">
        <v>122</v>
      </c>
      <c r="BC184" s="3" t="s">
        <v>122</v>
      </c>
      <c r="BD184" s="3" t="s">
        <v>122</v>
      </c>
      <c r="BE184" s="3" t="s">
        <v>122</v>
      </c>
      <c r="BF184" s="3" t="s">
        <v>122</v>
      </c>
      <c r="BG184" s="3" t="s">
        <v>122</v>
      </c>
      <c r="BH184" s="3" t="s">
        <v>122</v>
      </c>
      <c r="BI184" s="3" t="s">
        <v>122</v>
      </c>
      <c r="BJ184" s="3" t="s">
        <v>122</v>
      </c>
      <c r="BK184" s="3" t="s">
        <v>122</v>
      </c>
      <c r="BL184" s="3" t="s">
        <v>122</v>
      </c>
      <c r="BM184" s="3" t="s">
        <v>122</v>
      </c>
      <c r="BN184" s="3" t="s">
        <v>122</v>
      </c>
      <c r="BO184" s="3">
        <v>4</v>
      </c>
      <c r="BP184" s="3">
        <v>4</v>
      </c>
      <c r="BQ184" s="3">
        <v>3</v>
      </c>
      <c r="BR184" s="3" t="s">
        <v>122</v>
      </c>
      <c r="BS184" s="3" t="s">
        <v>122</v>
      </c>
      <c r="BT184" s="3" t="s">
        <v>122</v>
      </c>
      <c r="BU184" s="3" t="s">
        <v>122</v>
      </c>
      <c r="BV184" s="3" t="s">
        <v>122</v>
      </c>
      <c r="BW184" s="3" t="s">
        <v>122</v>
      </c>
      <c r="BX184" s="3" t="s">
        <v>122</v>
      </c>
      <c r="BY184" s="3" t="s">
        <v>122</v>
      </c>
      <c r="BZ184" s="3" t="s">
        <v>122</v>
      </c>
      <c r="CA184" s="3">
        <v>1</v>
      </c>
      <c r="CB184" s="3">
        <v>4</v>
      </c>
      <c r="CC184" s="3">
        <v>3</v>
      </c>
      <c r="CD184" s="3">
        <v>4</v>
      </c>
      <c r="CE184" s="3">
        <v>3</v>
      </c>
      <c r="CF184" s="3">
        <v>3</v>
      </c>
      <c r="CG184" s="4" t="s">
        <v>122</v>
      </c>
      <c r="CH184" s="3">
        <v>3</v>
      </c>
      <c r="CI184" s="4" t="s">
        <v>122</v>
      </c>
      <c r="CJ184" s="4" t="s">
        <v>125</v>
      </c>
      <c r="CK184" s="4" t="s">
        <v>122</v>
      </c>
      <c r="CL184" s="4" t="s">
        <v>122</v>
      </c>
      <c r="CM184" s="4" t="s">
        <v>122</v>
      </c>
      <c r="CN184" s="4" t="s">
        <v>122</v>
      </c>
      <c r="CO184" s="4" t="s">
        <v>122</v>
      </c>
      <c r="CP184" s="4" t="s">
        <v>122</v>
      </c>
      <c r="CQ184" s="4" t="s">
        <v>122</v>
      </c>
      <c r="CR184" s="4" t="s">
        <v>122</v>
      </c>
      <c r="CS184" s="3">
        <v>3</v>
      </c>
      <c r="CT184" s="3">
        <v>4</v>
      </c>
      <c r="CU184" s="42">
        <v>4</v>
      </c>
      <c r="CV184" cm="1">
        <f t="array" ref="CV184">_xlfn.IFS(CU184*1=2,1,CU184*1=4,1,TRUE,0)</f>
        <v>1</v>
      </c>
      <c r="CW184" cm="1">
        <f t="array" ref="CW184">_xlfn.IFS(CU184*1=1,1,CU184*1=2,1,TRUE,0)</f>
        <v>0</v>
      </c>
      <c r="CX184" s="3">
        <f t="shared" si="19"/>
        <v>4</v>
      </c>
      <c r="CY184" s="3">
        <f t="shared" si="20"/>
        <v>4</v>
      </c>
      <c r="CZ184" s="3" cm="1">
        <f t="array" ref="CZ184">_xlfn.IFS(BP184&lt;&gt;"", BP184, CV184=1,  AQ184, CV184=0,  AZ184)</f>
        <v>4</v>
      </c>
      <c r="DA184" s="36" cm="1">
        <f t="array" ref="DA184">_xlfn.IFS(BO184&lt;&gt;"", BO184, CV184=0,  AQ184, CV184=1,  AZ184)</f>
        <v>4</v>
      </c>
      <c r="DB184" s="36">
        <f t="shared" si="21"/>
        <v>0</v>
      </c>
      <c r="DC184" s="3">
        <f t="shared" si="22"/>
        <v>0</v>
      </c>
      <c r="DD184" s="3">
        <f t="shared" si="23"/>
        <v>0</v>
      </c>
      <c r="DE184" s="3">
        <f t="shared" si="24"/>
        <v>0</v>
      </c>
      <c r="DF184" s="3">
        <f t="shared" si="25"/>
        <v>0</v>
      </c>
      <c r="DG184" s="3">
        <f t="shared" si="26"/>
        <v>0</v>
      </c>
    </row>
    <row r="185" spans="1:111" x14ac:dyDescent="0.4">
      <c r="A185" s="3">
        <v>202503</v>
      </c>
      <c r="B185" s="3">
        <v>222</v>
      </c>
      <c r="C185" s="5">
        <v>45735.620370370372</v>
      </c>
      <c r="D185" s="5">
        <v>45735.625787037039</v>
      </c>
      <c r="E185" s="3">
        <v>0</v>
      </c>
      <c r="F185" s="4" t="s">
        <v>121</v>
      </c>
      <c r="G185" s="3">
        <v>100</v>
      </c>
      <c r="H185" s="3">
        <v>468</v>
      </c>
      <c r="I185" s="3">
        <v>1</v>
      </c>
      <c r="J185" s="5">
        <v>45735.625800972222</v>
      </c>
      <c r="K185" s="4" t="s">
        <v>564</v>
      </c>
      <c r="L185" s="4" t="s">
        <v>122</v>
      </c>
      <c r="M185" s="4" t="s">
        <v>122</v>
      </c>
      <c r="N185" s="4" t="s">
        <v>122</v>
      </c>
      <c r="O185" s="4" t="s">
        <v>122</v>
      </c>
      <c r="P185" s="3">
        <v>32.250300000000003</v>
      </c>
      <c r="Q185" s="3">
        <v>-110.94499999999999</v>
      </c>
      <c r="R185" s="4" t="s">
        <v>129</v>
      </c>
      <c r="S185" s="4" t="s">
        <v>124</v>
      </c>
      <c r="T185" s="3">
        <v>4</v>
      </c>
      <c r="U185" s="3">
        <v>1</v>
      </c>
      <c r="V185" s="3">
        <v>5</v>
      </c>
      <c r="W185" s="3">
        <v>3</v>
      </c>
      <c r="X185" s="3">
        <v>1</v>
      </c>
      <c r="Y185" s="3">
        <v>1</v>
      </c>
      <c r="Z185" s="3">
        <v>1</v>
      </c>
      <c r="AA185" s="3">
        <v>1</v>
      </c>
      <c r="AB185" s="4" t="s">
        <v>122</v>
      </c>
      <c r="AC185" s="4" t="s">
        <v>122</v>
      </c>
      <c r="AD185" s="4" t="s">
        <v>122</v>
      </c>
      <c r="AE185" s="4" t="s">
        <v>122</v>
      </c>
      <c r="AF185" s="4" t="s">
        <v>122</v>
      </c>
      <c r="AG185" s="3">
        <v>6</v>
      </c>
      <c r="AH185" s="3">
        <v>6</v>
      </c>
      <c r="AI185" s="3">
        <v>2</v>
      </c>
      <c r="AJ185" s="3">
        <v>6</v>
      </c>
      <c r="AK185" s="3">
        <v>7</v>
      </c>
      <c r="AL185" s="3">
        <v>8</v>
      </c>
      <c r="AM185" s="3">
        <v>7</v>
      </c>
      <c r="AN185" s="3">
        <v>7</v>
      </c>
      <c r="AO185" s="3">
        <v>4</v>
      </c>
      <c r="AP185" s="3">
        <v>3</v>
      </c>
      <c r="AQ185" s="3">
        <v>6</v>
      </c>
      <c r="AR185" s="3">
        <v>2</v>
      </c>
      <c r="AS185" s="3">
        <v>7</v>
      </c>
      <c r="AT185" s="3">
        <v>7</v>
      </c>
      <c r="AU185" s="3">
        <v>8</v>
      </c>
      <c r="AV185" s="3">
        <v>8</v>
      </c>
      <c r="AW185" s="3">
        <v>7</v>
      </c>
      <c r="AX185" s="3">
        <v>3</v>
      </c>
      <c r="AY185" s="3">
        <v>3</v>
      </c>
      <c r="AZ185" s="3">
        <v>7</v>
      </c>
      <c r="BA185" s="3">
        <v>2</v>
      </c>
      <c r="BB185" s="3">
        <v>6</v>
      </c>
      <c r="BC185" s="3">
        <v>7</v>
      </c>
      <c r="BD185" s="3">
        <v>2</v>
      </c>
      <c r="BE185" s="3" t="s">
        <v>122</v>
      </c>
      <c r="BF185" s="3" t="s">
        <v>122</v>
      </c>
      <c r="BG185" s="3" t="s">
        <v>122</v>
      </c>
      <c r="BH185" s="3" t="s">
        <v>122</v>
      </c>
      <c r="BI185" s="3" t="s">
        <v>122</v>
      </c>
      <c r="BJ185" s="3" t="s">
        <v>122</v>
      </c>
      <c r="BK185" s="3" t="s">
        <v>122</v>
      </c>
      <c r="BL185" s="3" t="s">
        <v>122</v>
      </c>
      <c r="BM185" s="3" t="s">
        <v>122</v>
      </c>
      <c r="BN185" s="3" t="s">
        <v>122</v>
      </c>
      <c r="BO185" s="3" t="s">
        <v>122</v>
      </c>
      <c r="BP185" s="3" t="s">
        <v>122</v>
      </c>
      <c r="BQ185" s="3" t="s">
        <v>122</v>
      </c>
      <c r="BR185" s="3" t="s">
        <v>122</v>
      </c>
      <c r="BS185" s="3" t="s">
        <v>122</v>
      </c>
      <c r="BT185" s="3" t="s">
        <v>122</v>
      </c>
      <c r="BU185" s="3" t="s">
        <v>122</v>
      </c>
      <c r="BV185" s="3" t="s">
        <v>122</v>
      </c>
      <c r="BW185" s="3" t="s">
        <v>122</v>
      </c>
      <c r="BX185" s="3" t="s">
        <v>122</v>
      </c>
      <c r="BY185" s="3" t="s">
        <v>122</v>
      </c>
      <c r="BZ185" s="3" t="s">
        <v>122</v>
      </c>
      <c r="CA185" s="3" t="s">
        <v>122</v>
      </c>
      <c r="CB185" s="3" t="s">
        <v>122</v>
      </c>
      <c r="CC185" s="3" t="s">
        <v>122</v>
      </c>
      <c r="CD185" s="3" t="s">
        <v>122</v>
      </c>
      <c r="CE185" s="3" t="s">
        <v>122</v>
      </c>
      <c r="CF185" s="3">
        <v>1</v>
      </c>
      <c r="CG185" s="4" t="s">
        <v>122</v>
      </c>
      <c r="CH185" s="3">
        <v>4</v>
      </c>
      <c r="CI185" s="4" t="s">
        <v>122</v>
      </c>
      <c r="CJ185" s="4" t="s">
        <v>122</v>
      </c>
      <c r="CK185" s="4" t="s">
        <v>122</v>
      </c>
      <c r="CL185" s="4" t="s">
        <v>122</v>
      </c>
      <c r="CM185" s="4" t="s">
        <v>122</v>
      </c>
      <c r="CN185" s="4" t="s">
        <v>122</v>
      </c>
      <c r="CO185" s="4" t="s">
        <v>125</v>
      </c>
      <c r="CP185" s="4" t="s">
        <v>122</v>
      </c>
      <c r="CQ185" s="4" t="s">
        <v>122</v>
      </c>
      <c r="CR185" s="4" t="s">
        <v>122</v>
      </c>
      <c r="CS185" s="3">
        <v>5</v>
      </c>
      <c r="CT185" s="3">
        <v>6</v>
      </c>
      <c r="CU185" s="42">
        <v>1</v>
      </c>
      <c r="CV185" cm="1">
        <f t="array" ref="CV185">_xlfn.IFS(CU185*1=2,1,CU185*1=4,1,TRUE,0)</f>
        <v>0</v>
      </c>
      <c r="CW185" cm="1">
        <f t="array" ref="CW185">_xlfn.IFS(CU185*1=1,1,CU185*1=2,1,TRUE,0)</f>
        <v>1</v>
      </c>
      <c r="CX185" s="3">
        <f t="shared" si="19"/>
        <v>6</v>
      </c>
      <c r="CY185" s="3">
        <f t="shared" si="20"/>
        <v>7</v>
      </c>
      <c r="CZ185" s="3" cm="1">
        <f t="array" ref="CZ185">_xlfn.IFS(BP185&lt;&gt;"", BP185, CV185=1,  AQ185, CV185=0,  AZ185)</f>
        <v>7</v>
      </c>
      <c r="DA185" s="36" cm="1">
        <f t="array" ref="DA185">_xlfn.IFS(BO185&lt;&gt;"", BO185, CV185=0,  AQ185, CV185=1,  AZ185)</f>
        <v>6</v>
      </c>
      <c r="DB185" s="36">
        <f t="shared" si="21"/>
        <v>1</v>
      </c>
      <c r="DC185" s="3">
        <f t="shared" si="22"/>
        <v>0</v>
      </c>
      <c r="DD185" s="3">
        <f t="shared" si="23"/>
        <v>1</v>
      </c>
      <c r="DE185" s="3">
        <f t="shared" si="24"/>
        <v>1</v>
      </c>
      <c r="DF185" s="3">
        <f t="shared" si="25"/>
        <v>0</v>
      </c>
      <c r="DG185" s="3">
        <f t="shared" si="26"/>
        <v>0</v>
      </c>
    </row>
    <row r="186" spans="1:111" x14ac:dyDescent="0.4">
      <c r="A186" s="3">
        <v>202503</v>
      </c>
      <c r="B186" s="3">
        <v>222</v>
      </c>
      <c r="C186" s="5">
        <v>45735.620983796296</v>
      </c>
      <c r="D186" s="5">
        <v>45735.626481481479</v>
      </c>
      <c r="E186" s="3">
        <v>0</v>
      </c>
      <c r="F186" s="4" t="s">
        <v>416</v>
      </c>
      <c r="G186" s="3">
        <v>100</v>
      </c>
      <c r="H186" s="3">
        <v>474</v>
      </c>
      <c r="I186" s="3">
        <v>1</v>
      </c>
      <c r="J186" s="5">
        <v>45735.62649166667</v>
      </c>
      <c r="K186" s="4" t="s">
        <v>565</v>
      </c>
      <c r="L186" s="4" t="s">
        <v>122</v>
      </c>
      <c r="M186" s="4" t="s">
        <v>122</v>
      </c>
      <c r="N186" s="4" t="s">
        <v>122</v>
      </c>
      <c r="O186" s="4" t="s">
        <v>122</v>
      </c>
      <c r="P186" s="3">
        <v>32.216299999999997</v>
      </c>
      <c r="Q186" s="3">
        <v>-110.9241</v>
      </c>
      <c r="R186" s="4" t="s">
        <v>129</v>
      </c>
      <c r="S186" s="4" t="s">
        <v>124</v>
      </c>
      <c r="T186" s="3">
        <v>4</v>
      </c>
      <c r="U186" s="3">
        <v>1</v>
      </c>
      <c r="V186" s="3">
        <v>3</v>
      </c>
      <c r="W186" s="3">
        <v>1</v>
      </c>
      <c r="X186" s="3">
        <v>2</v>
      </c>
      <c r="Y186" s="3">
        <v>1</v>
      </c>
      <c r="Z186" s="3">
        <v>1</v>
      </c>
      <c r="AA186" s="3">
        <v>1</v>
      </c>
      <c r="AB186" s="4" t="s">
        <v>122</v>
      </c>
      <c r="AC186" s="4" t="s">
        <v>125</v>
      </c>
      <c r="AD186" s="4" t="s">
        <v>122</v>
      </c>
      <c r="AE186" s="4" t="s">
        <v>122</v>
      </c>
      <c r="AF186" s="4" t="s">
        <v>122</v>
      </c>
      <c r="AG186" s="3">
        <v>3</v>
      </c>
      <c r="AH186" s="3">
        <v>7</v>
      </c>
      <c r="AI186" s="3">
        <v>3</v>
      </c>
      <c r="AJ186" s="3">
        <v>3</v>
      </c>
      <c r="AK186" s="3">
        <v>6</v>
      </c>
      <c r="AL186" s="3">
        <v>5</v>
      </c>
      <c r="AM186" s="3">
        <v>3</v>
      </c>
      <c r="AN186" s="3">
        <v>4</v>
      </c>
      <c r="AO186" s="3">
        <v>4</v>
      </c>
      <c r="AP186" s="3">
        <v>3</v>
      </c>
      <c r="AQ186" s="3" t="s">
        <v>122</v>
      </c>
      <c r="AR186" s="3" t="s">
        <v>122</v>
      </c>
      <c r="AS186" s="3">
        <v>6</v>
      </c>
      <c r="AT186" s="3">
        <v>7</v>
      </c>
      <c r="AU186" s="3">
        <v>5</v>
      </c>
      <c r="AV186" s="3">
        <v>6</v>
      </c>
      <c r="AW186" s="3">
        <v>5</v>
      </c>
      <c r="AX186" s="3">
        <v>3</v>
      </c>
      <c r="AY186" s="3">
        <v>2</v>
      </c>
      <c r="AZ186" s="3" t="s">
        <v>122</v>
      </c>
      <c r="BA186" s="3" t="s">
        <v>122</v>
      </c>
      <c r="BB186" s="3" t="s">
        <v>122</v>
      </c>
      <c r="BC186" s="3" t="s">
        <v>122</v>
      </c>
      <c r="BD186" s="3" t="s">
        <v>122</v>
      </c>
      <c r="BE186" s="3" t="s">
        <v>122</v>
      </c>
      <c r="BF186" s="3" t="s">
        <v>122</v>
      </c>
      <c r="BG186" s="3" t="s">
        <v>122</v>
      </c>
      <c r="BH186" s="3" t="s">
        <v>122</v>
      </c>
      <c r="BI186" s="3" t="s">
        <v>122</v>
      </c>
      <c r="BJ186" s="3" t="s">
        <v>122</v>
      </c>
      <c r="BK186" s="3" t="s">
        <v>122</v>
      </c>
      <c r="BL186" s="3" t="s">
        <v>122</v>
      </c>
      <c r="BM186" s="3" t="s">
        <v>122</v>
      </c>
      <c r="BN186" s="3" t="s">
        <v>122</v>
      </c>
      <c r="BO186" s="3">
        <v>6</v>
      </c>
      <c r="BP186" s="3">
        <v>6</v>
      </c>
      <c r="BQ186" s="3">
        <v>3</v>
      </c>
      <c r="BR186" s="3" t="s">
        <v>122</v>
      </c>
      <c r="BS186" s="3" t="s">
        <v>122</v>
      </c>
      <c r="BT186" s="3" t="s">
        <v>122</v>
      </c>
      <c r="BU186" s="3" t="s">
        <v>122</v>
      </c>
      <c r="BV186" s="3" t="s">
        <v>122</v>
      </c>
      <c r="BW186" s="3" t="s">
        <v>122</v>
      </c>
      <c r="BX186" s="3" t="s">
        <v>122</v>
      </c>
      <c r="BY186" s="3" t="s">
        <v>122</v>
      </c>
      <c r="BZ186" s="3" t="s">
        <v>122</v>
      </c>
      <c r="CA186" s="3">
        <v>7</v>
      </c>
      <c r="CB186" s="3">
        <v>6</v>
      </c>
      <c r="CC186" s="3">
        <v>2</v>
      </c>
      <c r="CD186" s="3">
        <v>0</v>
      </c>
      <c r="CE186" s="3" t="s">
        <v>122</v>
      </c>
      <c r="CF186" s="3">
        <v>1</v>
      </c>
      <c r="CG186" s="4" t="s">
        <v>122</v>
      </c>
      <c r="CH186" s="3">
        <v>5</v>
      </c>
      <c r="CI186" s="4" t="s">
        <v>122</v>
      </c>
      <c r="CJ186" s="4" t="s">
        <v>122</v>
      </c>
      <c r="CK186" s="4" t="s">
        <v>122</v>
      </c>
      <c r="CL186" s="4" t="s">
        <v>122</v>
      </c>
      <c r="CM186" s="4" t="s">
        <v>122</v>
      </c>
      <c r="CN186" s="4" t="s">
        <v>122</v>
      </c>
      <c r="CO186" s="4" t="s">
        <v>125</v>
      </c>
      <c r="CP186" s="4" t="s">
        <v>122</v>
      </c>
      <c r="CQ186" s="4" t="s">
        <v>122</v>
      </c>
      <c r="CR186" s="4" t="s">
        <v>122</v>
      </c>
      <c r="CS186" s="3">
        <v>5</v>
      </c>
      <c r="CT186" s="3">
        <v>6</v>
      </c>
      <c r="CU186" s="42">
        <v>4</v>
      </c>
      <c r="CV186" cm="1">
        <f t="array" ref="CV186">_xlfn.IFS(CU186*1=2,1,CU186*1=4,1,TRUE,0)</f>
        <v>1</v>
      </c>
      <c r="CW186" cm="1">
        <f t="array" ref="CW186">_xlfn.IFS(CU186*1=1,1,CU186*1=2,1,TRUE,0)</f>
        <v>0</v>
      </c>
      <c r="CX186" s="3">
        <f t="shared" si="19"/>
        <v>6</v>
      </c>
      <c r="CY186" s="3">
        <f t="shared" si="20"/>
        <v>0</v>
      </c>
      <c r="CZ186" s="3" cm="1">
        <f t="array" ref="CZ186">_xlfn.IFS(BP186&lt;&gt;"", BP186, CV186=1,  AQ186, CV186=0,  AZ186)</f>
        <v>6</v>
      </c>
      <c r="DA186" s="36" cm="1">
        <f t="array" ref="DA186">_xlfn.IFS(BO186&lt;&gt;"", BO186, CV186=0,  AQ186, CV186=1,  AZ186)</f>
        <v>6</v>
      </c>
      <c r="DB186" s="36">
        <f t="shared" si="21"/>
        <v>-7</v>
      </c>
      <c r="DC186" s="3">
        <f t="shared" si="22"/>
        <v>-1</v>
      </c>
      <c r="DD186" s="3">
        <f t="shared" si="23"/>
        <v>-7</v>
      </c>
      <c r="DE186" s="3">
        <f t="shared" si="24"/>
        <v>-1</v>
      </c>
      <c r="DF186" s="3">
        <f t="shared" si="25"/>
        <v>-1</v>
      </c>
      <c r="DG186" s="3">
        <f t="shared" si="26"/>
        <v>-1</v>
      </c>
    </row>
    <row r="187" spans="1:111" x14ac:dyDescent="0.4">
      <c r="A187" s="3">
        <v>202503</v>
      </c>
      <c r="B187" s="3">
        <v>222</v>
      </c>
      <c r="C187" s="5">
        <v>45735.623101851852</v>
      </c>
      <c r="D187" s="5">
        <v>45735.633553240739</v>
      </c>
      <c r="E187" s="3">
        <v>0</v>
      </c>
      <c r="F187" s="4" t="s">
        <v>569</v>
      </c>
      <c r="G187" s="3">
        <v>100</v>
      </c>
      <c r="H187" s="3">
        <v>902</v>
      </c>
      <c r="I187" s="3">
        <v>1</v>
      </c>
      <c r="J187" s="5">
        <v>45735.633565532407</v>
      </c>
      <c r="K187" s="4" t="s">
        <v>570</v>
      </c>
      <c r="L187" s="4" t="s">
        <v>122</v>
      </c>
      <c r="M187" s="4" t="s">
        <v>122</v>
      </c>
      <c r="N187" s="4" t="s">
        <v>122</v>
      </c>
      <c r="O187" s="4" t="s">
        <v>122</v>
      </c>
      <c r="P187" s="3">
        <v>32.250300000000003</v>
      </c>
      <c r="Q187" s="3">
        <v>-110.94499999999999</v>
      </c>
      <c r="R187" s="4" t="s">
        <v>129</v>
      </c>
      <c r="S187" s="4" t="s">
        <v>124</v>
      </c>
      <c r="T187" s="3">
        <v>4</v>
      </c>
      <c r="U187" s="3">
        <v>1</v>
      </c>
      <c r="V187" s="3">
        <v>2</v>
      </c>
      <c r="W187" s="3">
        <v>4</v>
      </c>
      <c r="X187" s="3">
        <v>1</v>
      </c>
      <c r="Y187" s="3">
        <v>2</v>
      </c>
      <c r="Z187" s="3">
        <v>2</v>
      </c>
      <c r="AA187" s="3">
        <v>1</v>
      </c>
      <c r="AB187" s="4" t="s">
        <v>122</v>
      </c>
      <c r="AC187" s="4" t="s">
        <v>122</v>
      </c>
      <c r="AD187" s="4" t="s">
        <v>122</v>
      </c>
      <c r="AE187" s="4" t="s">
        <v>122</v>
      </c>
      <c r="AF187" s="4" t="s">
        <v>122</v>
      </c>
      <c r="AG187" s="3">
        <v>4</v>
      </c>
      <c r="AH187" s="3">
        <v>4.5</v>
      </c>
      <c r="AI187" s="4">
        <v>2</v>
      </c>
      <c r="AJ187" s="3">
        <v>6</v>
      </c>
      <c r="AK187" s="3">
        <v>7</v>
      </c>
      <c r="AL187" s="3">
        <v>7</v>
      </c>
      <c r="AM187" s="3">
        <v>6</v>
      </c>
      <c r="AN187" s="3">
        <v>8</v>
      </c>
      <c r="AO187" s="3">
        <v>3</v>
      </c>
      <c r="AP187" s="3">
        <v>3</v>
      </c>
      <c r="AQ187" s="4" t="s">
        <v>122</v>
      </c>
      <c r="AR187" s="4" t="s">
        <v>122</v>
      </c>
      <c r="AS187" s="3">
        <v>7</v>
      </c>
      <c r="AT187" s="3">
        <v>8</v>
      </c>
      <c r="AU187" s="3">
        <v>8</v>
      </c>
      <c r="AV187" s="3">
        <v>7</v>
      </c>
      <c r="AW187" s="3">
        <v>6</v>
      </c>
      <c r="AX187" s="3">
        <v>3</v>
      </c>
      <c r="AY187" s="3">
        <v>4</v>
      </c>
      <c r="AZ187" s="4" t="s">
        <v>122</v>
      </c>
      <c r="BA187" s="4" t="s">
        <v>122</v>
      </c>
      <c r="BB187" s="3" t="s">
        <v>122</v>
      </c>
      <c r="BC187" s="3" t="s">
        <v>122</v>
      </c>
      <c r="BD187" s="3" t="s">
        <v>122</v>
      </c>
      <c r="BE187" s="3" t="s">
        <v>122</v>
      </c>
      <c r="BF187" s="3" t="s">
        <v>122</v>
      </c>
      <c r="BG187" s="3" t="s">
        <v>122</v>
      </c>
      <c r="BH187" s="3" t="s">
        <v>122</v>
      </c>
      <c r="BI187" s="3" t="s">
        <v>122</v>
      </c>
      <c r="BJ187" s="3" t="s">
        <v>122</v>
      </c>
      <c r="BK187" s="3" t="s">
        <v>122</v>
      </c>
      <c r="BL187" s="3" t="s">
        <v>122</v>
      </c>
      <c r="BM187" s="3" t="s">
        <v>122</v>
      </c>
      <c r="BN187" s="3" t="s">
        <v>122</v>
      </c>
      <c r="BO187" s="3">
        <v>5</v>
      </c>
      <c r="BP187" s="3">
        <v>4.5</v>
      </c>
      <c r="BQ187" s="3">
        <v>3</v>
      </c>
      <c r="BR187" s="3" t="s">
        <v>122</v>
      </c>
      <c r="BS187" s="3" t="s">
        <v>122</v>
      </c>
      <c r="BT187" s="3" t="s">
        <v>122</v>
      </c>
      <c r="BU187" s="3" t="s">
        <v>122</v>
      </c>
      <c r="BV187" s="3" t="s">
        <v>122</v>
      </c>
      <c r="BW187" s="3" t="s">
        <v>122</v>
      </c>
      <c r="BX187" s="3" t="s">
        <v>122</v>
      </c>
      <c r="BY187" s="3" t="s">
        <v>122</v>
      </c>
      <c r="BZ187" s="3" t="s">
        <v>122</v>
      </c>
      <c r="CA187" s="3">
        <v>6</v>
      </c>
      <c r="CB187" s="3">
        <v>5</v>
      </c>
      <c r="CC187" s="3">
        <v>3</v>
      </c>
      <c r="CD187" s="3">
        <v>4.5</v>
      </c>
      <c r="CE187" s="3">
        <v>2</v>
      </c>
      <c r="CF187" s="3">
        <v>1</v>
      </c>
      <c r="CG187" s="4" t="s">
        <v>122</v>
      </c>
      <c r="CH187" s="3">
        <v>2</v>
      </c>
      <c r="CI187" s="4" t="s">
        <v>122</v>
      </c>
      <c r="CJ187" s="4" t="s">
        <v>122</v>
      </c>
      <c r="CK187" s="4" t="s">
        <v>122</v>
      </c>
      <c r="CL187" s="4" t="s">
        <v>125</v>
      </c>
      <c r="CM187" s="4" t="s">
        <v>122</v>
      </c>
      <c r="CN187" s="4" t="s">
        <v>122</v>
      </c>
      <c r="CO187" s="4" t="s">
        <v>125</v>
      </c>
      <c r="CP187" s="4" t="s">
        <v>122</v>
      </c>
      <c r="CQ187" s="4" t="s">
        <v>122</v>
      </c>
      <c r="CR187" s="4" t="s">
        <v>122</v>
      </c>
      <c r="CS187" s="3">
        <v>3</v>
      </c>
      <c r="CT187" s="3">
        <v>4</v>
      </c>
      <c r="CU187" s="42">
        <v>3</v>
      </c>
      <c r="CV187" cm="1">
        <f t="array" ref="CV187">_xlfn.IFS(CU187*1=2,1,CU187*1=4,1,TRUE,0)</f>
        <v>0</v>
      </c>
      <c r="CW187" cm="1">
        <f t="array" ref="CW187">_xlfn.IFS(CU187*1=1,1,CU187*1=2,1,TRUE,0)</f>
        <v>0</v>
      </c>
      <c r="CX187" s="3">
        <f t="shared" si="19"/>
        <v>5</v>
      </c>
      <c r="CY187" s="3">
        <f t="shared" si="20"/>
        <v>4.5</v>
      </c>
      <c r="CZ187" s="3" cm="1">
        <f t="array" ref="CZ187">_xlfn.IFS(BP187&lt;&gt;"", BP187, CV187=1,  AQ187, CV187=0,  AZ187)</f>
        <v>4.5</v>
      </c>
      <c r="DA187" s="36" cm="1">
        <f t="array" ref="DA187">_xlfn.IFS(BO187&lt;&gt;"", BO187, CV187=0,  AQ187, CV187=1,  AZ187)</f>
        <v>5</v>
      </c>
      <c r="DB187" s="36">
        <f t="shared" si="21"/>
        <v>0</v>
      </c>
      <c r="DC187" s="3">
        <f t="shared" si="22"/>
        <v>0.5</v>
      </c>
      <c r="DD187" s="3">
        <f t="shared" si="23"/>
        <v>0</v>
      </c>
      <c r="DE187" s="3">
        <f t="shared" si="24"/>
        <v>0</v>
      </c>
      <c r="DF187" s="3">
        <f t="shared" si="25"/>
        <v>0.5</v>
      </c>
      <c r="DG187" s="3">
        <f t="shared" si="26"/>
        <v>0.5</v>
      </c>
    </row>
    <row r="188" spans="1:111" x14ac:dyDescent="0.4">
      <c r="A188" s="3">
        <v>202503</v>
      </c>
      <c r="B188" s="3">
        <v>222</v>
      </c>
      <c r="C188" s="5">
        <v>45735.623217592591</v>
      </c>
      <c r="D188" s="5">
        <v>45735.632037037038</v>
      </c>
      <c r="E188" s="3">
        <v>0</v>
      </c>
      <c r="F188" s="4" t="s">
        <v>331</v>
      </c>
      <c r="G188" s="3">
        <v>100</v>
      </c>
      <c r="H188" s="3">
        <v>761</v>
      </c>
      <c r="I188" s="3">
        <v>1</v>
      </c>
      <c r="J188" s="5">
        <v>45735.632047500003</v>
      </c>
      <c r="K188" s="4" t="s">
        <v>568</v>
      </c>
      <c r="L188" s="4" t="s">
        <v>122</v>
      </c>
      <c r="M188" s="4" t="s">
        <v>122</v>
      </c>
      <c r="N188" s="4" t="s">
        <v>122</v>
      </c>
      <c r="O188" s="4" t="s">
        <v>122</v>
      </c>
      <c r="P188" s="3">
        <v>32.250300000000003</v>
      </c>
      <c r="Q188" s="3">
        <v>-110.94499999999999</v>
      </c>
      <c r="R188" s="4" t="s">
        <v>129</v>
      </c>
      <c r="S188" s="4" t="s">
        <v>124</v>
      </c>
      <c r="T188" s="3">
        <v>4</v>
      </c>
      <c r="U188" s="3">
        <v>1</v>
      </c>
      <c r="V188" s="3">
        <v>1</v>
      </c>
      <c r="W188" s="3">
        <v>1</v>
      </c>
      <c r="X188" s="3">
        <v>1</v>
      </c>
      <c r="Y188" s="3">
        <v>2</v>
      </c>
      <c r="Z188" s="3">
        <v>2</v>
      </c>
      <c r="AA188" s="3">
        <v>2</v>
      </c>
      <c r="AB188" s="4" t="s">
        <v>122</v>
      </c>
      <c r="AC188" s="4" t="s">
        <v>122</v>
      </c>
      <c r="AD188" s="4" t="s">
        <v>122</v>
      </c>
      <c r="AE188" s="4" t="s">
        <v>122</v>
      </c>
      <c r="AF188" s="4" t="s">
        <v>122</v>
      </c>
      <c r="AG188" s="3">
        <v>2</v>
      </c>
      <c r="AH188" s="3">
        <v>4</v>
      </c>
      <c r="AI188" s="3">
        <v>2</v>
      </c>
      <c r="AJ188" s="3">
        <v>2</v>
      </c>
      <c r="AK188" s="3">
        <v>5</v>
      </c>
      <c r="AL188" s="3">
        <v>6</v>
      </c>
      <c r="AM188" s="3">
        <v>2</v>
      </c>
      <c r="AN188" s="3">
        <v>6</v>
      </c>
      <c r="AO188" s="3">
        <v>2</v>
      </c>
      <c r="AP188" s="3">
        <v>2</v>
      </c>
      <c r="AQ188" s="4">
        <v>2</v>
      </c>
      <c r="AR188" s="4">
        <v>3</v>
      </c>
      <c r="AS188" s="3">
        <v>6</v>
      </c>
      <c r="AT188" s="3">
        <v>6</v>
      </c>
      <c r="AU188" s="3">
        <v>6</v>
      </c>
      <c r="AV188" s="3">
        <v>6</v>
      </c>
      <c r="AW188" s="3">
        <v>7</v>
      </c>
      <c r="AX188" s="3">
        <v>3</v>
      </c>
      <c r="AY188" s="3">
        <v>3</v>
      </c>
      <c r="AZ188" s="4">
        <v>4</v>
      </c>
      <c r="BA188" s="4">
        <v>3</v>
      </c>
      <c r="BB188" s="3">
        <v>4</v>
      </c>
      <c r="BC188" s="3">
        <v>0</v>
      </c>
      <c r="BD188" s="3">
        <v>3</v>
      </c>
      <c r="BE188" s="3" t="s">
        <v>122</v>
      </c>
      <c r="BF188" s="3" t="s">
        <v>122</v>
      </c>
      <c r="BG188" s="3" t="s">
        <v>122</v>
      </c>
      <c r="BH188" s="3" t="s">
        <v>122</v>
      </c>
      <c r="BI188" s="3" t="s">
        <v>122</v>
      </c>
      <c r="BJ188" s="3" t="s">
        <v>122</v>
      </c>
      <c r="BK188" s="3" t="s">
        <v>122</v>
      </c>
      <c r="BL188" s="3" t="s">
        <v>122</v>
      </c>
      <c r="BM188" s="3" t="s">
        <v>122</v>
      </c>
      <c r="BN188" s="3">
        <v>1</v>
      </c>
      <c r="BO188" s="3" t="s">
        <v>122</v>
      </c>
      <c r="BP188" s="3" t="s">
        <v>122</v>
      </c>
      <c r="BQ188" s="3" t="s">
        <v>122</v>
      </c>
      <c r="BR188" s="3" t="s">
        <v>122</v>
      </c>
      <c r="BS188" s="3" t="s">
        <v>122</v>
      </c>
      <c r="BT188" s="3" t="s">
        <v>122</v>
      </c>
      <c r="BU188" s="3" t="s">
        <v>122</v>
      </c>
      <c r="BV188" s="3" t="s">
        <v>122</v>
      </c>
      <c r="BW188" s="3" t="s">
        <v>122</v>
      </c>
      <c r="BX188" s="3" t="s">
        <v>122</v>
      </c>
      <c r="BY188" s="3" t="s">
        <v>122</v>
      </c>
      <c r="BZ188" s="3" t="s">
        <v>122</v>
      </c>
      <c r="CA188" s="3" t="s">
        <v>122</v>
      </c>
      <c r="CB188" s="3" t="s">
        <v>122</v>
      </c>
      <c r="CC188" s="3" t="s">
        <v>122</v>
      </c>
      <c r="CD188" s="3" t="s">
        <v>122</v>
      </c>
      <c r="CE188" s="3" t="s">
        <v>122</v>
      </c>
      <c r="CF188" s="3">
        <v>2</v>
      </c>
      <c r="CG188" s="4" t="s">
        <v>122</v>
      </c>
      <c r="CH188" s="3">
        <v>2</v>
      </c>
      <c r="CI188" s="4" t="s">
        <v>125</v>
      </c>
      <c r="CJ188" s="4" t="s">
        <v>122</v>
      </c>
      <c r="CK188" s="4" t="s">
        <v>122</v>
      </c>
      <c r="CL188" s="4" t="s">
        <v>125</v>
      </c>
      <c r="CM188" s="4" t="s">
        <v>122</v>
      </c>
      <c r="CN188" s="4" t="s">
        <v>122</v>
      </c>
      <c r="CO188" s="4" t="s">
        <v>122</v>
      </c>
      <c r="CP188" s="4" t="s">
        <v>122</v>
      </c>
      <c r="CQ188" s="4" t="s">
        <v>122</v>
      </c>
      <c r="CR188" s="4" t="s">
        <v>122</v>
      </c>
      <c r="CS188" s="3">
        <v>3</v>
      </c>
      <c r="CT188" s="3">
        <v>-999</v>
      </c>
      <c r="CU188" s="42">
        <v>2</v>
      </c>
      <c r="CV188" cm="1">
        <f t="array" ref="CV188">_xlfn.IFS(CU188*1=2,1,CU188*1=4,1,TRUE,0)</f>
        <v>1</v>
      </c>
      <c r="CW188" cm="1">
        <f t="array" ref="CW188">_xlfn.IFS(CU188*1=1,1,CU188*1=2,1,TRUE,0)</f>
        <v>1</v>
      </c>
      <c r="CX188" s="3">
        <f t="shared" si="19"/>
        <v>4</v>
      </c>
      <c r="CY188" s="3">
        <f t="shared" si="20"/>
        <v>0</v>
      </c>
      <c r="CZ188" s="3" cm="1">
        <f t="array" ref="CZ188">_xlfn.IFS(BP188&lt;&gt;"", BP188, CV188=1,  AQ188, CV188=0,  AZ188)</f>
        <v>2</v>
      </c>
      <c r="DA188" s="36" cm="1">
        <f t="array" ref="DA188">_xlfn.IFS(BO188&lt;&gt;"", BO188, CV188=0,  AQ188, CV188=1,  AZ188)</f>
        <v>4</v>
      </c>
      <c r="DB188" s="36">
        <f t="shared" si="21"/>
        <v>-4</v>
      </c>
      <c r="DC188" s="3">
        <f t="shared" si="22"/>
        <v>0</v>
      </c>
      <c r="DD188" s="3">
        <f t="shared" si="23"/>
        <v>-2</v>
      </c>
      <c r="DE188" s="3">
        <f t="shared" si="24"/>
        <v>-4</v>
      </c>
      <c r="DF188" s="3">
        <f t="shared" si="25"/>
        <v>0</v>
      </c>
      <c r="DG188" s="3">
        <f t="shared" si="26"/>
        <v>0</v>
      </c>
    </row>
    <row r="189" spans="1:111" x14ac:dyDescent="0.4">
      <c r="A189" s="3">
        <v>202503</v>
      </c>
      <c r="B189" s="3">
        <v>222</v>
      </c>
      <c r="C189" s="5">
        <v>45735.627615740741</v>
      </c>
      <c r="D189" s="5">
        <v>45735.631307870368</v>
      </c>
      <c r="E189" s="3">
        <v>0</v>
      </c>
      <c r="F189" s="4" t="s">
        <v>566</v>
      </c>
      <c r="G189" s="3">
        <v>100</v>
      </c>
      <c r="H189" s="3">
        <v>318</v>
      </c>
      <c r="I189" s="3">
        <v>1</v>
      </c>
      <c r="J189" s="5">
        <v>45735.631313344908</v>
      </c>
      <c r="K189" s="4" t="s">
        <v>567</v>
      </c>
      <c r="L189" s="4" t="s">
        <v>122</v>
      </c>
      <c r="M189" s="4" t="s">
        <v>122</v>
      </c>
      <c r="N189" s="4" t="s">
        <v>122</v>
      </c>
      <c r="O189" s="4" t="s">
        <v>122</v>
      </c>
      <c r="P189" s="3">
        <v>32.250300000000003</v>
      </c>
      <c r="Q189" s="3">
        <v>-110.94499999999999</v>
      </c>
      <c r="R189" s="4" t="s">
        <v>129</v>
      </c>
      <c r="S189" s="4" t="s">
        <v>124</v>
      </c>
      <c r="T189" s="3">
        <v>4</v>
      </c>
      <c r="U189" s="3">
        <v>1</v>
      </c>
      <c r="V189" s="3">
        <v>3</v>
      </c>
      <c r="W189" s="3">
        <v>4</v>
      </c>
      <c r="X189" s="3">
        <v>1</v>
      </c>
      <c r="Y189" s="3">
        <v>1</v>
      </c>
      <c r="Z189" s="3">
        <v>1</v>
      </c>
      <c r="AA189" s="3">
        <v>1</v>
      </c>
      <c r="AB189" s="4" t="s">
        <v>122</v>
      </c>
      <c r="AC189" s="4" t="s">
        <v>122</v>
      </c>
      <c r="AD189" s="4" t="s">
        <v>122</v>
      </c>
      <c r="AE189" s="4" t="s">
        <v>122</v>
      </c>
      <c r="AF189" s="4" t="s">
        <v>122</v>
      </c>
      <c r="AG189" s="3">
        <v>5</v>
      </c>
      <c r="AH189" s="3">
        <v>0</v>
      </c>
      <c r="AI189" s="3" t="s">
        <v>122</v>
      </c>
      <c r="AJ189" s="3">
        <v>7</v>
      </c>
      <c r="AK189" s="3">
        <v>9</v>
      </c>
      <c r="AL189" s="3">
        <v>8</v>
      </c>
      <c r="AM189" s="3">
        <v>7</v>
      </c>
      <c r="AN189" s="3">
        <v>7</v>
      </c>
      <c r="AO189" s="3">
        <v>4</v>
      </c>
      <c r="AP189" s="3">
        <v>2</v>
      </c>
      <c r="AQ189" s="3" t="s">
        <v>122</v>
      </c>
      <c r="AR189" s="3" t="s">
        <v>122</v>
      </c>
      <c r="AS189" s="3">
        <v>8</v>
      </c>
      <c r="AT189" s="3">
        <v>9</v>
      </c>
      <c r="AU189" s="3">
        <v>8</v>
      </c>
      <c r="AV189" s="3">
        <v>8</v>
      </c>
      <c r="AW189" s="3">
        <v>9</v>
      </c>
      <c r="AX189" s="3">
        <v>3</v>
      </c>
      <c r="AY189" s="3">
        <v>3</v>
      </c>
      <c r="AZ189" s="3" t="s">
        <v>122</v>
      </c>
      <c r="BA189" s="3" t="s">
        <v>122</v>
      </c>
      <c r="BB189" s="3" t="s">
        <v>122</v>
      </c>
      <c r="BC189" s="3" t="s">
        <v>122</v>
      </c>
      <c r="BD189" s="3" t="s">
        <v>122</v>
      </c>
      <c r="BE189" s="3" t="s">
        <v>122</v>
      </c>
      <c r="BF189" s="3" t="s">
        <v>122</v>
      </c>
      <c r="BG189" s="3" t="s">
        <v>122</v>
      </c>
      <c r="BH189" s="3" t="s">
        <v>122</v>
      </c>
      <c r="BI189" s="3" t="s">
        <v>122</v>
      </c>
      <c r="BJ189" s="3" t="s">
        <v>122</v>
      </c>
      <c r="BK189" s="3" t="s">
        <v>122</v>
      </c>
      <c r="BL189" s="3" t="s">
        <v>122</v>
      </c>
      <c r="BM189" s="3" t="s">
        <v>122</v>
      </c>
      <c r="BN189" s="3" t="s">
        <v>122</v>
      </c>
      <c r="BO189" s="3">
        <v>0</v>
      </c>
      <c r="BP189" s="3">
        <v>0</v>
      </c>
      <c r="BQ189" s="3">
        <v>3</v>
      </c>
      <c r="BR189" s="3" t="s">
        <v>122</v>
      </c>
      <c r="BS189" s="3" t="s">
        <v>122</v>
      </c>
      <c r="BT189" s="3" t="s">
        <v>122</v>
      </c>
      <c r="BU189" s="3" t="s">
        <v>122</v>
      </c>
      <c r="BV189" s="3" t="s">
        <v>122</v>
      </c>
      <c r="BW189" s="3" t="s">
        <v>122</v>
      </c>
      <c r="BX189" s="3" t="s">
        <v>122</v>
      </c>
      <c r="BY189" s="3" t="s">
        <v>122</v>
      </c>
      <c r="BZ189" s="3" t="s">
        <v>122</v>
      </c>
      <c r="CA189" s="3">
        <v>1</v>
      </c>
      <c r="CB189" s="3">
        <v>0</v>
      </c>
      <c r="CC189" s="3" t="s">
        <v>122</v>
      </c>
      <c r="CD189" s="3">
        <v>0</v>
      </c>
      <c r="CE189" s="3" t="s">
        <v>122</v>
      </c>
      <c r="CF189" s="3">
        <v>2</v>
      </c>
      <c r="CG189" s="4" t="s">
        <v>122</v>
      </c>
      <c r="CH189" s="3">
        <v>2</v>
      </c>
      <c r="CI189" s="4" t="s">
        <v>122</v>
      </c>
      <c r="CJ189" s="4" t="s">
        <v>122</v>
      </c>
      <c r="CK189" s="4" t="s">
        <v>122</v>
      </c>
      <c r="CL189" s="4" t="s">
        <v>122</v>
      </c>
      <c r="CM189" s="4" t="s">
        <v>122</v>
      </c>
      <c r="CN189" s="4" t="s">
        <v>122</v>
      </c>
      <c r="CO189" s="4" t="s">
        <v>125</v>
      </c>
      <c r="CP189" s="4" t="s">
        <v>122</v>
      </c>
      <c r="CQ189" s="4" t="s">
        <v>122</v>
      </c>
      <c r="CR189" s="4" t="s">
        <v>122</v>
      </c>
      <c r="CS189" s="3">
        <v>4</v>
      </c>
      <c r="CT189" s="3">
        <v>5</v>
      </c>
      <c r="CU189" s="42">
        <v>4</v>
      </c>
      <c r="CV189" cm="1">
        <f t="array" ref="CV189">_xlfn.IFS(CU189*1=2,1,CU189*1=4,1,TRUE,0)</f>
        <v>1</v>
      </c>
      <c r="CW189" cm="1">
        <f t="array" ref="CW189">_xlfn.IFS(CU189*1=1,1,CU189*1=2,1,TRUE,0)</f>
        <v>0</v>
      </c>
      <c r="CX189" s="3">
        <f t="shared" si="19"/>
        <v>0</v>
      </c>
      <c r="CY189" s="3">
        <f t="shared" si="20"/>
        <v>0</v>
      </c>
      <c r="CZ189" s="3" cm="1">
        <f t="array" ref="CZ189">_xlfn.IFS(BP189&lt;&gt;"", BP189, CV189=1,  AQ189, CV189=0,  AZ189)</f>
        <v>0</v>
      </c>
      <c r="DA189" s="36" cm="1">
        <f t="array" ref="DA189">_xlfn.IFS(BO189&lt;&gt;"", BO189, CV189=0,  AQ189, CV189=1,  AZ189)</f>
        <v>0</v>
      </c>
      <c r="DB189" s="36">
        <f t="shared" si="21"/>
        <v>0</v>
      </c>
      <c r="DC189" s="3">
        <f t="shared" si="22"/>
        <v>0</v>
      </c>
      <c r="DD189" s="3">
        <f t="shared" si="23"/>
        <v>0</v>
      </c>
      <c r="DE189" s="3">
        <f t="shared" si="24"/>
        <v>0</v>
      </c>
      <c r="DF189" s="3">
        <f t="shared" si="25"/>
        <v>0</v>
      </c>
      <c r="DG189" s="3">
        <f t="shared" si="26"/>
        <v>0</v>
      </c>
    </row>
    <row r="190" spans="1:111" x14ac:dyDescent="0.4">
      <c r="A190" s="3">
        <v>202503</v>
      </c>
      <c r="B190" s="3">
        <v>222</v>
      </c>
      <c r="C190" s="5">
        <v>45735.627696759257</v>
      </c>
      <c r="D190" s="5">
        <v>45735.634328703702</v>
      </c>
      <c r="E190" s="3">
        <v>0</v>
      </c>
      <c r="F190" s="4" t="s">
        <v>571</v>
      </c>
      <c r="G190" s="3">
        <v>100</v>
      </c>
      <c r="H190" s="3">
        <v>573</v>
      </c>
      <c r="I190" s="3">
        <v>1</v>
      </c>
      <c r="J190" s="5">
        <v>45735.634338692129</v>
      </c>
      <c r="K190" s="4" t="s">
        <v>572</v>
      </c>
      <c r="L190" s="4" t="s">
        <v>122</v>
      </c>
      <c r="M190" s="4" t="s">
        <v>122</v>
      </c>
      <c r="N190" s="4" t="s">
        <v>122</v>
      </c>
      <c r="O190" s="4" t="s">
        <v>122</v>
      </c>
      <c r="P190" s="3">
        <v>32.250300000000003</v>
      </c>
      <c r="Q190" s="3">
        <v>-110.94499999999999</v>
      </c>
      <c r="R190" s="4" t="s">
        <v>129</v>
      </c>
      <c r="S190" s="4" t="s">
        <v>124</v>
      </c>
      <c r="T190" s="3">
        <v>4</v>
      </c>
      <c r="U190" s="3">
        <v>1</v>
      </c>
      <c r="V190" s="3">
        <v>4</v>
      </c>
      <c r="W190" s="3">
        <v>3</v>
      </c>
      <c r="X190" s="3">
        <v>2</v>
      </c>
      <c r="Y190" s="3">
        <v>3</v>
      </c>
      <c r="Z190" s="3">
        <v>2</v>
      </c>
      <c r="AA190" s="3">
        <v>1</v>
      </c>
      <c r="AB190" s="4" t="s">
        <v>122</v>
      </c>
      <c r="AC190" s="4" t="s">
        <v>125</v>
      </c>
      <c r="AD190" s="4" t="s">
        <v>122</v>
      </c>
      <c r="AE190" s="4" t="s">
        <v>122</v>
      </c>
      <c r="AF190" s="4" t="s">
        <v>122</v>
      </c>
      <c r="AG190" s="3">
        <v>1</v>
      </c>
      <c r="AH190" s="3">
        <v>5</v>
      </c>
      <c r="AI190" s="3">
        <v>2</v>
      </c>
      <c r="AJ190" s="3">
        <v>8</v>
      </c>
      <c r="AK190" s="3">
        <v>8</v>
      </c>
      <c r="AL190" s="3">
        <v>7</v>
      </c>
      <c r="AM190" s="3">
        <v>8</v>
      </c>
      <c r="AN190" s="3">
        <v>9</v>
      </c>
      <c r="AO190" s="3">
        <v>3</v>
      </c>
      <c r="AP190" s="3">
        <v>3</v>
      </c>
      <c r="AQ190" s="4" t="s">
        <v>122</v>
      </c>
      <c r="AR190" s="4" t="s">
        <v>122</v>
      </c>
      <c r="AS190" s="3">
        <v>5</v>
      </c>
      <c r="AT190" s="3">
        <v>6</v>
      </c>
      <c r="AU190" s="3">
        <v>6</v>
      </c>
      <c r="AV190" s="3">
        <v>4</v>
      </c>
      <c r="AW190" s="3">
        <v>7</v>
      </c>
      <c r="AX190" s="3">
        <v>2</v>
      </c>
      <c r="AY190" s="3">
        <v>2</v>
      </c>
      <c r="AZ190" s="4" t="s">
        <v>122</v>
      </c>
      <c r="BA190" s="4" t="s">
        <v>122</v>
      </c>
      <c r="BB190" s="3" t="s">
        <v>122</v>
      </c>
      <c r="BC190" s="3" t="s">
        <v>122</v>
      </c>
      <c r="BD190" s="3" t="s">
        <v>122</v>
      </c>
      <c r="BE190" s="3" t="s">
        <v>122</v>
      </c>
      <c r="BF190" s="3" t="s">
        <v>122</v>
      </c>
      <c r="BG190" s="3" t="s">
        <v>122</v>
      </c>
      <c r="BH190" s="3" t="s">
        <v>122</v>
      </c>
      <c r="BI190" s="3" t="s">
        <v>122</v>
      </c>
      <c r="BJ190" s="3" t="s">
        <v>122</v>
      </c>
      <c r="BK190" s="3" t="s">
        <v>122</v>
      </c>
      <c r="BL190" s="3" t="s">
        <v>122</v>
      </c>
      <c r="BM190" s="3" t="s">
        <v>122</v>
      </c>
      <c r="BN190" s="3" t="s">
        <v>122</v>
      </c>
      <c r="BO190" s="3">
        <v>5.5</v>
      </c>
      <c r="BP190" s="3">
        <v>5.5</v>
      </c>
      <c r="BQ190" s="3">
        <v>2</v>
      </c>
      <c r="BR190" s="3" t="s">
        <v>122</v>
      </c>
      <c r="BS190" s="3" t="s">
        <v>122</v>
      </c>
      <c r="BT190" s="3" t="s">
        <v>122</v>
      </c>
      <c r="BU190" s="3" t="s">
        <v>122</v>
      </c>
      <c r="BV190" s="3" t="s">
        <v>122</v>
      </c>
      <c r="BW190" s="3" t="s">
        <v>122</v>
      </c>
      <c r="BX190" s="3" t="s">
        <v>122</v>
      </c>
      <c r="BY190" s="3" t="s">
        <v>122</v>
      </c>
      <c r="BZ190" s="3" t="s">
        <v>122</v>
      </c>
      <c r="CA190" s="3">
        <v>1</v>
      </c>
      <c r="CB190" s="3">
        <v>4</v>
      </c>
      <c r="CC190" s="3">
        <v>3</v>
      </c>
      <c r="CD190" s="3">
        <v>6.5</v>
      </c>
      <c r="CE190" s="3">
        <v>3</v>
      </c>
      <c r="CF190" s="3">
        <v>2</v>
      </c>
      <c r="CG190" s="4" t="s">
        <v>122</v>
      </c>
      <c r="CH190" s="3">
        <v>2</v>
      </c>
      <c r="CI190" s="4" t="s">
        <v>122</v>
      </c>
      <c r="CJ190" s="4" t="s">
        <v>122</v>
      </c>
      <c r="CK190" s="4" t="s">
        <v>122</v>
      </c>
      <c r="CL190" s="4" t="s">
        <v>122</v>
      </c>
      <c r="CM190" s="4" t="s">
        <v>122</v>
      </c>
      <c r="CN190" s="4" t="s">
        <v>122</v>
      </c>
      <c r="CO190" s="4" t="s">
        <v>125</v>
      </c>
      <c r="CP190" s="4" t="s">
        <v>122</v>
      </c>
      <c r="CQ190" s="4" t="s">
        <v>122</v>
      </c>
      <c r="CR190" s="4" t="s">
        <v>122</v>
      </c>
      <c r="CS190" s="3">
        <v>3</v>
      </c>
      <c r="CT190" s="3">
        <v>1</v>
      </c>
      <c r="CU190" s="42">
        <v>4</v>
      </c>
      <c r="CV190" cm="1">
        <f t="array" ref="CV190">_xlfn.IFS(CU190*1=2,1,CU190*1=4,1,TRUE,0)</f>
        <v>1</v>
      </c>
      <c r="CW190" cm="1">
        <f t="array" ref="CW190">_xlfn.IFS(CU190*1=1,1,CU190*1=2,1,TRUE,0)</f>
        <v>0</v>
      </c>
      <c r="CX190" s="3">
        <f t="shared" si="19"/>
        <v>4</v>
      </c>
      <c r="CY190" s="3">
        <f t="shared" si="20"/>
        <v>6.5</v>
      </c>
      <c r="CZ190" s="3" cm="1">
        <f t="array" ref="CZ190">_xlfn.IFS(BP190&lt;&gt;"", BP190, CV190=1,  AQ190, CV190=0,  AZ190)</f>
        <v>5.5</v>
      </c>
      <c r="DA190" s="36" cm="1">
        <f t="array" ref="DA190">_xlfn.IFS(BO190&lt;&gt;"", BO190, CV190=0,  AQ190, CV190=1,  AZ190)</f>
        <v>5.5</v>
      </c>
      <c r="DB190" s="36">
        <f t="shared" si="21"/>
        <v>1.5</v>
      </c>
      <c r="DC190" s="3">
        <f t="shared" si="22"/>
        <v>-1</v>
      </c>
      <c r="DD190" s="3">
        <f t="shared" si="23"/>
        <v>1.5</v>
      </c>
      <c r="DE190" s="3">
        <f t="shared" si="24"/>
        <v>0.5</v>
      </c>
      <c r="DF190" s="3">
        <f t="shared" si="25"/>
        <v>-1</v>
      </c>
      <c r="DG190" s="3">
        <f t="shared" si="26"/>
        <v>0.5</v>
      </c>
    </row>
    <row r="191" spans="1:111" x14ac:dyDescent="0.4">
      <c r="A191" s="3">
        <v>202503</v>
      </c>
      <c r="B191" s="3">
        <v>222</v>
      </c>
      <c r="C191" s="5">
        <v>45735.631018518521</v>
      </c>
      <c r="D191" s="5">
        <v>45735.638668981483</v>
      </c>
      <c r="E191" s="3">
        <v>0</v>
      </c>
      <c r="F191" s="4" t="s">
        <v>573</v>
      </c>
      <c r="G191" s="3">
        <v>100</v>
      </c>
      <c r="H191" s="3">
        <v>661</v>
      </c>
      <c r="I191" s="3">
        <v>1</v>
      </c>
      <c r="J191" s="5">
        <v>45735.638685381942</v>
      </c>
      <c r="K191" s="4" t="s">
        <v>574</v>
      </c>
      <c r="L191" s="4" t="s">
        <v>122</v>
      </c>
      <c r="M191" s="4" t="s">
        <v>122</v>
      </c>
      <c r="N191" s="4" t="s">
        <v>122</v>
      </c>
      <c r="O191" s="4" t="s">
        <v>122</v>
      </c>
      <c r="P191" s="3">
        <v>32.250300000000003</v>
      </c>
      <c r="Q191" s="3">
        <v>-110.94499999999999</v>
      </c>
      <c r="R191" s="4" t="s">
        <v>129</v>
      </c>
      <c r="S191" s="4" t="s">
        <v>124</v>
      </c>
      <c r="T191" s="3">
        <v>4</v>
      </c>
      <c r="U191" s="3">
        <v>1</v>
      </c>
      <c r="V191" s="3">
        <v>5</v>
      </c>
      <c r="W191" s="3">
        <v>1</v>
      </c>
      <c r="X191" s="3">
        <v>3</v>
      </c>
      <c r="Y191" s="3">
        <v>3</v>
      </c>
      <c r="Z191" s="3">
        <v>3</v>
      </c>
      <c r="AA191" s="3">
        <v>3</v>
      </c>
      <c r="AB191" s="4" t="s">
        <v>122</v>
      </c>
      <c r="AC191" s="4" t="s">
        <v>125</v>
      </c>
      <c r="AD191" s="4" t="s">
        <v>122</v>
      </c>
      <c r="AE191" s="4" t="s">
        <v>122</v>
      </c>
      <c r="AF191" s="4" t="s">
        <v>122</v>
      </c>
      <c r="AG191" s="3">
        <v>2</v>
      </c>
      <c r="AH191" s="3">
        <v>6</v>
      </c>
      <c r="AI191" s="3">
        <v>3</v>
      </c>
      <c r="AJ191" s="3">
        <v>6</v>
      </c>
      <c r="AK191" s="3">
        <v>7</v>
      </c>
      <c r="AL191" s="3">
        <v>6</v>
      </c>
      <c r="AM191" s="3">
        <v>4</v>
      </c>
      <c r="AN191" s="3">
        <v>4</v>
      </c>
      <c r="AO191" s="3">
        <v>4</v>
      </c>
      <c r="AP191" s="3">
        <v>4</v>
      </c>
      <c r="AQ191" s="3">
        <v>5</v>
      </c>
      <c r="AR191" s="3">
        <v>3</v>
      </c>
      <c r="AS191" s="3">
        <v>8</v>
      </c>
      <c r="AT191" s="3">
        <v>9</v>
      </c>
      <c r="AU191" s="3">
        <v>8</v>
      </c>
      <c r="AV191" s="3">
        <v>8</v>
      </c>
      <c r="AW191" s="3">
        <v>8</v>
      </c>
      <c r="AX191" s="3">
        <v>3</v>
      </c>
      <c r="AY191" s="3">
        <v>3</v>
      </c>
      <c r="AZ191" s="3">
        <v>7</v>
      </c>
      <c r="BA191" s="3">
        <v>3</v>
      </c>
      <c r="BB191" s="3">
        <v>5</v>
      </c>
      <c r="BC191" s="3">
        <v>7</v>
      </c>
      <c r="BD191" s="3">
        <v>3</v>
      </c>
      <c r="BE191" s="3" t="s">
        <v>122</v>
      </c>
      <c r="BF191" s="3" t="s">
        <v>122</v>
      </c>
      <c r="BG191" s="3" t="s">
        <v>122</v>
      </c>
      <c r="BH191" s="3" t="s">
        <v>122</v>
      </c>
      <c r="BI191" s="3" t="s">
        <v>122</v>
      </c>
      <c r="BJ191" s="3" t="s">
        <v>122</v>
      </c>
      <c r="BK191" s="3" t="s">
        <v>122</v>
      </c>
      <c r="BL191" s="3" t="s">
        <v>122</v>
      </c>
      <c r="BM191" s="3" t="s">
        <v>122</v>
      </c>
      <c r="BN191" s="3">
        <v>7</v>
      </c>
      <c r="BO191" s="3" t="s">
        <v>122</v>
      </c>
      <c r="BP191" s="3" t="s">
        <v>122</v>
      </c>
      <c r="BQ191" s="3" t="s">
        <v>122</v>
      </c>
      <c r="BR191" s="3" t="s">
        <v>122</v>
      </c>
      <c r="BS191" s="3" t="s">
        <v>122</v>
      </c>
      <c r="BT191" s="3" t="s">
        <v>122</v>
      </c>
      <c r="BU191" s="3" t="s">
        <v>122</v>
      </c>
      <c r="BV191" s="3" t="s">
        <v>122</v>
      </c>
      <c r="BW191" s="3" t="s">
        <v>122</v>
      </c>
      <c r="BX191" s="3" t="s">
        <v>122</v>
      </c>
      <c r="BY191" s="3" t="s">
        <v>122</v>
      </c>
      <c r="BZ191" s="3" t="s">
        <v>122</v>
      </c>
      <c r="CA191" s="3" t="s">
        <v>122</v>
      </c>
      <c r="CB191" s="3" t="s">
        <v>122</v>
      </c>
      <c r="CC191" s="3" t="s">
        <v>122</v>
      </c>
      <c r="CD191" s="3" t="s">
        <v>122</v>
      </c>
      <c r="CE191" s="3" t="s">
        <v>122</v>
      </c>
      <c r="CF191" s="3">
        <v>2</v>
      </c>
      <c r="CG191" s="4" t="s">
        <v>122</v>
      </c>
      <c r="CH191" s="3">
        <v>4</v>
      </c>
      <c r="CI191" s="4" t="s">
        <v>122</v>
      </c>
      <c r="CJ191" s="4" t="s">
        <v>122</v>
      </c>
      <c r="CK191" s="4" t="s">
        <v>122</v>
      </c>
      <c r="CL191" s="4" t="s">
        <v>125</v>
      </c>
      <c r="CM191" s="4" t="s">
        <v>122</v>
      </c>
      <c r="CN191" s="4" t="s">
        <v>122</v>
      </c>
      <c r="CO191" s="4" t="s">
        <v>122</v>
      </c>
      <c r="CP191" s="4" t="s">
        <v>122</v>
      </c>
      <c r="CQ191" s="4" t="s">
        <v>122</v>
      </c>
      <c r="CR191" s="4" t="s">
        <v>122</v>
      </c>
      <c r="CS191" s="3">
        <v>4</v>
      </c>
      <c r="CT191" s="3">
        <v>4</v>
      </c>
      <c r="CU191" s="42">
        <v>1</v>
      </c>
      <c r="CV191" cm="1">
        <f t="array" ref="CV191">_xlfn.IFS(CU191*1=2,1,CU191*1=4,1,TRUE,0)</f>
        <v>0</v>
      </c>
      <c r="CW191" cm="1">
        <f t="array" ref="CW191">_xlfn.IFS(CU191*1=1,1,CU191*1=2,1,TRUE,0)</f>
        <v>1</v>
      </c>
      <c r="CX191" s="3">
        <f t="shared" si="19"/>
        <v>5</v>
      </c>
      <c r="CY191" s="3">
        <f t="shared" si="20"/>
        <v>7</v>
      </c>
      <c r="CZ191" s="3" cm="1">
        <f t="array" ref="CZ191">_xlfn.IFS(BP191&lt;&gt;"", BP191, CV191=1,  AQ191, CV191=0,  AZ191)</f>
        <v>7</v>
      </c>
      <c r="DA191" s="36" cm="1">
        <f t="array" ref="DA191">_xlfn.IFS(BO191&lt;&gt;"", BO191, CV191=0,  AQ191, CV191=1,  AZ191)</f>
        <v>5</v>
      </c>
      <c r="DB191" s="36">
        <f t="shared" si="21"/>
        <v>1</v>
      </c>
      <c r="DC191" s="3">
        <f t="shared" si="22"/>
        <v>-1</v>
      </c>
      <c r="DD191" s="3">
        <f t="shared" si="23"/>
        <v>1</v>
      </c>
      <c r="DE191" s="3">
        <f t="shared" si="24"/>
        <v>1</v>
      </c>
      <c r="DF191" s="3">
        <f t="shared" si="25"/>
        <v>-1</v>
      </c>
      <c r="DG191" s="3">
        <f t="shared" si="26"/>
        <v>-1</v>
      </c>
    </row>
    <row r="192" spans="1:111" x14ac:dyDescent="0.4">
      <c r="A192" s="3">
        <v>202503</v>
      </c>
      <c r="B192" s="3">
        <v>222</v>
      </c>
      <c r="C192" s="5">
        <v>45735.633159722223</v>
      </c>
      <c r="D192" s="5">
        <v>45735.641793981478</v>
      </c>
      <c r="E192" s="3">
        <v>0</v>
      </c>
      <c r="F192" s="4" t="s">
        <v>579</v>
      </c>
      <c r="G192" s="3">
        <v>100</v>
      </c>
      <c r="H192" s="3">
        <v>746</v>
      </c>
      <c r="I192" s="3">
        <v>1</v>
      </c>
      <c r="J192" s="5">
        <v>45735.641805092593</v>
      </c>
      <c r="K192" s="4" t="s">
        <v>580</v>
      </c>
      <c r="L192" s="4" t="s">
        <v>122</v>
      </c>
      <c r="M192" s="4" t="s">
        <v>122</v>
      </c>
      <c r="N192" s="4" t="s">
        <v>122</v>
      </c>
      <c r="O192" s="4" t="s">
        <v>122</v>
      </c>
      <c r="P192" s="3">
        <v>32.138800000000003</v>
      </c>
      <c r="Q192" s="3">
        <v>-111.0496</v>
      </c>
      <c r="R192" s="4" t="s">
        <v>129</v>
      </c>
      <c r="S192" s="4" t="s">
        <v>124</v>
      </c>
      <c r="T192" s="3">
        <v>4</v>
      </c>
      <c r="U192" s="3">
        <v>1</v>
      </c>
      <c r="V192" s="3">
        <v>2</v>
      </c>
      <c r="W192" s="3">
        <v>2</v>
      </c>
      <c r="X192" s="3">
        <v>1</v>
      </c>
      <c r="Y192" s="3">
        <v>3</v>
      </c>
      <c r="Z192" s="3">
        <v>2</v>
      </c>
      <c r="AA192" s="3">
        <v>1</v>
      </c>
      <c r="AB192" s="4" t="s">
        <v>122</v>
      </c>
      <c r="AC192" s="4" t="s">
        <v>122</v>
      </c>
      <c r="AD192" s="4" t="s">
        <v>122</v>
      </c>
      <c r="AE192" s="4" t="s">
        <v>122</v>
      </c>
      <c r="AF192" s="4" t="s">
        <v>122</v>
      </c>
      <c r="AG192" s="3">
        <v>2</v>
      </c>
      <c r="AH192" s="3">
        <v>6.5</v>
      </c>
      <c r="AI192" s="3">
        <v>3</v>
      </c>
      <c r="AJ192" s="3">
        <v>8</v>
      </c>
      <c r="AK192" s="3">
        <v>9</v>
      </c>
      <c r="AL192" s="3">
        <v>9</v>
      </c>
      <c r="AM192" s="3">
        <v>9</v>
      </c>
      <c r="AN192" s="3">
        <v>9</v>
      </c>
      <c r="AO192" s="3">
        <v>2</v>
      </c>
      <c r="AP192" s="3">
        <v>3</v>
      </c>
      <c r="AQ192" s="3">
        <v>6.5</v>
      </c>
      <c r="AR192" s="3">
        <v>3</v>
      </c>
      <c r="AS192" s="3">
        <v>7</v>
      </c>
      <c r="AT192" s="3">
        <v>8</v>
      </c>
      <c r="AU192" s="3">
        <v>5</v>
      </c>
      <c r="AV192" s="3">
        <v>7</v>
      </c>
      <c r="AW192" s="3">
        <v>7</v>
      </c>
      <c r="AX192" s="3">
        <v>1</v>
      </c>
      <c r="AY192" s="3">
        <v>3</v>
      </c>
      <c r="AZ192" s="3">
        <v>6.5</v>
      </c>
      <c r="BA192" s="3">
        <v>3</v>
      </c>
      <c r="BB192" s="3">
        <v>6.5</v>
      </c>
      <c r="BC192" s="3">
        <v>6.5</v>
      </c>
      <c r="BD192" s="3">
        <v>3</v>
      </c>
      <c r="BE192" s="3" t="s">
        <v>122</v>
      </c>
      <c r="BF192" s="3" t="s">
        <v>122</v>
      </c>
      <c r="BG192" s="3" t="s">
        <v>122</v>
      </c>
      <c r="BH192" s="3" t="s">
        <v>122</v>
      </c>
      <c r="BI192" s="3" t="s">
        <v>122</v>
      </c>
      <c r="BJ192" s="3" t="s">
        <v>122</v>
      </c>
      <c r="BK192" s="3" t="s">
        <v>122</v>
      </c>
      <c r="BL192" s="3" t="s">
        <v>122</v>
      </c>
      <c r="BM192" s="3" t="s">
        <v>122</v>
      </c>
      <c r="BN192" s="3">
        <v>3</v>
      </c>
      <c r="BO192" s="3" t="s">
        <v>122</v>
      </c>
      <c r="BP192" s="3" t="s">
        <v>122</v>
      </c>
      <c r="BQ192" s="3" t="s">
        <v>122</v>
      </c>
      <c r="BR192" s="3" t="s">
        <v>122</v>
      </c>
      <c r="BS192" s="3" t="s">
        <v>122</v>
      </c>
      <c r="BT192" s="3" t="s">
        <v>122</v>
      </c>
      <c r="BU192" s="3" t="s">
        <v>122</v>
      </c>
      <c r="BV192" s="3" t="s">
        <v>122</v>
      </c>
      <c r="BW192" s="3" t="s">
        <v>122</v>
      </c>
      <c r="BX192" s="3" t="s">
        <v>122</v>
      </c>
      <c r="BY192" s="3" t="s">
        <v>122</v>
      </c>
      <c r="BZ192" s="3" t="s">
        <v>122</v>
      </c>
      <c r="CA192" s="3" t="s">
        <v>122</v>
      </c>
      <c r="CB192" s="3" t="s">
        <v>122</v>
      </c>
      <c r="CC192" s="3" t="s">
        <v>122</v>
      </c>
      <c r="CD192" s="3" t="s">
        <v>122</v>
      </c>
      <c r="CE192" s="3" t="s">
        <v>122</v>
      </c>
      <c r="CF192" s="3">
        <v>2</v>
      </c>
      <c r="CG192" s="4" t="s">
        <v>122</v>
      </c>
      <c r="CH192" s="3">
        <v>5</v>
      </c>
      <c r="CI192" s="4" t="s">
        <v>122</v>
      </c>
      <c r="CJ192" s="4" t="s">
        <v>122</v>
      </c>
      <c r="CK192" s="4" t="s">
        <v>122</v>
      </c>
      <c r="CL192" s="4" t="s">
        <v>122</v>
      </c>
      <c r="CM192" s="4" t="s">
        <v>122</v>
      </c>
      <c r="CN192" s="4" t="s">
        <v>122</v>
      </c>
      <c r="CO192" s="4" t="s">
        <v>125</v>
      </c>
      <c r="CP192" s="4" t="s">
        <v>122</v>
      </c>
      <c r="CQ192" s="4" t="s">
        <v>122</v>
      </c>
      <c r="CR192" s="4" t="s">
        <v>122</v>
      </c>
      <c r="CS192" s="3">
        <v>3</v>
      </c>
      <c r="CT192" s="3">
        <v>4</v>
      </c>
      <c r="CU192" s="42">
        <v>2</v>
      </c>
      <c r="CV192" cm="1">
        <f t="array" ref="CV192">_xlfn.IFS(CU192*1=2,1,CU192*1=4,1,TRUE,0)</f>
        <v>1</v>
      </c>
      <c r="CW192" cm="1">
        <f t="array" ref="CW192">_xlfn.IFS(CU192*1=1,1,CU192*1=2,1,TRUE,0)</f>
        <v>1</v>
      </c>
      <c r="CX192" s="3">
        <f t="shared" si="19"/>
        <v>6.5</v>
      </c>
      <c r="CY192" s="3">
        <f t="shared" si="20"/>
        <v>6.5</v>
      </c>
      <c r="CZ192" s="3" cm="1">
        <f t="array" ref="CZ192">_xlfn.IFS(BP192&lt;&gt;"", BP192, CV192=1,  AQ192, CV192=0,  AZ192)</f>
        <v>6.5</v>
      </c>
      <c r="DA192" s="36" cm="1">
        <f t="array" ref="DA192">_xlfn.IFS(BO192&lt;&gt;"", BO192, CV192=0,  AQ192, CV192=1,  AZ192)</f>
        <v>6.5</v>
      </c>
      <c r="DB192" s="36">
        <f t="shared" si="21"/>
        <v>0</v>
      </c>
      <c r="DC192" s="3">
        <f t="shared" si="22"/>
        <v>0</v>
      </c>
      <c r="DD192" s="3">
        <f t="shared" si="23"/>
        <v>0</v>
      </c>
      <c r="DE192" s="3">
        <f t="shared" si="24"/>
        <v>0</v>
      </c>
      <c r="DF192" s="3">
        <f t="shared" si="25"/>
        <v>0</v>
      </c>
      <c r="DG192" s="3">
        <f t="shared" si="26"/>
        <v>0</v>
      </c>
    </row>
    <row r="193" spans="1:111" x14ac:dyDescent="0.4">
      <c r="A193" s="3">
        <v>202503</v>
      </c>
      <c r="B193" s="3">
        <v>222</v>
      </c>
      <c r="C193" s="5">
        <v>45735.63422453704</v>
      </c>
      <c r="D193" s="5">
        <v>45735.64135416667</v>
      </c>
      <c r="E193" s="3">
        <v>0</v>
      </c>
      <c r="F193" s="4" t="s">
        <v>575</v>
      </c>
      <c r="G193" s="3">
        <v>100</v>
      </c>
      <c r="H193" s="3">
        <v>616</v>
      </c>
      <c r="I193" s="3">
        <v>1</v>
      </c>
      <c r="J193" s="5">
        <v>45735.641367314813</v>
      </c>
      <c r="K193" s="4" t="s">
        <v>576</v>
      </c>
      <c r="L193" s="4" t="s">
        <v>122</v>
      </c>
      <c r="M193" s="4" t="s">
        <v>122</v>
      </c>
      <c r="N193" s="4" t="s">
        <v>122</v>
      </c>
      <c r="O193" s="4" t="s">
        <v>122</v>
      </c>
      <c r="P193" s="3">
        <v>33.453200000000002</v>
      </c>
      <c r="Q193" s="3">
        <v>-112.0748</v>
      </c>
      <c r="R193" s="4" t="s">
        <v>129</v>
      </c>
      <c r="S193" s="4" t="s">
        <v>124</v>
      </c>
      <c r="T193" s="3">
        <v>4</v>
      </c>
      <c r="U193" s="3">
        <v>1</v>
      </c>
      <c r="V193" s="3">
        <v>2</v>
      </c>
      <c r="W193" s="3">
        <v>3</v>
      </c>
      <c r="X193" s="3">
        <v>1</v>
      </c>
      <c r="Y193" s="3">
        <v>3</v>
      </c>
      <c r="Z193" s="3">
        <v>3</v>
      </c>
      <c r="AA193" s="3">
        <v>2</v>
      </c>
      <c r="AB193" s="4" t="s">
        <v>122</v>
      </c>
      <c r="AC193" s="4" t="s">
        <v>122</v>
      </c>
      <c r="AD193" s="4" t="s">
        <v>122</v>
      </c>
      <c r="AE193" s="4" t="s">
        <v>122</v>
      </c>
      <c r="AF193" s="4" t="s">
        <v>122</v>
      </c>
      <c r="AG193" s="3">
        <v>3</v>
      </c>
      <c r="AH193" s="3">
        <v>5</v>
      </c>
      <c r="AI193" s="3">
        <v>2</v>
      </c>
      <c r="AJ193" s="3">
        <v>7</v>
      </c>
      <c r="AK193" s="3">
        <v>7</v>
      </c>
      <c r="AL193" s="3">
        <v>6</v>
      </c>
      <c r="AM193" s="3">
        <v>7</v>
      </c>
      <c r="AN193" s="3">
        <v>8</v>
      </c>
      <c r="AO193" s="3">
        <v>3</v>
      </c>
      <c r="AP193" s="3">
        <v>4</v>
      </c>
      <c r="AQ193" s="3">
        <v>5.5</v>
      </c>
      <c r="AR193" s="3">
        <v>2</v>
      </c>
      <c r="AS193" s="3">
        <v>8</v>
      </c>
      <c r="AT193" s="3">
        <v>8</v>
      </c>
      <c r="AU193" s="3">
        <v>7</v>
      </c>
      <c r="AV193" s="3">
        <v>8</v>
      </c>
      <c r="AW193" s="3">
        <v>8</v>
      </c>
      <c r="AX193" s="3">
        <v>4</v>
      </c>
      <c r="AY193" s="3">
        <v>3</v>
      </c>
      <c r="AZ193" s="3">
        <v>5.5</v>
      </c>
      <c r="BA193" s="3">
        <v>2</v>
      </c>
      <c r="BB193" s="3">
        <v>5.5</v>
      </c>
      <c r="BC193" s="3">
        <v>5.5</v>
      </c>
      <c r="BD193" s="3">
        <v>2</v>
      </c>
      <c r="BE193" s="3" t="s">
        <v>122</v>
      </c>
      <c r="BF193" s="3" t="s">
        <v>122</v>
      </c>
      <c r="BG193" s="3" t="s">
        <v>122</v>
      </c>
      <c r="BH193" s="3" t="s">
        <v>122</v>
      </c>
      <c r="BI193" s="3" t="s">
        <v>122</v>
      </c>
      <c r="BJ193" s="3" t="s">
        <v>122</v>
      </c>
      <c r="BK193" s="3" t="s">
        <v>122</v>
      </c>
      <c r="BL193" s="3" t="s">
        <v>122</v>
      </c>
      <c r="BM193" s="3" t="s">
        <v>122</v>
      </c>
      <c r="BN193" s="3">
        <v>1</v>
      </c>
      <c r="BO193" s="3" t="s">
        <v>122</v>
      </c>
      <c r="BP193" s="3" t="s">
        <v>122</v>
      </c>
      <c r="BQ193" s="3" t="s">
        <v>122</v>
      </c>
      <c r="BR193" s="3" t="s">
        <v>122</v>
      </c>
      <c r="BS193" s="3" t="s">
        <v>122</v>
      </c>
      <c r="BT193" s="3" t="s">
        <v>122</v>
      </c>
      <c r="BU193" s="3" t="s">
        <v>122</v>
      </c>
      <c r="BV193" s="3" t="s">
        <v>122</v>
      </c>
      <c r="BW193" s="3" t="s">
        <v>122</v>
      </c>
      <c r="BX193" s="3" t="s">
        <v>122</v>
      </c>
      <c r="BY193" s="3" t="s">
        <v>122</v>
      </c>
      <c r="BZ193" s="3" t="s">
        <v>122</v>
      </c>
      <c r="CA193" s="3" t="s">
        <v>122</v>
      </c>
      <c r="CB193" s="3" t="s">
        <v>122</v>
      </c>
      <c r="CC193" s="3" t="s">
        <v>122</v>
      </c>
      <c r="CD193" s="3" t="s">
        <v>122</v>
      </c>
      <c r="CE193" s="3" t="s">
        <v>122</v>
      </c>
      <c r="CF193" s="3">
        <v>2</v>
      </c>
      <c r="CG193" s="4" t="s">
        <v>122</v>
      </c>
      <c r="CH193" s="3">
        <v>2</v>
      </c>
      <c r="CI193" s="4" t="s">
        <v>122</v>
      </c>
      <c r="CJ193" s="4" t="s">
        <v>122</v>
      </c>
      <c r="CK193" s="4" t="s">
        <v>122</v>
      </c>
      <c r="CL193" s="4" t="s">
        <v>125</v>
      </c>
      <c r="CM193" s="4" t="s">
        <v>122</v>
      </c>
      <c r="CN193" s="4" t="s">
        <v>122</v>
      </c>
      <c r="CO193" s="4" t="s">
        <v>122</v>
      </c>
      <c r="CP193" s="4" t="s">
        <v>122</v>
      </c>
      <c r="CQ193" s="4" t="s">
        <v>122</v>
      </c>
      <c r="CR193" s="4" t="s">
        <v>122</v>
      </c>
      <c r="CS193" s="3">
        <v>3</v>
      </c>
      <c r="CT193" s="3">
        <v>1</v>
      </c>
      <c r="CU193" s="42">
        <v>1</v>
      </c>
      <c r="CV193" cm="1">
        <f t="array" ref="CV193">_xlfn.IFS(CU193*1=2,1,CU193*1=4,1,TRUE,0)</f>
        <v>0</v>
      </c>
      <c r="CW193" cm="1">
        <f t="array" ref="CW193">_xlfn.IFS(CU193*1=1,1,CU193*1=2,1,TRUE,0)</f>
        <v>1</v>
      </c>
      <c r="CX193" s="3">
        <f t="shared" si="19"/>
        <v>5.5</v>
      </c>
      <c r="CY193" s="3">
        <f t="shared" si="20"/>
        <v>5.5</v>
      </c>
      <c r="CZ193" s="3" cm="1">
        <f t="array" ref="CZ193">_xlfn.IFS(BP193&lt;&gt;"", BP193, CV193=1,  AQ193, CV193=0,  AZ193)</f>
        <v>5.5</v>
      </c>
      <c r="DA193" s="36" cm="1">
        <f t="array" ref="DA193">_xlfn.IFS(BO193&lt;&gt;"", BO193, CV193=0,  AQ193, CV193=1,  AZ193)</f>
        <v>5.5</v>
      </c>
      <c r="DB193" s="36">
        <f t="shared" si="21"/>
        <v>0.5</v>
      </c>
      <c r="DC193" s="3">
        <f t="shared" si="22"/>
        <v>0.5</v>
      </c>
      <c r="DD193" s="3">
        <f t="shared" si="23"/>
        <v>0.5</v>
      </c>
      <c r="DE193" s="3">
        <f t="shared" si="24"/>
        <v>0.5</v>
      </c>
      <c r="DF193" s="3">
        <f t="shared" si="25"/>
        <v>0.5</v>
      </c>
      <c r="DG193" s="3">
        <f t="shared" si="26"/>
        <v>0.5</v>
      </c>
    </row>
    <row r="194" spans="1:111" x14ac:dyDescent="0.4">
      <c r="A194" s="3">
        <v>202503</v>
      </c>
      <c r="B194" s="3">
        <v>222</v>
      </c>
      <c r="C194" s="5">
        <v>45735.635763888888</v>
      </c>
      <c r="D194" s="5">
        <v>45735.641631944447</v>
      </c>
      <c r="E194" s="3">
        <v>0</v>
      </c>
      <c r="F194" s="4" t="s">
        <v>577</v>
      </c>
      <c r="G194" s="3">
        <v>100</v>
      </c>
      <c r="H194" s="3">
        <v>506</v>
      </c>
      <c r="I194" s="3">
        <v>1</v>
      </c>
      <c r="J194" s="5">
        <v>45735.641637175926</v>
      </c>
      <c r="K194" s="4" t="s">
        <v>578</v>
      </c>
      <c r="L194" s="4" t="s">
        <v>122</v>
      </c>
      <c r="M194" s="4" t="s">
        <v>122</v>
      </c>
      <c r="N194" s="4" t="s">
        <v>122</v>
      </c>
      <c r="O194" s="4" t="s">
        <v>122</v>
      </c>
      <c r="P194" s="3">
        <v>32.145299999999999</v>
      </c>
      <c r="Q194" s="3">
        <v>-110.9456</v>
      </c>
      <c r="R194" s="4" t="s">
        <v>129</v>
      </c>
      <c r="S194" s="4" t="s">
        <v>124</v>
      </c>
      <c r="T194" s="3">
        <v>4</v>
      </c>
      <c r="U194" s="3">
        <v>1</v>
      </c>
      <c r="V194" s="3">
        <v>4</v>
      </c>
      <c r="W194" s="3">
        <v>1</v>
      </c>
      <c r="X194" s="3">
        <v>1</v>
      </c>
      <c r="Y194" s="3">
        <v>3</v>
      </c>
      <c r="Z194" s="3">
        <v>1</v>
      </c>
      <c r="AA194" s="3">
        <v>1</v>
      </c>
      <c r="AB194" s="4" t="s">
        <v>122</v>
      </c>
      <c r="AC194" s="4" t="s">
        <v>122</v>
      </c>
      <c r="AD194" s="4" t="s">
        <v>122</v>
      </c>
      <c r="AE194" s="4" t="s">
        <v>122</v>
      </c>
      <c r="AF194" s="4" t="s">
        <v>122</v>
      </c>
      <c r="AG194" s="3">
        <v>2</v>
      </c>
      <c r="AH194" s="3">
        <v>4</v>
      </c>
      <c r="AI194" s="3">
        <v>3</v>
      </c>
      <c r="AJ194" s="3">
        <v>2</v>
      </c>
      <c r="AK194" s="3">
        <v>5</v>
      </c>
      <c r="AL194" s="3">
        <v>2</v>
      </c>
      <c r="AM194" s="3">
        <v>3</v>
      </c>
      <c r="AN194" s="3">
        <v>2</v>
      </c>
      <c r="AO194" s="3">
        <v>3</v>
      </c>
      <c r="AP194" s="3">
        <v>3</v>
      </c>
      <c r="AQ194" s="4">
        <v>5.5</v>
      </c>
      <c r="AR194" s="4">
        <v>3</v>
      </c>
      <c r="AS194" s="3">
        <v>3</v>
      </c>
      <c r="AT194" s="3">
        <v>7</v>
      </c>
      <c r="AU194" s="3">
        <v>5</v>
      </c>
      <c r="AV194" s="3">
        <v>4</v>
      </c>
      <c r="AW194" s="3">
        <v>6</v>
      </c>
      <c r="AX194" s="3">
        <v>3</v>
      </c>
      <c r="AY194" s="3">
        <v>3</v>
      </c>
      <c r="AZ194" s="4">
        <v>6</v>
      </c>
      <c r="BA194" s="4">
        <v>3</v>
      </c>
      <c r="BB194" s="3">
        <v>4</v>
      </c>
      <c r="BC194" s="3">
        <v>4</v>
      </c>
      <c r="BD194" s="3">
        <v>3</v>
      </c>
      <c r="BE194" s="3" t="s">
        <v>122</v>
      </c>
      <c r="BF194" s="3" t="s">
        <v>122</v>
      </c>
      <c r="BG194" s="3" t="s">
        <v>122</v>
      </c>
      <c r="BH194" s="3" t="s">
        <v>122</v>
      </c>
      <c r="BI194" s="3" t="s">
        <v>122</v>
      </c>
      <c r="BJ194" s="3" t="s">
        <v>122</v>
      </c>
      <c r="BK194" s="3" t="s">
        <v>122</v>
      </c>
      <c r="BL194" s="3" t="s">
        <v>122</v>
      </c>
      <c r="BM194" s="3" t="s">
        <v>122</v>
      </c>
      <c r="BN194" s="3" t="s">
        <v>122</v>
      </c>
      <c r="BO194" s="3" t="s">
        <v>122</v>
      </c>
      <c r="BP194" s="3" t="s">
        <v>122</v>
      </c>
      <c r="BQ194" s="3" t="s">
        <v>122</v>
      </c>
      <c r="BR194" s="3" t="s">
        <v>122</v>
      </c>
      <c r="BS194" s="3" t="s">
        <v>122</v>
      </c>
      <c r="BT194" s="3" t="s">
        <v>122</v>
      </c>
      <c r="BU194" s="3" t="s">
        <v>122</v>
      </c>
      <c r="BV194" s="3" t="s">
        <v>122</v>
      </c>
      <c r="BW194" s="3" t="s">
        <v>122</v>
      </c>
      <c r="BX194" s="3" t="s">
        <v>122</v>
      </c>
      <c r="BY194" s="3" t="s">
        <v>122</v>
      </c>
      <c r="BZ194" s="3" t="s">
        <v>122</v>
      </c>
      <c r="CA194" s="3" t="s">
        <v>122</v>
      </c>
      <c r="CB194" s="3" t="s">
        <v>122</v>
      </c>
      <c r="CC194" s="3" t="s">
        <v>122</v>
      </c>
      <c r="CD194" s="3" t="s">
        <v>122</v>
      </c>
      <c r="CE194" s="3" t="s">
        <v>122</v>
      </c>
      <c r="CF194" s="3">
        <v>2</v>
      </c>
      <c r="CG194" s="4" t="s">
        <v>122</v>
      </c>
      <c r="CH194" s="3">
        <v>2</v>
      </c>
      <c r="CI194" s="4" t="s">
        <v>122</v>
      </c>
      <c r="CJ194" s="4" t="s">
        <v>122</v>
      </c>
      <c r="CK194" s="4" t="s">
        <v>122</v>
      </c>
      <c r="CL194" s="4" t="s">
        <v>125</v>
      </c>
      <c r="CM194" s="4" t="s">
        <v>122</v>
      </c>
      <c r="CN194" s="4" t="s">
        <v>122</v>
      </c>
      <c r="CO194" s="4" t="s">
        <v>122</v>
      </c>
      <c r="CP194" s="4" t="s">
        <v>122</v>
      </c>
      <c r="CQ194" s="4" t="s">
        <v>122</v>
      </c>
      <c r="CR194" s="4" t="s">
        <v>122</v>
      </c>
      <c r="CS194" s="3">
        <v>2</v>
      </c>
      <c r="CT194" s="3">
        <v>2</v>
      </c>
      <c r="CU194" s="42">
        <v>2</v>
      </c>
      <c r="CV194" cm="1">
        <f t="array" ref="CV194">_xlfn.IFS(CU194*1=2,1,CU194*1=4,1,TRUE,0)</f>
        <v>1</v>
      </c>
      <c r="CW194" cm="1">
        <f t="array" ref="CW194">_xlfn.IFS(CU194*1=1,1,CU194*1=2,1,TRUE,0)</f>
        <v>1</v>
      </c>
      <c r="CX194" s="3">
        <f t="shared" si="19"/>
        <v>4</v>
      </c>
      <c r="CY194" s="3">
        <f t="shared" si="20"/>
        <v>4</v>
      </c>
      <c r="CZ194" s="3" cm="1">
        <f t="array" ref="CZ194">_xlfn.IFS(BP194&lt;&gt;"", BP194, CV194=1,  AQ194, CV194=0,  AZ194)</f>
        <v>5.5</v>
      </c>
      <c r="DA194" s="36" cm="1">
        <f t="array" ref="DA194">_xlfn.IFS(BO194&lt;&gt;"", BO194, CV194=0,  AQ194, CV194=1,  AZ194)</f>
        <v>6</v>
      </c>
      <c r="DB194" s="36">
        <f t="shared" si="21"/>
        <v>0</v>
      </c>
      <c r="DC194" s="3">
        <f t="shared" si="22"/>
        <v>0</v>
      </c>
      <c r="DD194" s="3">
        <f t="shared" si="23"/>
        <v>1.5</v>
      </c>
      <c r="DE194" s="3">
        <f t="shared" si="24"/>
        <v>0</v>
      </c>
      <c r="DF194" s="3">
        <f t="shared" si="25"/>
        <v>2</v>
      </c>
      <c r="DG194" s="3">
        <f t="shared" si="26"/>
        <v>0</v>
      </c>
    </row>
    <row r="195" spans="1:111" x14ac:dyDescent="0.4">
      <c r="A195" s="3">
        <v>202503</v>
      </c>
      <c r="B195" s="3">
        <v>222</v>
      </c>
      <c r="C195" s="5">
        <v>45735.638877314814</v>
      </c>
      <c r="D195" s="5">
        <v>45735.645162037035</v>
      </c>
      <c r="E195" s="3">
        <v>0</v>
      </c>
      <c r="F195" s="4" t="s">
        <v>582</v>
      </c>
      <c r="G195" s="3">
        <v>100</v>
      </c>
      <c r="H195" s="3">
        <v>543</v>
      </c>
      <c r="I195" s="3">
        <v>1</v>
      </c>
      <c r="J195" s="5">
        <v>45735.645172673612</v>
      </c>
      <c r="K195" s="4" t="s">
        <v>583</v>
      </c>
      <c r="L195" s="4" t="s">
        <v>122</v>
      </c>
      <c r="M195" s="4" t="s">
        <v>122</v>
      </c>
      <c r="N195" s="4" t="s">
        <v>122</v>
      </c>
      <c r="O195" s="4" t="s">
        <v>122</v>
      </c>
      <c r="P195" s="3">
        <v>35.993699999999997</v>
      </c>
      <c r="Q195" s="3">
        <v>-115.2867</v>
      </c>
      <c r="R195" s="4" t="s">
        <v>129</v>
      </c>
      <c r="S195" s="4" t="s">
        <v>124</v>
      </c>
      <c r="T195" s="3">
        <v>4</v>
      </c>
      <c r="U195" s="3">
        <v>1</v>
      </c>
      <c r="V195" s="3">
        <v>2</v>
      </c>
      <c r="W195" s="3">
        <v>2</v>
      </c>
      <c r="X195" s="3">
        <v>1</v>
      </c>
      <c r="Y195" s="3">
        <v>2</v>
      </c>
      <c r="Z195" s="3">
        <v>2</v>
      </c>
      <c r="AA195" s="3">
        <v>2</v>
      </c>
      <c r="AB195" s="4" t="s">
        <v>122</v>
      </c>
      <c r="AC195" s="4" t="s">
        <v>122</v>
      </c>
      <c r="AD195" s="4" t="s">
        <v>122</v>
      </c>
      <c r="AE195" s="4" t="s">
        <v>122</v>
      </c>
      <c r="AF195" s="4" t="s">
        <v>122</v>
      </c>
      <c r="AG195" s="3">
        <v>3</v>
      </c>
      <c r="AH195" s="3">
        <v>5</v>
      </c>
      <c r="AI195" s="3">
        <v>3</v>
      </c>
      <c r="AJ195" s="3">
        <v>7</v>
      </c>
      <c r="AK195" s="3">
        <v>8</v>
      </c>
      <c r="AL195" s="3">
        <v>8</v>
      </c>
      <c r="AM195" s="3">
        <v>8</v>
      </c>
      <c r="AN195" s="3">
        <v>6</v>
      </c>
      <c r="AO195" s="3">
        <v>2</v>
      </c>
      <c r="AP195" s="3">
        <v>3</v>
      </c>
      <c r="AQ195" s="4" t="s">
        <v>122</v>
      </c>
      <c r="AR195" s="4" t="s">
        <v>122</v>
      </c>
      <c r="AS195" s="3">
        <v>7</v>
      </c>
      <c r="AT195" s="3">
        <v>8</v>
      </c>
      <c r="AU195" s="3">
        <v>5</v>
      </c>
      <c r="AV195" s="3">
        <v>6</v>
      </c>
      <c r="AW195" s="3">
        <v>7</v>
      </c>
      <c r="AX195" s="3">
        <v>4</v>
      </c>
      <c r="AY195" s="3">
        <v>3</v>
      </c>
      <c r="AZ195" s="4" t="s">
        <v>122</v>
      </c>
      <c r="BA195" s="4" t="s">
        <v>122</v>
      </c>
      <c r="BB195" s="3" t="s">
        <v>122</v>
      </c>
      <c r="BC195" s="3" t="s">
        <v>122</v>
      </c>
      <c r="BD195" s="3" t="s">
        <v>122</v>
      </c>
      <c r="BE195" s="3" t="s">
        <v>122</v>
      </c>
      <c r="BF195" s="3" t="s">
        <v>122</v>
      </c>
      <c r="BG195" s="3" t="s">
        <v>122</v>
      </c>
      <c r="BH195" s="3" t="s">
        <v>122</v>
      </c>
      <c r="BI195" s="3" t="s">
        <v>122</v>
      </c>
      <c r="BJ195" s="3" t="s">
        <v>122</v>
      </c>
      <c r="BK195" s="3" t="s">
        <v>122</v>
      </c>
      <c r="BL195" s="3" t="s">
        <v>122</v>
      </c>
      <c r="BM195" s="3" t="s">
        <v>122</v>
      </c>
      <c r="BN195" s="3" t="s">
        <v>122</v>
      </c>
      <c r="BO195" s="3">
        <v>5</v>
      </c>
      <c r="BP195" s="3">
        <v>5</v>
      </c>
      <c r="BQ195" s="3">
        <v>2</v>
      </c>
      <c r="BR195" s="3" t="s">
        <v>122</v>
      </c>
      <c r="BS195" s="3" t="s">
        <v>122</v>
      </c>
      <c r="BT195" s="3" t="s">
        <v>122</v>
      </c>
      <c r="BU195" s="3" t="s">
        <v>122</v>
      </c>
      <c r="BV195" s="3" t="s">
        <v>122</v>
      </c>
      <c r="BW195" s="3" t="s">
        <v>122</v>
      </c>
      <c r="BX195" s="3" t="s">
        <v>122</v>
      </c>
      <c r="BY195" s="3" t="s">
        <v>122</v>
      </c>
      <c r="BZ195" s="3" t="s">
        <v>122</v>
      </c>
      <c r="CA195" s="3">
        <v>1</v>
      </c>
      <c r="CB195" s="3">
        <v>5.5</v>
      </c>
      <c r="CC195" s="3">
        <v>3</v>
      </c>
      <c r="CD195" s="3">
        <v>5</v>
      </c>
      <c r="CE195" s="3">
        <v>3</v>
      </c>
      <c r="CF195" s="3">
        <v>1</v>
      </c>
      <c r="CG195" s="4" t="s">
        <v>122</v>
      </c>
      <c r="CH195" s="3">
        <v>2</v>
      </c>
      <c r="CI195" s="4" t="s">
        <v>122</v>
      </c>
      <c r="CJ195" s="4" t="s">
        <v>122</v>
      </c>
      <c r="CK195" s="4" t="s">
        <v>122</v>
      </c>
      <c r="CL195" s="4" t="s">
        <v>122</v>
      </c>
      <c r="CM195" s="4" t="s">
        <v>122</v>
      </c>
      <c r="CN195" s="4" t="s">
        <v>122</v>
      </c>
      <c r="CO195" s="4" t="s">
        <v>125</v>
      </c>
      <c r="CP195" s="4" t="s">
        <v>122</v>
      </c>
      <c r="CQ195" s="4" t="s">
        <v>122</v>
      </c>
      <c r="CR195" s="4" t="s">
        <v>122</v>
      </c>
      <c r="CS195" s="3">
        <v>4</v>
      </c>
      <c r="CT195" s="3">
        <v>1</v>
      </c>
      <c r="CU195" s="42">
        <v>3</v>
      </c>
      <c r="CV195" cm="1">
        <f t="array" ref="CV195">_xlfn.IFS(CU195*1=2,1,CU195*1=4,1,TRUE,0)</f>
        <v>0</v>
      </c>
      <c r="CW195" cm="1">
        <f t="array" ref="CW195">_xlfn.IFS(CU195*1=1,1,CU195*1=2,1,TRUE,0)</f>
        <v>0</v>
      </c>
      <c r="CX195" s="3">
        <f t="shared" ref="CX195:CX258" si="27">IF(BB195&lt;&gt;"",BB195,IF(CB195&lt;&gt;"",CB195,""))</f>
        <v>5.5</v>
      </c>
      <c r="CY195" s="3">
        <f t="shared" ref="CY195:CY258" si="28">IF(BC195&lt;&gt;"",BC195,IF(CD195&lt;&gt;"",CD195,""))</f>
        <v>5</v>
      </c>
      <c r="CZ195" s="3" cm="1">
        <f t="array" ref="CZ195">_xlfn.IFS(BP195&lt;&gt;"", BP195, CV195=1,  AQ195, CV195=0,  AZ195)</f>
        <v>5</v>
      </c>
      <c r="DA195" s="36" cm="1">
        <f t="array" ref="DA195">_xlfn.IFS(BO195&lt;&gt;"", BO195, CV195=0,  AQ195, CV195=1,  AZ195)</f>
        <v>5</v>
      </c>
      <c r="DB195" s="36">
        <f t="shared" ref="DB195:DB258" si="29">IF(COUNT(CY195,AH195)=2,CY195-AH195,"")</f>
        <v>0</v>
      </c>
      <c r="DC195" s="3">
        <f t="shared" ref="DC195:DC258" si="30">CX195-AH195</f>
        <v>0.5</v>
      </c>
      <c r="DD195" s="3">
        <f t="shared" ref="DD195:DD258" si="31">IF($CW195=1,CZ195-$AH195,CY195-$AH195)</f>
        <v>0</v>
      </c>
      <c r="DE195" s="3">
        <f t="shared" ref="DE195:DE258" si="32">IF($CW195=1,CY195-$AH195,CZ195-$AH195)</f>
        <v>0</v>
      </c>
      <c r="DF195" s="3">
        <f t="shared" ref="DF195:DF258" si="33">IF($CW195=1,$DA195-$AH195,$CX195-$AH195)</f>
        <v>0.5</v>
      </c>
      <c r="DG195" s="3">
        <f t="shared" ref="DG195:DG258" si="34">IF($CW195=1,$CX195-$AH195, $DA195-$AH195)</f>
        <v>0</v>
      </c>
    </row>
    <row r="196" spans="1:111" x14ac:dyDescent="0.4">
      <c r="A196" s="3">
        <v>202503</v>
      </c>
      <c r="B196" s="3">
        <v>222</v>
      </c>
      <c r="C196" s="5">
        <v>45735.63925925926</v>
      </c>
      <c r="D196" s="5">
        <v>45735.643645833334</v>
      </c>
      <c r="E196" s="3">
        <v>0</v>
      </c>
      <c r="F196" s="4" t="s">
        <v>530</v>
      </c>
      <c r="G196" s="3">
        <v>100</v>
      </c>
      <c r="H196" s="3">
        <v>379</v>
      </c>
      <c r="I196" s="3">
        <v>1</v>
      </c>
      <c r="J196" s="5">
        <v>45735.643662013892</v>
      </c>
      <c r="K196" s="4" t="s">
        <v>581</v>
      </c>
      <c r="L196" s="4" t="s">
        <v>122</v>
      </c>
      <c r="M196" s="4" t="s">
        <v>122</v>
      </c>
      <c r="N196" s="4" t="s">
        <v>122</v>
      </c>
      <c r="O196" s="4" t="s">
        <v>122</v>
      </c>
      <c r="P196" s="3">
        <v>32.250300000000003</v>
      </c>
      <c r="Q196" s="3">
        <v>-110.94499999999999</v>
      </c>
      <c r="R196" s="4" t="s">
        <v>129</v>
      </c>
      <c r="S196" s="4" t="s">
        <v>124</v>
      </c>
      <c r="T196" s="3">
        <v>4</v>
      </c>
      <c r="U196" s="3">
        <v>1</v>
      </c>
      <c r="V196" s="3">
        <v>3</v>
      </c>
      <c r="W196" s="3">
        <v>4</v>
      </c>
      <c r="X196" s="3">
        <v>1</v>
      </c>
      <c r="Y196" s="3">
        <v>2</v>
      </c>
      <c r="Z196" s="3">
        <v>1</v>
      </c>
      <c r="AA196" s="3">
        <v>1</v>
      </c>
      <c r="AB196" s="4" t="s">
        <v>122</v>
      </c>
      <c r="AC196" s="4" t="s">
        <v>122</v>
      </c>
      <c r="AD196" s="4" t="s">
        <v>122</v>
      </c>
      <c r="AE196" s="4" t="s">
        <v>122</v>
      </c>
      <c r="AF196" s="4" t="s">
        <v>122</v>
      </c>
      <c r="AG196" s="3">
        <v>2</v>
      </c>
      <c r="AH196" s="3">
        <v>4.5</v>
      </c>
      <c r="AI196" s="3">
        <v>2</v>
      </c>
      <c r="AJ196" s="3">
        <v>4</v>
      </c>
      <c r="AK196" s="3">
        <v>5</v>
      </c>
      <c r="AL196" s="3">
        <v>6</v>
      </c>
      <c r="AM196" s="3">
        <v>2</v>
      </c>
      <c r="AN196" s="3">
        <v>5</v>
      </c>
      <c r="AO196" s="3">
        <v>4</v>
      </c>
      <c r="AP196" s="3">
        <v>2</v>
      </c>
      <c r="AQ196" s="4" t="s">
        <v>122</v>
      </c>
      <c r="AR196" s="4" t="s">
        <v>122</v>
      </c>
      <c r="AS196" s="3">
        <v>5</v>
      </c>
      <c r="AT196" s="3">
        <v>6</v>
      </c>
      <c r="AU196" s="3">
        <v>4</v>
      </c>
      <c r="AV196" s="3">
        <v>5</v>
      </c>
      <c r="AW196" s="3">
        <v>6</v>
      </c>
      <c r="AX196" s="3">
        <v>1</v>
      </c>
      <c r="AY196" s="3">
        <v>1</v>
      </c>
      <c r="AZ196" s="4" t="s">
        <v>122</v>
      </c>
      <c r="BA196" s="4" t="s">
        <v>122</v>
      </c>
      <c r="BB196" s="3" t="s">
        <v>122</v>
      </c>
      <c r="BC196" s="3" t="s">
        <v>122</v>
      </c>
      <c r="BD196" s="3" t="s">
        <v>122</v>
      </c>
      <c r="BE196" s="3" t="s">
        <v>122</v>
      </c>
      <c r="BF196" s="3" t="s">
        <v>122</v>
      </c>
      <c r="BG196" s="3" t="s">
        <v>122</v>
      </c>
      <c r="BH196" s="3" t="s">
        <v>122</v>
      </c>
      <c r="BI196" s="3" t="s">
        <v>122</v>
      </c>
      <c r="BJ196" s="3" t="s">
        <v>122</v>
      </c>
      <c r="BK196" s="3" t="s">
        <v>122</v>
      </c>
      <c r="BL196" s="3" t="s">
        <v>122</v>
      </c>
      <c r="BM196" s="3" t="s">
        <v>122</v>
      </c>
      <c r="BN196" s="3" t="s">
        <v>122</v>
      </c>
      <c r="BO196" s="3">
        <v>4.5</v>
      </c>
      <c r="BP196" s="3">
        <v>4.5</v>
      </c>
      <c r="BQ196" s="3">
        <v>2</v>
      </c>
      <c r="BR196" s="3" t="s">
        <v>122</v>
      </c>
      <c r="BS196" s="3" t="s">
        <v>122</v>
      </c>
      <c r="BT196" s="3" t="s">
        <v>122</v>
      </c>
      <c r="BU196" s="3" t="s">
        <v>122</v>
      </c>
      <c r="BV196" s="3" t="s">
        <v>122</v>
      </c>
      <c r="BW196" s="3" t="s">
        <v>122</v>
      </c>
      <c r="BX196" s="3" t="s">
        <v>122</v>
      </c>
      <c r="BY196" s="3" t="s">
        <v>122</v>
      </c>
      <c r="BZ196" s="3" t="s">
        <v>122</v>
      </c>
      <c r="CA196" s="3">
        <v>4</v>
      </c>
      <c r="CB196" s="3">
        <v>0</v>
      </c>
      <c r="CC196" s="3" t="s">
        <v>122</v>
      </c>
      <c r="CD196" s="3">
        <v>0</v>
      </c>
      <c r="CE196" s="3" t="s">
        <v>122</v>
      </c>
      <c r="CF196" s="3">
        <v>2</v>
      </c>
      <c r="CG196" s="4" t="s">
        <v>122</v>
      </c>
      <c r="CH196" s="3">
        <v>2</v>
      </c>
      <c r="CI196" s="4" t="s">
        <v>122</v>
      </c>
      <c r="CJ196" s="4" t="s">
        <v>122</v>
      </c>
      <c r="CK196" s="4" t="s">
        <v>122</v>
      </c>
      <c r="CL196" s="4" t="s">
        <v>122</v>
      </c>
      <c r="CM196" s="4" t="s">
        <v>122</v>
      </c>
      <c r="CN196" s="4" t="s">
        <v>122</v>
      </c>
      <c r="CO196" s="4" t="s">
        <v>125</v>
      </c>
      <c r="CP196" s="4" t="s">
        <v>122</v>
      </c>
      <c r="CQ196" s="4" t="s">
        <v>122</v>
      </c>
      <c r="CR196" s="4" t="s">
        <v>122</v>
      </c>
      <c r="CS196" s="3">
        <v>3</v>
      </c>
      <c r="CT196" s="3">
        <v>1</v>
      </c>
      <c r="CU196" s="42">
        <v>4</v>
      </c>
      <c r="CV196" cm="1">
        <f t="array" ref="CV196">_xlfn.IFS(CU196*1=2,1,CU196*1=4,1,TRUE,0)</f>
        <v>1</v>
      </c>
      <c r="CW196" cm="1">
        <f t="array" ref="CW196">_xlfn.IFS(CU196*1=1,1,CU196*1=2,1,TRUE,0)</f>
        <v>0</v>
      </c>
      <c r="CX196" s="3">
        <f t="shared" si="27"/>
        <v>0</v>
      </c>
      <c r="CY196" s="3">
        <f t="shared" si="28"/>
        <v>0</v>
      </c>
      <c r="CZ196" s="3" cm="1">
        <f t="array" ref="CZ196">_xlfn.IFS(BP196&lt;&gt;"", BP196, CV196=1,  AQ196, CV196=0,  AZ196)</f>
        <v>4.5</v>
      </c>
      <c r="DA196" s="36" cm="1">
        <f t="array" ref="DA196">_xlfn.IFS(BO196&lt;&gt;"", BO196, CV196=0,  AQ196, CV196=1,  AZ196)</f>
        <v>4.5</v>
      </c>
      <c r="DB196" s="36">
        <f t="shared" si="29"/>
        <v>-4.5</v>
      </c>
      <c r="DC196" s="3">
        <f t="shared" si="30"/>
        <v>-4.5</v>
      </c>
      <c r="DD196" s="3">
        <f t="shared" si="31"/>
        <v>-4.5</v>
      </c>
      <c r="DE196" s="3">
        <f t="shared" si="32"/>
        <v>0</v>
      </c>
      <c r="DF196" s="3">
        <f t="shared" si="33"/>
        <v>-4.5</v>
      </c>
      <c r="DG196" s="3">
        <f t="shared" si="34"/>
        <v>0</v>
      </c>
    </row>
    <row r="197" spans="1:111" x14ac:dyDescent="0.4">
      <c r="A197" s="3">
        <v>202503</v>
      </c>
      <c r="B197" s="3">
        <v>222</v>
      </c>
      <c r="C197" s="5">
        <v>45735.65215277778</v>
      </c>
      <c r="D197" s="5">
        <v>45735.657847222225</v>
      </c>
      <c r="E197" s="3">
        <v>0</v>
      </c>
      <c r="F197" s="4" t="s">
        <v>584</v>
      </c>
      <c r="G197" s="3">
        <v>100</v>
      </c>
      <c r="H197" s="3">
        <v>492</v>
      </c>
      <c r="I197" s="3">
        <v>1</v>
      </c>
      <c r="J197" s="5">
        <v>45735.657864687499</v>
      </c>
      <c r="K197" s="4" t="s">
        <v>585</v>
      </c>
      <c r="L197" s="4" t="s">
        <v>122</v>
      </c>
      <c r="M197" s="4" t="s">
        <v>122</v>
      </c>
      <c r="N197" s="4" t="s">
        <v>122</v>
      </c>
      <c r="O197" s="4" t="s">
        <v>122</v>
      </c>
      <c r="P197" s="3">
        <v>32.250300000000003</v>
      </c>
      <c r="Q197" s="3">
        <v>-110.94499999999999</v>
      </c>
      <c r="R197" s="4" t="s">
        <v>129</v>
      </c>
      <c r="S197" s="4" t="s">
        <v>124</v>
      </c>
      <c r="T197" s="3">
        <v>4</v>
      </c>
      <c r="U197" s="3">
        <v>1</v>
      </c>
      <c r="V197" s="3">
        <v>4</v>
      </c>
      <c r="W197" s="3">
        <v>4</v>
      </c>
      <c r="X197" s="3">
        <v>2</v>
      </c>
      <c r="Y197" s="3">
        <v>2</v>
      </c>
      <c r="Z197" s="3">
        <v>2</v>
      </c>
      <c r="AA197" s="3">
        <v>1</v>
      </c>
      <c r="AB197" s="4" t="s">
        <v>122</v>
      </c>
      <c r="AC197" s="4" t="s">
        <v>122</v>
      </c>
      <c r="AD197" s="4" t="s">
        <v>125</v>
      </c>
      <c r="AE197" s="4" t="s">
        <v>122</v>
      </c>
      <c r="AF197" s="4" t="s">
        <v>122</v>
      </c>
      <c r="AG197" s="3">
        <v>3</v>
      </c>
      <c r="AH197" s="3">
        <v>5</v>
      </c>
      <c r="AI197" s="3">
        <v>2</v>
      </c>
      <c r="AJ197" s="3">
        <v>4</v>
      </c>
      <c r="AK197" s="3">
        <v>8</v>
      </c>
      <c r="AL197" s="3">
        <v>8</v>
      </c>
      <c r="AM197" s="3">
        <v>4</v>
      </c>
      <c r="AN197" s="3">
        <v>4</v>
      </c>
      <c r="AO197" s="3">
        <v>2</v>
      </c>
      <c r="AP197" s="3">
        <v>3</v>
      </c>
      <c r="AQ197" s="3" t="s">
        <v>122</v>
      </c>
      <c r="AR197" s="3" t="s">
        <v>122</v>
      </c>
      <c r="AS197" s="3">
        <v>7</v>
      </c>
      <c r="AT197" s="3">
        <v>9</v>
      </c>
      <c r="AU197" s="3">
        <v>7</v>
      </c>
      <c r="AV197" s="3">
        <v>8</v>
      </c>
      <c r="AW197" s="3">
        <v>5</v>
      </c>
      <c r="AX197" s="3">
        <v>3</v>
      </c>
      <c r="AY197" s="3">
        <v>3</v>
      </c>
      <c r="AZ197" s="3" t="s">
        <v>122</v>
      </c>
      <c r="BA197" s="3" t="s">
        <v>122</v>
      </c>
      <c r="BB197" s="3" t="s">
        <v>122</v>
      </c>
      <c r="BC197" s="3" t="s">
        <v>122</v>
      </c>
      <c r="BD197" s="3" t="s">
        <v>122</v>
      </c>
      <c r="BE197" s="3" t="s">
        <v>122</v>
      </c>
      <c r="BF197" s="3" t="s">
        <v>122</v>
      </c>
      <c r="BG197" s="3" t="s">
        <v>122</v>
      </c>
      <c r="BH197" s="3" t="s">
        <v>122</v>
      </c>
      <c r="BI197" s="3" t="s">
        <v>122</v>
      </c>
      <c r="BJ197" s="3" t="s">
        <v>122</v>
      </c>
      <c r="BK197" s="3" t="s">
        <v>122</v>
      </c>
      <c r="BL197" s="3" t="s">
        <v>122</v>
      </c>
      <c r="BM197" s="3" t="s">
        <v>122</v>
      </c>
      <c r="BN197" s="3" t="s">
        <v>122</v>
      </c>
      <c r="BO197" s="3">
        <v>5</v>
      </c>
      <c r="BP197" s="3">
        <v>5</v>
      </c>
      <c r="BQ197" s="3">
        <v>2</v>
      </c>
      <c r="BR197" s="3" t="s">
        <v>122</v>
      </c>
      <c r="BS197" s="3" t="s">
        <v>122</v>
      </c>
      <c r="BT197" s="3" t="s">
        <v>122</v>
      </c>
      <c r="BU197" s="3" t="s">
        <v>122</v>
      </c>
      <c r="BV197" s="3" t="s">
        <v>122</v>
      </c>
      <c r="BW197" s="3" t="s">
        <v>122</v>
      </c>
      <c r="BX197" s="3" t="s">
        <v>122</v>
      </c>
      <c r="BY197" s="3" t="s">
        <v>122</v>
      </c>
      <c r="BZ197" s="3" t="s">
        <v>122</v>
      </c>
      <c r="CA197" s="3">
        <v>7</v>
      </c>
      <c r="CB197" s="3">
        <v>5</v>
      </c>
      <c r="CC197" s="3">
        <v>3</v>
      </c>
      <c r="CD197" s="3">
        <v>5.5</v>
      </c>
      <c r="CE197" s="3">
        <v>3</v>
      </c>
      <c r="CF197" s="3">
        <v>2</v>
      </c>
      <c r="CG197" s="4" t="s">
        <v>122</v>
      </c>
      <c r="CH197" s="3">
        <v>2</v>
      </c>
      <c r="CI197" s="4" t="s">
        <v>122</v>
      </c>
      <c r="CJ197" s="4" t="s">
        <v>122</v>
      </c>
      <c r="CK197" s="4" t="s">
        <v>122</v>
      </c>
      <c r="CL197" s="4" t="s">
        <v>125</v>
      </c>
      <c r="CM197" s="4" t="s">
        <v>122</v>
      </c>
      <c r="CN197" s="4" t="s">
        <v>122</v>
      </c>
      <c r="CO197" s="4" t="s">
        <v>125</v>
      </c>
      <c r="CP197" s="4" t="s">
        <v>122</v>
      </c>
      <c r="CQ197" s="4" t="s">
        <v>122</v>
      </c>
      <c r="CR197" s="4" t="s">
        <v>122</v>
      </c>
      <c r="CS197" s="3">
        <v>3</v>
      </c>
      <c r="CT197" s="3">
        <v>1</v>
      </c>
      <c r="CU197" s="42">
        <v>3</v>
      </c>
      <c r="CV197" cm="1">
        <f t="array" ref="CV197">_xlfn.IFS(CU197*1=2,1,CU197*1=4,1,TRUE,0)</f>
        <v>0</v>
      </c>
      <c r="CW197" cm="1">
        <f t="array" ref="CW197">_xlfn.IFS(CU197*1=1,1,CU197*1=2,1,TRUE,0)</f>
        <v>0</v>
      </c>
      <c r="CX197" s="3">
        <f t="shared" si="27"/>
        <v>5</v>
      </c>
      <c r="CY197" s="3">
        <f t="shared" si="28"/>
        <v>5.5</v>
      </c>
      <c r="CZ197" s="3" cm="1">
        <f t="array" ref="CZ197">_xlfn.IFS(BP197&lt;&gt;"", BP197, CV197=1,  AQ197, CV197=0,  AZ197)</f>
        <v>5</v>
      </c>
      <c r="DA197" s="36" cm="1">
        <f t="array" ref="DA197">_xlfn.IFS(BO197&lt;&gt;"", BO197, CV197=0,  AQ197, CV197=1,  AZ197)</f>
        <v>5</v>
      </c>
      <c r="DB197" s="36">
        <f t="shared" si="29"/>
        <v>0.5</v>
      </c>
      <c r="DC197" s="3">
        <f t="shared" si="30"/>
        <v>0</v>
      </c>
      <c r="DD197" s="3">
        <f t="shared" si="31"/>
        <v>0.5</v>
      </c>
      <c r="DE197" s="3">
        <f t="shared" si="32"/>
        <v>0</v>
      </c>
      <c r="DF197" s="3">
        <f t="shared" si="33"/>
        <v>0</v>
      </c>
      <c r="DG197" s="3">
        <f t="shared" si="34"/>
        <v>0</v>
      </c>
    </row>
    <row r="198" spans="1:111" x14ac:dyDescent="0.4">
      <c r="A198" s="3">
        <v>202503</v>
      </c>
      <c r="B198" s="3">
        <v>222</v>
      </c>
      <c r="C198" s="5">
        <v>45735.653240740743</v>
      </c>
      <c r="D198" s="5">
        <v>45735.661863425928</v>
      </c>
      <c r="E198" s="3">
        <v>0</v>
      </c>
      <c r="F198" s="4" t="s">
        <v>587</v>
      </c>
      <c r="G198" s="3">
        <v>100</v>
      </c>
      <c r="H198" s="3">
        <v>744</v>
      </c>
      <c r="I198" s="3">
        <v>1</v>
      </c>
      <c r="J198" s="5">
        <v>45735.661875717589</v>
      </c>
      <c r="K198" s="4" t="s">
        <v>588</v>
      </c>
      <c r="L198" s="4" t="s">
        <v>122</v>
      </c>
      <c r="M198" s="4" t="s">
        <v>122</v>
      </c>
      <c r="N198" s="4" t="s">
        <v>122</v>
      </c>
      <c r="O198" s="4" t="s">
        <v>122</v>
      </c>
      <c r="P198" s="3">
        <v>33.453200000000002</v>
      </c>
      <c r="Q198" s="3">
        <v>-112.0748</v>
      </c>
      <c r="R198" s="4" t="s">
        <v>129</v>
      </c>
      <c r="S198" s="4" t="s">
        <v>124</v>
      </c>
      <c r="T198" s="3">
        <v>4</v>
      </c>
      <c r="U198" s="3">
        <v>1</v>
      </c>
      <c r="V198" s="3">
        <v>3</v>
      </c>
      <c r="W198" s="3">
        <v>3</v>
      </c>
      <c r="X198" s="3">
        <v>3</v>
      </c>
      <c r="Y198" s="3">
        <v>5</v>
      </c>
      <c r="Z198" s="3">
        <v>5</v>
      </c>
      <c r="AA198" s="3">
        <v>5</v>
      </c>
      <c r="AB198" s="4" t="s">
        <v>125</v>
      </c>
      <c r="AC198" s="4" t="s">
        <v>125</v>
      </c>
      <c r="AD198" s="4" t="s">
        <v>125</v>
      </c>
      <c r="AE198" s="4" t="s">
        <v>125</v>
      </c>
      <c r="AF198" s="4" t="s">
        <v>125</v>
      </c>
      <c r="AG198" s="3">
        <v>5</v>
      </c>
      <c r="AH198" s="3">
        <v>6</v>
      </c>
      <c r="AI198" s="3">
        <v>1</v>
      </c>
      <c r="AJ198" s="3">
        <v>7</v>
      </c>
      <c r="AK198" s="3">
        <v>4</v>
      </c>
      <c r="AL198" s="3">
        <v>1</v>
      </c>
      <c r="AM198" s="3">
        <v>4</v>
      </c>
      <c r="AN198" s="3">
        <v>8</v>
      </c>
      <c r="AO198" s="3">
        <v>1</v>
      </c>
      <c r="AP198" s="3">
        <v>5</v>
      </c>
      <c r="AQ198" s="3">
        <v>4</v>
      </c>
      <c r="AR198" s="3">
        <v>3</v>
      </c>
      <c r="AS198" s="3">
        <v>9</v>
      </c>
      <c r="AT198" s="3">
        <v>9</v>
      </c>
      <c r="AU198" s="3">
        <v>9</v>
      </c>
      <c r="AV198" s="3">
        <v>9</v>
      </c>
      <c r="AW198" s="3">
        <v>9</v>
      </c>
      <c r="AX198" s="3">
        <v>4</v>
      </c>
      <c r="AY198" s="3">
        <v>4</v>
      </c>
      <c r="AZ198" s="3">
        <v>4</v>
      </c>
      <c r="BA198" s="3">
        <v>3</v>
      </c>
      <c r="BB198" s="3">
        <v>2</v>
      </c>
      <c r="BC198" s="3">
        <v>2</v>
      </c>
      <c r="BD198" s="3">
        <v>3</v>
      </c>
      <c r="BE198" s="3" t="s">
        <v>122</v>
      </c>
      <c r="BF198" s="3" t="s">
        <v>122</v>
      </c>
      <c r="BG198" s="3" t="s">
        <v>122</v>
      </c>
      <c r="BH198" s="3" t="s">
        <v>122</v>
      </c>
      <c r="BI198" s="3" t="s">
        <v>122</v>
      </c>
      <c r="BJ198" s="3" t="s">
        <v>122</v>
      </c>
      <c r="BK198" s="3" t="s">
        <v>122</v>
      </c>
      <c r="BL198" s="3" t="s">
        <v>122</v>
      </c>
      <c r="BM198" s="3" t="s">
        <v>122</v>
      </c>
      <c r="BN198" s="3">
        <v>1</v>
      </c>
      <c r="BO198" s="3" t="s">
        <v>122</v>
      </c>
      <c r="BP198" s="3" t="s">
        <v>122</v>
      </c>
      <c r="BQ198" s="3" t="s">
        <v>122</v>
      </c>
      <c r="BR198" s="3" t="s">
        <v>122</v>
      </c>
      <c r="BS198" s="3" t="s">
        <v>122</v>
      </c>
      <c r="BT198" s="3" t="s">
        <v>122</v>
      </c>
      <c r="BU198" s="3" t="s">
        <v>122</v>
      </c>
      <c r="BV198" s="3" t="s">
        <v>122</v>
      </c>
      <c r="BW198" s="3" t="s">
        <v>122</v>
      </c>
      <c r="BX198" s="3" t="s">
        <v>122</v>
      </c>
      <c r="BY198" s="3" t="s">
        <v>122</v>
      </c>
      <c r="BZ198" s="3" t="s">
        <v>122</v>
      </c>
      <c r="CA198" s="3" t="s">
        <v>122</v>
      </c>
      <c r="CB198" s="3" t="s">
        <v>122</v>
      </c>
      <c r="CC198" s="3" t="s">
        <v>122</v>
      </c>
      <c r="CD198" s="3" t="s">
        <v>122</v>
      </c>
      <c r="CE198" s="3" t="s">
        <v>122</v>
      </c>
      <c r="CF198" s="3">
        <v>2</v>
      </c>
      <c r="CG198" s="4" t="s">
        <v>122</v>
      </c>
      <c r="CH198" s="3">
        <v>3</v>
      </c>
      <c r="CI198" s="4" t="s">
        <v>122</v>
      </c>
      <c r="CJ198" s="4" t="s">
        <v>122</v>
      </c>
      <c r="CK198" s="4" t="s">
        <v>122</v>
      </c>
      <c r="CL198" s="4" t="s">
        <v>125</v>
      </c>
      <c r="CM198" s="4" t="s">
        <v>122</v>
      </c>
      <c r="CN198" s="4" t="s">
        <v>122</v>
      </c>
      <c r="CO198" s="4" t="s">
        <v>122</v>
      </c>
      <c r="CP198" s="4" t="s">
        <v>122</v>
      </c>
      <c r="CQ198" s="4" t="s">
        <v>122</v>
      </c>
      <c r="CR198" s="4" t="s">
        <v>122</v>
      </c>
      <c r="CS198" s="3">
        <v>3</v>
      </c>
      <c r="CT198" s="3">
        <v>2</v>
      </c>
      <c r="CU198" s="42">
        <v>1</v>
      </c>
      <c r="CV198" cm="1">
        <f t="array" ref="CV198">_xlfn.IFS(CU198*1=2,1,CU198*1=4,1,TRUE,0)</f>
        <v>0</v>
      </c>
      <c r="CW198" cm="1">
        <f t="array" ref="CW198">_xlfn.IFS(CU198*1=1,1,CU198*1=2,1,TRUE,0)</f>
        <v>1</v>
      </c>
      <c r="CX198" s="3">
        <f t="shared" si="27"/>
        <v>2</v>
      </c>
      <c r="CY198" s="3">
        <f t="shared" si="28"/>
        <v>2</v>
      </c>
      <c r="CZ198" s="3" cm="1">
        <f t="array" ref="CZ198">_xlfn.IFS(BP198&lt;&gt;"", BP198, CV198=1,  AQ198, CV198=0,  AZ198)</f>
        <v>4</v>
      </c>
      <c r="DA198" s="36" cm="1">
        <f t="array" ref="DA198">_xlfn.IFS(BO198&lt;&gt;"", BO198, CV198=0,  AQ198, CV198=1,  AZ198)</f>
        <v>4</v>
      </c>
      <c r="DB198" s="36">
        <f t="shared" si="29"/>
        <v>-4</v>
      </c>
      <c r="DC198" s="3">
        <f t="shared" si="30"/>
        <v>-4</v>
      </c>
      <c r="DD198" s="3">
        <f t="shared" si="31"/>
        <v>-2</v>
      </c>
      <c r="DE198" s="3">
        <f t="shared" si="32"/>
        <v>-4</v>
      </c>
      <c r="DF198" s="3">
        <f t="shared" si="33"/>
        <v>-2</v>
      </c>
      <c r="DG198" s="3">
        <f t="shared" si="34"/>
        <v>-4</v>
      </c>
    </row>
    <row r="199" spans="1:111" x14ac:dyDescent="0.4">
      <c r="A199" s="3">
        <v>202503</v>
      </c>
      <c r="B199" s="3">
        <v>222</v>
      </c>
      <c r="C199" s="5">
        <v>45735.656782407408</v>
      </c>
      <c r="D199" s="5">
        <v>45735.661643518521</v>
      </c>
      <c r="E199" s="3">
        <v>0</v>
      </c>
      <c r="F199" s="4" t="s">
        <v>515</v>
      </c>
      <c r="G199" s="3">
        <v>100</v>
      </c>
      <c r="H199" s="3">
        <v>420</v>
      </c>
      <c r="I199" s="3">
        <v>1</v>
      </c>
      <c r="J199" s="5">
        <v>45735.661657708333</v>
      </c>
      <c r="K199" s="4" t="s">
        <v>586</v>
      </c>
      <c r="L199" s="4" t="s">
        <v>122</v>
      </c>
      <c r="M199" s="4" t="s">
        <v>122</v>
      </c>
      <c r="N199" s="4" t="s">
        <v>122</v>
      </c>
      <c r="O199" s="4" t="s">
        <v>122</v>
      </c>
      <c r="P199" s="3">
        <v>32.250300000000003</v>
      </c>
      <c r="Q199" s="3">
        <v>-110.94499999999999</v>
      </c>
      <c r="R199" s="4" t="s">
        <v>129</v>
      </c>
      <c r="S199" s="4" t="s">
        <v>124</v>
      </c>
      <c r="T199" s="3">
        <v>4</v>
      </c>
      <c r="U199" s="3">
        <v>1</v>
      </c>
      <c r="V199" s="3">
        <v>4</v>
      </c>
      <c r="W199" s="3">
        <v>4</v>
      </c>
      <c r="X199" s="3">
        <v>1</v>
      </c>
      <c r="Y199" s="3">
        <v>3</v>
      </c>
      <c r="Z199" s="3">
        <v>2</v>
      </c>
      <c r="AA199" s="3">
        <v>3</v>
      </c>
      <c r="AB199" s="4" t="s">
        <v>122</v>
      </c>
      <c r="AC199" s="4" t="s">
        <v>122</v>
      </c>
      <c r="AD199" s="4" t="s">
        <v>122</v>
      </c>
      <c r="AE199" s="4" t="s">
        <v>122</v>
      </c>
      <c r="AF199" s="4" t="s">
        <v>122</v>
      </c>
      <c r="AG199" s="3">
        <v>2</v>
      </c>
      <c r="AH199" s="3">
        <v>4.5</v>
      </c>
      <c r="AI199" s="3">
        <v>3</v>
      </c>
      <c r="AJ199" s="3">
        <v>7</v>
      </c>
      <c r="AK199" s="3">
        <v>9</v>
      </c>
      <c r="AL199" s="3">
        <v>9</v>
      </c>
      <c r="AM199" s="3">
        <v>9</v>
      </c>
      <c r="AN199" s="3">
        <v>5</v>
      </c>
      <c r="AO199" s="3">
        <v>3</v>
      </c>
      <c r="AP199" s="3">
        <v>1</v>
      </c>
      <c r="AQ199" s="4">
        <v>2</v>
      </c>
      <c r="AR199" s="4">
        <v>3</v>
      </c>
      <c r="AS199" s="3">
        <v>8</v>
      </c>
      <c r="AT199" s="3">
        <v>9</v>
      </c>
      <c r="AU199" s="3">
        <v>7</v>
      </c>
      <c r="AV199" s="3">
        <v>8</v>
      </c>
      <c r="AW199" s="3">
        <v>5</v>
      </c>
      <c r="AX199" s="3">
        <v>3</v>
      </c>
      <c r="AY199" s="3">
        <v>2</v>
      </c>
      <c r="AZ199" s="4">
        <v>2</v>
      </c>
      <c r="BA199" s="4">
        <v>3</v>
      </c>
      <c r="BB199" s="3">
        <v>2</v>
      </c>
      <c r="BC199" s="3">
        <v>2</v>
      </c>
      <c r="BD199" s="3">
        <v>3</v>
      </c>
      <c r="BE199" s="3" t="s">
        <v>122</v>
      </c>
      <c r="BF199" s="3" t="s">
        <v>122</v>
      </c>
      <c r="BG199" s="3" t="s">
        <v>122</v>
      </c>
      <c r="BH199" s="3" t="s">
        <v>122</v>
      </c>
      <c r="BI199" s="3" t="s">
        <v>122</v>
      </c>
      <c r="BJ199" s="3" t="s">
        <v>122</v>
      </c>
      <c r="BK199" s="3" t="s">
        <v>122</v>
      </c>
      <c r="BL199" s="3" t="s">
        <v>122</v>
      </c>
      <c r="BM199" s="3" t="s">
        <v>122</v>
      </c>
      <c r="BN199" s="3">
        <v>1</v>
      </c>
      <c r="BO199" s="3" t="s">
        <v>122</v>
      </c>
      <c r="BP199" s="3" t="s">
        <v>122</v>
      </c>
      <c r="BQ199" s="3" t="s">
        <v>122</v>
      </c>
      <c r="BR199" s="3" t="s">
        <v>122</v>
      </c>
      <c r="BS199" s="3" t="s">
        <v>122</v>
      </c>
      <c r="BT199" s="3" t="s">
        <v>122</v>
      </c>
      <c r="BU199" s="3" t="s">
        <v>122</v>
      </c>
      <c r="BV199" s="3" t="s">
        <v>122</v>
      </c>
      <c r="BW199" s="3" t="s">
        <v>122</v>
      </c>
      <c r="BX199" s="3" t="s">
        <v>122</v>
      </c>
      <c r="BY199" s="3" t="s">
        <v>122</v>
      </c>
      <c r="BZ199" s="3" t="s">
        <v>122</v>
      </c>
      <c r="CA199" s="3" t="s">
        <v>122</v>
      </c>
      <c r="CB199" s="3" t="s">
        <v>122</v>
      </c>
      <c r="CC199" s="3" t="s">
        <v>122</v>
      </c>
      <c r="CD199" s="3" t="s">
        <v>122</v>
      </c>
      <c r="CE199" s="3" t="s">
        <v>122</v>
      </c>
      <c r="CF199" s="3">
        <v>1</v>
      </c>
      <c r="CG199" s="4" t="s">
        <v>122</v>
      </c>
      <c r="CH199" s="3">
        <v>2</v>
      </c>
      <c r="CI199" s="4" t="s">
        <v>122</v>
      </c>
      <c r="CJ199" s="4" t="s">
        <v>122</v>
      </c>
      <c r="CK199" s="4" t="s">
        <v>122</v>
      </c>
      <c r="CL199" s="4" t="s">
        <v>122</v>
      </c>
      <c r="CM199" s="4" t="s">
        <v>122</v>
      </c>
      <c r="CN199" s="4" t="s">
        <v>122</v>
      </c>
      <c r="CO199" s="4" t="s">
        <v>125</v>
      </c>
      <c r="CP199" s="4" t="s">
        <v>122</v>
      </c>
      <c r="CQ199" s="4" t="s">
        <v>122</v>
      </c>
      <c r="CR199" s="4" t="s">
        <v>122</v>
      </c>
      <c r="CS199" s="3">
        <v>3</v>
      </c>
      <c r="CT199" s="3">
        <v>1</v>
      </c>
      <c r="CU199" s="42">
        <v>1</v>
      </c>
      <c r="CV199" cm="1">
        <f t="array" ref="CV199">_xlfn.IFS(CU199*1=2,1,CU199*1=4,1,TRUE,0)</f>
        <v>0</v>
      </c>
      <c r="CW199" cm="1">
        <f t="array" ref="CW199">_xlfn.IFS(CU199*1=1,1,CU199*1=2,1,TRUE,0)</f>
        <v>1</v>
      </c>
      <c r="CX199" s="3">
        <f t="shared" si="27"/>
        <v>2</v>
      </c>
      <c r="CY199" s="3">
        <f t="shared" si="28"/>
        <v>2</v>
      </c>
      <c r="CZ199" s="3" cm="1">
        <f t="array" ref="CZ199">_xlfn.IFS(BP199&lt;&gt;"", BP199, CV199=1,  AQ199, CV199=0,  AZ199)</f>
        <v>2</v>
      </c>
      <c r="DA199" s="36" cm="1">
        <f t="array" ref="DA199">_xlfn.IFS(BO199&lt;&gt;"", BO199, CV199=0,  AQ199, CV199=1,  AZ199)</f>
        <v>2</v>
      </c>
      <c r="DB199" s="36">
        <f t="shared" si="29"/>
        <v>-2.5</v>
      </c>
      <c r="DC199" s="3">
        <f t="shared" si="30"/>
        <v>-2.5</v>
      </c>
      <c r="DD199" s="3">
        <f t="shared" si="31"/>
        <v>-2.5</v>
      </c>
      <c r="DE199" s="3">
        <f t="shared" si="32"/>
        <v>-2.5</v>
      </c>
      <c r="DF199" s="3">
        <f t="shared" si="33"/>
        <v>-2.5</v>
      </c>
      <c r="DG199" s="3">
        <f t="shared" si="34"/>
        <v>-2.5</v>
      </c>
    </row>
    <row r="200" spans="1:111" x14ac:dyDescent="0.4">
      <c r="A200" s="3">
        <v>202503</v>
      </c>
      <c r="B200" s="3">
        <v>222</v>
      </c>
      <c r="C200" s="5">
        <v>45735.656875000001</v>
      </c>
      <c r="D200" s="5">
        <v>45735.662824074076</v>
      </c>
      <c r="E200" s="3">
        <v>0</v>
      </c>
      <c r="F200" s="4" t="s">
        <v>591</v>
      </c>
      <c r="G200" s="3">
        <v>100</v>
      </c>
      <c r="H200" s="3">
        <v>513</v>
      </c>
      <c r="I200" s="3">
        <v>1</v>
      </c>
      <c r="J200" s="5">
        <v>45735.662832141206</v>
      </c>
      <c r="K200" s="4" t="s">
        <v>592</v>
      </c>
      <c r="L200" s="4" t="s">
        <v>122</v>
      </c>
      <c r="M200" s="4" t="s">
        <v>122</v>
      </c>
      <c r="N200" s="4" t="s">
        <v>122</v>
      </c>
      <c r="O200" s="4" t="s">
        <v>122</v>
      </c>
      <c r="P200" s="3">
        <v>32.145299999999999</v>
      </c>
      <c r="Q200" s="3">
        <v>-110.9456</v>
      </c>
      <c r="R200" s="4" t="s">
        <v>129</v>
      </c>
      <c r="S200" s="4" t="s">
        <v>124</v>
      </c>
      <c r="T200" s="3">
        <v>4</v>
      </c>
      <c r="U200" s="3">
        <v>0</v>
      </c>
      <c r="V200" s="3">
        <v>1</v>
      </c>
      <c r="W200" s="3">
        <v>1</v>
      </c>
      <c r="X200" s="3">
        <v>1</v>
      </c>
      <c r="Y200" s="3">
        <v>3</v>
      </c>
      <c r="Z200" s="3">
        <v>3</v>
      </c>
      <c r="AA200" s="3">
        <v>1</v>
      </c>
      <c r="AB200" s="4" t="s">
        <v>122</v>
      </c>
      <c r="AC200" s="4" t="s">
        <v>122</v>
      </c>
      <c r="AD200" s="4" t="s">
        <v>122</v>
      </c>
      <c r="AE200" s="4" t="s">
        <v>122</v>
      </c>
      <c r="AF200" s="4" t="s">
        <v>122</v>
      </c>
      <c r="AG200" s="3">
        <v>4</v>
      </c>
      <c r="AH200" s="3">
        <v>2</v>
      </c>
      <c r="AI200" s="3">
        <v>2</v>
      </c>
      <c r="AJ200" s="3">
        <v>3</v>
      </c>
      <c r="AK200" s="3">
        <v>4</v>
      </c>
      <c r="AL200" s="3">
        <v>4</v>
      </c>
      <c r="AM200" s="3">
        <v>6</v>
      </c>
      <c r="AN200" s="3">
        <v>5</v>
      </c>
      <c r="AO200" s="3">
        <v>2</v>
      </c>
      <c r="AP200" s="3">
        <v>2</v>
      </c>
      <c r="AQ200" s="3" t="s">
        <v>122</v>
      </c>
      <c r="AR200" s="3" t="s">
        <v>122</v>
      </c>
      <c r="AS200" s="3">
        <v>7</v>
      </c>
      <c r="AT200" s="3">
        <v>4</v>
      </c>
      <c r="AU200" s="3">
        <v>5</v>
      </c>
      <c r="AV200" s="3">
        <v>7</v>
      </c>
      <c r="AW200" s="3">
        <v>6</v>
      </c>
      <c r="AX200" s="3">
        <v>1</v>
      </c>
      <c r="AY200" s="3">
        <v>3</v>
      </c>
      <c r="AZ200" s="3" t="s">
        <v>122</v>
      </c>
      <c r="BA200" s="4" t="s">
        <v>122</v>
      </c>
      <c r="BB200" s="3" t="s">
        <v>122</v>
      </c>
      <c r="BC200" s="3" t="s">
        <v>122</v>
      </c>
      <c r="BD200" s="3" t="s">
        <v>122</v>
      </c>
      <c r="BE200" s="3" t="s">
        <v>122</v>
      </c>
      <c r="BF200" s="3" t="s">
        <v>122</v>
      </c>
      <c r="BG200" s="3" t="s">
        <v>122</v>
      </c>
      <c r="BH200" s="3" t="s">
        <v>122</v>
      </c>
      <c r="BI200" s="3" t="s">
        <v>122</v>
      </c>
      <c r="BJ200" s="3" t="s">
        <v>122</v>
      </c>
      <c r="BK200" s="3" t="s">
        <v>122</v>
      </c>
      <c r="BL200" s="3" t="s">
        <v>122</v>
      </c>
      <c r="BM200" s="3" t="s">
        <v>122</v>
      </c>
      <c r="BN200" s="3" t="s">
        <v>122</v>
      </c>
      <c r="BO200" s="3">
        <v>5.5</v>
      </c>
      <c r="BP200" s="3">
        <v>5</v>
      </c>
      <c r="BQ200" s="3">
        <v>2</v>
      </c>
      <c r="BR200" s="3" t="s">
        <v>122</v>
      </c>
      <c r="BS200" s="3" t="s">
        <v>122</v>
      </c>
      <c r="BT200" s="3" t="s">
        <v>122</v>
      </c>
      <c r="BU200" s="3" t="s">
        <v>122</v>
      </c>
      <c r="BV200" s="3" t="s">
        <v>122</v>
      </c>
      <c r="BW200" s="3" t="s">
        <v>122</v>
      </c>
      <c r="BX200" s="3" t="s">
        <v>122</v>
      </c>
      <c r="BY200" s="3" t="s">
        <v>122</v>
      </c>
      <c r="BZ200" s="3" t="s">
        <v>122</v>
      </c>
      <c r="CA200" s="3">
        <v>4</v>
      </c>
      <c r="CB200" s="3">
        <v>4</v>
      </c>
      <c r="CC200" s="3">
        <v>2</v>
      </c>
      <c r="CD200" s="3">
        <v>2</v>
      </c>
      <c r="CE200" s="3">
        <v>3</v>
      </c>
      <c r="CF200" s="3">
        <v>1</v>
      </c>
      <c r="CG200" s="4" t="s">
        <v>122</v>
      </c>
      <c r="CH200" s="3">
        <v>2</v>
      </c>
      <c r="CI200" s="4" t="s">
        <v>122</v>
      </c>
      <c r="CJ200" s="4" t="s">
        <v>122</v>
      </c>
      <c r="CK200" s="4" t="s">
        <v>125</v>
      </c>
      <c r="CL200" s="4" t="s">
        <v>122</v>
      </c>
      <c r="CM200" s="4" t="s">
        <v>122</v>
      </c>
      <c r="CN200" s="4" t="s">
        <v>122</v>
      </c>
      <c r="CO200" s="4" t="s">
        <v>122</v>
      </c>
      <c r="CP200" s="4" t="s">
        <v>122</v>
      </c>
      <c r="CQ200" s="4" t="s">
        <v>122</v>
      </c>
      <c r="CR200" s="4" t="s">
        <v>122</v>
      </c>
      <c r="CS200" s="3">
        <v>4</v>
      </c>
      <c r="CT200" s="3">
        <v>4</v>
      </c>
      <c r="CU200" s="42">
        <v>4</v>
      </c>
      <c r="CV200" cm="1">
        <f t="array" ref="CV200">_xlfn.IFS(CU200*1=2,1,CU200*1=4,1,TRUE,0)</f>
        <v>1</v>
      </c>
      <c r="CW200" cm="1">
        <f t="array" ref="CW200">_xlfn.IFS(CU200*1=1,1,CU200*1=2,1,TRUE,0)</f>
        <v>0</v>
      </c>
      <c r="CX200" s="3">
        <f t="shared" si="27"/>
        <v>4</v>
      </c>
      <c r="CY200" s="3">
        <f t="shared" si="28"/>
        <v>2</v>
      </c>
      <c r="CZ200" s="3" cm="1">
        <f t="array" ref="CZ200">_xlfn.IFS(BP200&lt;&gt;"", BP200, CV200=1,  AQ200, CV200=0,  AZ200)</f>
        <v>5</v>
      </c>
      <c r="DA200" s="36" cm="1">
        <f t="array" ref="DA200">_xlfn.IFS(BO200&lt;&gt;"", BO200, CV200=0,  AQ200, CV200=1,  AZ200)</f>
        <v>5.5</v>
      </c>
      <c r="DB200" s="36">
        <f t="shared" si="29"/>
        <v>0</v>
      </c>
      <c r="DC200" s="3">
        <f t="shared" si="30"/>
        <v>2</v>
      </c>
      <c r="DD200" s="3">
        <f t="shared" si="31"/>
        <v>0</v>
      </c>
      <c r="DE200" s="3">
        <f t="shared" si="32"/>
        <v>3</v>
      </c>
      <c r="DF200" s="3">
        <f t="shared" si="33"/>
        <v>2</v>
      </c>
      <c r="DG200" s="3">
        <f t="shared" si="34"/>
        <v>3.5</v>
      </c>
    </row>
    <row r="201" spans="1:111" x14ac:dyDescent="0.4">
      <c r="A201" s="3">
        <v>202503</v>
      </c>
      <c r="B201" s="3">
        <v>222</v>
      </c>
      <c r="C201" s="5">
        <v>45735.656886574077</v>
      </c>
      <c r="D201" s="5">
        <v>45735.66642361111</v>
      </c>
      <c r="E201" s="3">
        <v>0</v>
      </c>
      <c r="F201" s="4" t="s">
        <v>425</v>
      </c>
      <c r="G201" s="3">
        <v>100</v>
      </c>
      <c r="H201" s="3">
        <v>824</v>
      </c>
      <c r="I201" s="3">
        <v>1</v>
      </c>
      <c r="J201" s="5">
        <v>45735.666430405094</v>
      </c>
      <c r="K201" s="4" t="s">
        <v>593</v>
      </c>
      <c r="L201" s="4" t="s">
        <v>122</v>
      </c>
      <c r="M201" s="4" t="s">
        <v>122</v>
      </c>
      <c r="N201" s="4" t="s">
        <v>122</v>
      </c>
      <c r="O201" s="4" t="s">
        <v>122</v>
      </c>
      <c r="P201" s="3">
        <v>32.250300000000003</v>
      </c>
      <c r="Q201" s="3">
        <v>-110.94499999999999</v>
      </c>
      <c r="R201" s="4" t="s">
        <v>129</v>
      </c>
      <c r="S201" s="4" t="s">
        <v>124</v>
      </c>
      <c r="T201" s="3">
        <v>4</v>
      </c>
      <c r="U201" s="3">
        <v>0</v>
      </c>
      <c r="V201" s="3">
        <v>1</v>
      </c>
      <c r="W201" s="3">
        <v>1</v>
      </c>
      <c r="X201" s="3">
        <v>-999</v>
      </c>
      <c r="Y201" s="3">
        <v>5</v>
      </c>
      <c r="Z201" s="3">
        <v>3</v>
      </c>
      <c r="AA201" s="3">
        <v>1</v>
      </c>
      <c r="AB201" s="4" t="s">
        <v>122</v>
      </c>
      <c r="AC201" s="4" t="s">
        <v>122</v>
      </c>
      <c r="AD201" s="4" t="s">
        <v>125</v>
      </c>
      <c r="AE201" s="4" t="s">
        <v>122</v>
      </c>
      <c r="AF201" s="4" t="s">
        <v>122</v>
      </c>
      <c r="AG201" s="3">
        <v>4</v>
      </c>
      <c r="AH201" s="3">
        <v>6</v>
      </c>
      <c r="AI201" s="4">
        <v>2</v>
      </c>
      <c r="AJ201" s="3">
        <v>5</v>
      </c>
      <c r="AK201" s="3">
        <v>9</v>
      </c>
      <c r="AL201" s="3">
        <v>7</v>
      </c>
      <c r="AM201" s="3">
        <v>5</v>
      </c>
      <c r="AN201" s="3">
        <v>6</v>
      </c>
      <c r="AO201" s="3">
        <v>3</v>
      </c>
      <c r="AP201" s="3">
        <v>2</v>
      </c>
      <c r="AQ201" s="3">
        <v>4</v>
      </c>
      <c r="AR201" s="4">
        <v>2</v>
      </c>
      <c r="AS201" s="3">
        <v>2</v>
      </c>
      <c r="AT201" s="3">
        <v>8</v>
      </c>
      <c r="AU201" s="3">
        <v>4</v>
      </c>
      <c r="AV201" s="3">
        <v>2</v>
      </c>
      <c r="AW201" s="3">
        <v>6</v>
      </c>
      <c r="AX201" s="3">
        <v>2</v>
      </c>
      <c r="AY201" s="3">
        <v>4</v>
      </c>
      <c r="AZ201" s="3">
        <v>0</v>
      </c>
      <c r="BA201" s="4" t="s">
        <v>122</v>
      </c>
      <c r="BB201" s="3">
        <v>0</v>
      </c>
      <c r="BC201" s="3">
        <v>0</v>
      </c>
      <c r="BD201" s="3">
        <v>3</v>
      </c>
      <c r="BE201" s="3" t="s">
        <v>122</v>
      </c>
      <c r="BF201" s="3" t="s">
        <v>122</v>
      </c>
      <c r="BG201" s="3" t="s">
        <v>122</v>
      </c>
      <c r="BH201" s="3" t="s">
        <v>122</v>
      </c>
      <c r="BI201" s="3" t="s">
        <v>122</v>
      </c>
      <c r="BJ201" s="3" t="s">
        <v>122</v>
      </c>
      <c r="BK201" s="3" t="s">
        <v>122</v>
      </c>
      <c r="BL201" s="3" t="s">
        <v>122</v>
      </c>
      <c r="BM201" s="3" t="s">
        <v>122</v>
      </c>
      <c r="BN201" s="3">
        <v>4</v>
      </c>
      <c r="BO201" s="3" t="s">
        <v>122</v>
      </c>
      <c r="BP201" s="3" t="s">
        <v>122</v>
      </c>
      <c r="BQ201" s="3" t="s">
        <v>122</v>
      </c>
      <c r="BR201" s="3" t="s">
        <v>122</v>
      </c>
      <c r="BS201" s="3" t="s">
        <v>122</v>
      </c>
      <c r="BT201" s="3" t="s">
        <v>122</v>
      </c>
      <c r="BU201" s="3" t="s">
        <v>122</v>
      </c>
      <c r="BV201" s="3" t="s">
        <v>122</v>
      </c>
      <c r="BW201" s="3" t="s">
        <v>122</v>
      </c>
      <c r="BX201" s="3" t="s">
        <v>122</v>
      </c>
      <c r="BY201" s="3" t="s">
        <v>122</v>
      </c>
      <c r="BZ201" s="3" t="s">
        <v>122</v>
      </c>
      <c r="CA201" s="3" t="s">
        <v>122</v>
      </c>
      <c r="CB201" s="3" t="s">
        <v>122</v>
      </c>
      <c r="CC201" s="3" t="s">
        <v>122</v>
      </c>
      <c r="CD201" s="3" t="s">
        <v>122</v>
      </c>
      <c r="CE201" s="3" t="s">
        <v>122</v>
      </c>
      <c r="CF201" s="3">
        <v>1</v>
      </c>
      <c r="CG201" s="4" t="s">
        <v>122</v>
      </c>
      <c r="CH201" s="3">
        <v>2</v>
      </c>
      <c r="CI201" s="4" t="s">
        <v>122</v>
      </c>
      <c r="CJ201" s="4" t="s">
        <v>122</v>
      </c>
      <c r="CK201" s="4" t="s">
        <v>122</v>
      </c>
      <c r="CL201" s="4" t="s">
        <v>122</v>
      </c>
      <c r="CM201" s="4" t="s">
        <v>122</v>
      </c>
      <c r="CN201" s="4" t="s">
        <v>122</v>
      </c>
      <c r="CO201" s="4" t="s">
        <v>125</v>
      </c>
      <c r="CP201" s="4" t="s">
        <v>122</v>
      </c>
      <c r="CQ201" s="4" t="s">
        <v>122</v>
      </c>
      <c r="CR201" s="4" t="s">
        <v>122</v>
      </c>
      <c r="CS201" s="3">
        <v>2</v>
      </c>
      <c r="CT201" s="3">
        <v>-999</v>
      </c>
      <c r="CU201" s="42">
        <v>2</v>
      </c>
      <c r="CV201" cm="1">
        <f t="array" ref="CV201">_xlfn.IFS(CU201*1=2,1,CU201*1=4,1,TRUE,0)</f>
        <v>1</v>
      </c>
      <c r="CW201" cm="1">
        <f t="array" ref="CW201">_xlfn.IFS(CU201*1=1,1,CU201*1=2,1,TRUE,0)</f>
        <v>1</v>
      </c>
      <c r="CX201" s="3">
        <f t="shared" si="27"/>
        <v>0</v>
      </c>
      <c r="CY201" s="3">
        <f t="shared" si="28"/>
        <v>0</v>
      </c>
      <c r="CZ201" s="3" cm="1">
        <f t="array" ref="CZ201">_xlfn.IFS(BP201&lt;&gt;"", BP201, CV201=1,  AQ201, CV201=0,  AZ201)</f>
        <v>4</v>
      </c>
      <c r="DA201" s="36" cm="1">
        <f t="array" ref="DA201">_xlfn.IFS(BO201&lt;&gt;"", BO201, CV201=0,  AQ201, CV201=1,  AZ201)</f>
        <v>0</v>
      </c>
      <c r="DB201" s="36">
        <f t="shared" si="29"/>
        <v>-6</v>
      </c>
      <c r="DC201" s="3">
        <f t="shared" si="30"/>
        <v>-6</v>
      </c>
      <c r="DD201" s="3">
        <f t="shared" si="31"/>
        <v>-2</v>
      </c>
      <c r="DE201" s="3">
        <f t="shared" si="32"/>
        <v>-6</v>
      </c>
      <c r="DF201" s="3">
        <f t="shared" si="33"/>
        <v>-6</v>
      </c>
      <c r="DG201" s="3">
        <f t="shared" si="34"/>
        <v>-6</v>
      </c>
    </row>
    <row r="202" spans="1:111" x14ac:dyDescent="0.4">
      <c r="A202" s="3">
        <v>202503</v>
      </c>
      <c r="B202" s="3">
        <v>222</v>
      </c>
      <c r="C202" s="5">
        <v>45735.658506944441</v>
      </c>
      <c r="D202" s="5">
        <v>45735.662418981483</v>
      </c>
      <c r="E202" s="3">
        <v>0</v>
      </c>
      <c r="F202" s="4" t="s">
        <v>589</v>
      </c>
      <c r="G202" s="3">
        <v>100</v>
      </c>
      <c r="H202" s="3">
        <v>338</v>
      </c>
      <c r="I202" s="3">
        <v>1</v>
      </c>
      <c r="J202" s="5">
        <v>45735.66243365741</v>
      </c>
      <c r="K202" s="4" t="s">
        <v>590</v>
      </c>
      <c r="L202" s="4" t="s">
        <v>122</v>
      </c>
      <c r="M202" s="4" t="s">
        <v>122</v>
      </c>
      <c r="N202" s="4" t="s">
        <v>122</v>
      </c>
      <c r="O202" s="4" t="s">
        <v>122</v>
      </c>
      <c r="P202" s="3">
        <v>32.2699</v>
      </c>
      <c r="Q202" s="3">
        <v>-110.9853</v>
      </c>
      <c r="R202" s="4" t="s">
        <v>129</v>
      </c>
      <c r="S202" s="4" t="s">
        <v>124</v>
      </c>
      <c r="T202" s="3">
        <v>4</v>
      </c>
      <c r="U202" s="3">
        <v>1</v>
      </c>
      <c r="V202" s="3">
        <v>1</v>
      </c>
      <c r="W202" s="3">
        <v>2</v>
      </c>
      <c r="X202" s="3">
        <v>1</v>
      </c>
      <c r="Y202" s="3">
        <v>1</v>
      </c>
      <c r="Z202" s="3">
        <v>1</v>
      </c>
      <c r="AA202" s="3">
        <v>1</v>
      </c>
      <c r="AB202" s="4" t="s">
        <v>122</v>
      </c>
      <c r="AC202" s="4" t="s">
        <v>122</v>
      </c>
      <c r="AD202" s="4" t="s">
        <v>122</v>
      </c>
      <c r="AE202" s="4" t="s">
        <v>122</v>
      </c>
      <c r="AF202" s="4" t="s">
        <v>122</v>
      </c>
      <c r="AG202" s="3">
        <v>3</v>
      </c>
      <c r="AH202" s="3">
        <v>0</v>
      </c>
      <c r="AI202" s="3" t="s">
        <v>122</v>
      </c>
      <c r="AJ202" s="3">
        <v>2</v>
      </c>
      <c r="AK202" s="3">
        <v>5</v>
      </c>
      <c r="AL202" s="3">
        <v>5</v>
      </c>
      <c r="AM202" s="3">
        <v>2</v>
      </c>
      <c r="AN202" s="3">
        <v>4</v>
      </c>
      <c r="AO202" s="3">
        <v>4</v>
      </c>
      <c r="AP202" s="3">
        <v>1</v>
      </c>
      <c r="AQ202" s="4">
        <v>0</v>
      </c>
      <c r="AR202" s="4" t="s">
        <v>122</v>
      </c>
      <c r="AS202" s="3">
        <v>3</v>
      </c>
      <c r="AT202" s="3">
        <v>5</v>
      </c>
      <c r="AU202" s="3">
        <v>6</v>
      </c>
      <c r="AV202" s="3">
        <v>3</v>
      </c>
      <c r="AW202" s="3">
        <v>4</v>
      </c>
      <c r="AX202" s="3">
        <v>3</v>
      </c>
      <c r="AY202" s="3">
        <v>2</v>
      </c>
      <c r="AZ202" s="4">
        <v>0</v>
      </c>
      <c r="BA202" s="4" t="s">
        <v>122</v>
      </c>
      <c r="BB202" s="3">
        <v>0</v>
      </c>
      <c r="BC202" s="3">
        <v>0</v>
      </c>
      <c r="BD202" s="3">
        <v>3</v>
      </c>
      <c r="BE202" s="3" t="s">
        <v>122</v>
      </c>
      <c r="BF202" s="3" t="s">
        <v>122</v>
      </c>
      <c r="BG202" s="3" t="s">
        <v>122</v>
      </c>
      <c r="BH202" s="3" t="s">
        <v>122</v>
      </c>
      <c r="BI202" s="3" t="s">
        <v>122</v>
      </c>
      <c r="BJ202" s="3" t="s">
        <v>122</v>
      </c>
      <c r="BK202" s="3" t="s">
        <v>122</v>
      </c>
      <c r="BL202" s="3" t="s">
        <v>122</v>
      </c>
      <c r="BM202" s="3" t="s">
        <v>122</v>
      </c>
      <c r="BN202" s="3" t="s">
        <v>122</v>
      </c>
      <c r="BO202" s="3" t="s">
        <v>122</v>
      </c>
      <c r="BP202" s="3" t="s">
        <v>122</v>
      </c>
      <c r="BQ202" s="3" t="s">
        <v>122</v>
      </c>
      <c r="BR202" s="3" t="s">
        <v>122</v>
      </c>
      <c r="BS202" s="3" t="s">
        <v>122</v>
      </c>
      <c r="BT202" s="3" t="s">
        <v>122</v>
      </c>
      <c r="BU202" s="3" t="s">
        <v>122</v>
      </c>
      <c r="BV202" s="3" t="s">
        <v>122</v>
      </c>
      <c r="BW202" s="3" t="s">
        <v>122</v>
      </c>
      <c r="BX202" s="3" t="s">
        <v>122</v>
      </c>
      <c r="BY202" s="3" t="s">
        <v>122</v>
      </c>
      <c r="BZ202" s="3" t="s">
        <v>122</v>
      </c>
      <c r="CA202" s="3" t="s">
        <v>122</v>
      </c>
      <c r="CB202" s="3" t="s">
        <v>122</v>
      </c>
      <c r="CC202" s="3" t="s">
        <v>122</v>
      </c>
      <c r="CD202" s="3" t="s">
        <v>122</v>
      </c>
      <c r="CE202" s="3" t="s">
        <v>122</v>
      </c>
      <c r="CF202" s="3">
        <v>1</v>
      </c>
      <c r="CG202" s="4" t="s">
        <v>122</v>
      </c>
      <c r="CH202" s="3">
        <v>2</v>
      </c>
      <c r="CI202" s="4" t="s">
        <v>122</v>
      </c>
      <c r="CJ202" s="4" t="s">
        <v>122</v>
      </c>
      <c r="CK202" s="4" t="s">
        <v>125</v>
      </c>
      <c r="CL202" s="4" t="s">
        <v>122</v>
      </c>
      <c r="CM202" s="4" t="s">
        <v>122</v>
      </c>
      <c r="CN202" s="4" t="s">
        <v>122</v>
      </c>
      <c r="CO202" s="4" t="s">
        <v>125</v>
      </c>
      <c r="CP202" s="4" t="s">
        <v>122</v>
      </c>
      <c r="CQ202" s="4" t="s">
        <v>122</v>
      </c>
      <c r="CR202" s="4" t="s">
        <v>122</v>
      </c>
      <c r="CS202" s="3">
        <v>4</v>
      </c>
      <c r="CT202" s="3">
        <v>6</v>
      </c>
      <c r="CU202" s="42">
        <v>1</v>
      </c>
      <c r="CV202" cm="1">
        <f t="array" ref="CV202">_xlfn.IFS(CU202*1=2,1,CU202*1=4,1,TRUE,0)</f>
        <v>0</v>
      </c>
      <c r="CW202" cm="1">
        <f t="array" ref="CW202">_xlfn.IFS(CU202*1=1,1,CU202*1=2,1,TRUE,0)</f>
        <v>1</v>
      </c>
      <c r="CX202" s="3">
        <f t="shared" si="27"/>
        <v>0</v>
      </c>
      <c r="CY202" s="3">
        <f t="shared" si="28"/>
        <v>0</v>
      </c>
      <c r="CZ202" s="3" cm="1">
        <f t="array" ref="CZ202">_xlfn.IFS(BP202&lt;&gt;"", BP202, CV202=1,  AQ202, CV202=0,  AZ202)</f>
        <v>0</v>
      </c>
      <c r="DA202" s="36" cm="1">
        <f t="array" ref="DA202">_xlfn.IFS(BO202&lt;&gt;"", BO202, CV202=0,  AQ202, CV202=1,  AZ202)</f>
        <v>0</v>
      </c>
      <c r="DB202" s="36">
        <f t="shared" si="29"/>
        <v>0</v>
      </c>
      <c r="DC202" s="3">
        <f t="shared" si="30"/>
        <v>0</v>
      </c>
      <c r="DD202" s="3">
        <f t="shared" si="31"/>
        <v>0</v>
      </c>
      <c r="DE202" s="3">
        <f t="shared" si="32"/>
        <v>0</v>
      </c>
      <c r="DF202" s="3">
        <f t="shared" si="33"/>
        <v>0</v>
      </c>
      <c r="DG202" s="3">
        <f t="shared" si="34"/>
        <v>0</v>
      </c>
    </row>
    <row r="203" spans="1:111" x14ac:dyDescent="0.4">
      <c r="A203" s="3">
        <v>202503</v>
      </c>
      <c r="B203" s="3">
        <v>222</v>
      </c>
      <c r="C203" s="5">
        <v>45735.662210648145</v>
      </c>
      <c r="D203" s="5">
        <v>45735.67082175926</v>
      </c>
      <c r="E203" s="3">
        <v>0</v>
      </c>
      <c r="F203" s="4" t="s">
        <v>596</v>
      </c>
      <c r="G203" s="3">
        <v>100</v>
      </c>
      <c r="H203" s="3">
        <v>743</v>
      </c>
      <c r="I203" s="3">
        <v>1</v>
      </c>
      <c r="J203" s="5">
        <v>45735.67082994213</v>
      </c>
      <c r="K203" s="4" t="s">
        <v>597</v>
      </c>
      <c r="L203" s="4" t="s">
        <v>122</v>
      </c>
      <c r="M203" s="4" t="s">
        <v>122</v>
      </c>
      <c r="N203" s="4" t="s">
        <v>122</v>
      </c>
      <c r="O203" s="4" t="s">
        <v>122</v>
      </c>
      <c r="P203" s="3">
        <v>33.453200000000002</v>
      </c>
      <c r="Q203" s="3">
        <v>-112.0748</v>
      </c>
      <c r="R203" s="4" t="s">
        <v>129</v>
      </c>
      <c r="S203" s="4" t="s">
        <v>124</v>
      </c>
      <c r="T203" s="3">
        <v>4</v>
      </c>
      <c r="U203" s="3">
        <v>1</v>
      </c>
      <c r="V203" s="3">
        <v>1</v>
      </c>
      <c r="W203" s="3">
        <v>2</v>
      </c>
      <c r="X203" s="3">
        <v>1</v>
      </c>
      <c r="Y203" s="3">
        <v>1</v>
      </c>
      <c r="Z203" s="3">
        <v>2</v>
      </c>
      <c r="AA203" s="3">
        <v>1</v>
      </c>
      <c r="AB203" s="4" t="s">
        <v>122</v>
      </c>
      <c r="AC203" s="4" t="s">
        <v>122</v>
      </c>
      <c r="AD203" s="4" t="s">
        <v>122</v>
      </c>
      <c r="AE203" s="4" t="s">
        <v>122</v>
      </c>
      <c r="AF203" s="4" t="s">
        <v>122</v>
      </c>
      <c r="AG203" s="3">
        <v>2</v>
      </c>
      <c r="AH203" s="3">
        <v>5</v>
      </c>
      <c r="AI203" s="3">
        <v>3</v>
      </c>
      <c r="AJ203" s="3">
        <v>7</v>
      </c>
      <c r="AK203" s="3">
        <v>8</v>
      </c>
      <c r="AL203" s="3">
        <v>8</v>
      </c>
      <c r="AM203" s="3">
        <v>7</v>
      </c>
      <c r="AN203" s="3">
        <v>8</v>
      </c>
      <c r="AO203" s="3">
        <v>2</v>
      </c>
      <c r="AP203" s="3">
        <v>3</v>
      </c>
      <c r="AQ203" s="4" t="s">
        <v>122</v>
      </c>
      <c r="AR203" s="4" t="s">
        <v>122</v>
      </c>
      <c r="AS203" s="3">
        <v>2</v>
      </c>
      <c r="AT203" s="3">
        <v>5</v>
      </c>
      <c r="AU203" s="3">
        <v>3</v>
      </c>
      <c r="AV203" s="3">
        <v>3</v>
      </c>
      <c r="AW203" s="3">
        <v>4</v>
      </c>
      <c r="AX203" s="3">
        <v>4</v>
      </c>
      <c r="AY203" s="3">
        <v>1</v>
      </c>
      <c r="AZ203" s="4" t="s">
        <v>122</v>
      </c>
      <c r="BA203" s="4" t="s">
        <v>122</v>
      </c>
      <c r="BB203" s="3" t="s">
        <v>122</v>
      </c>
      <c r="BC203" s="3" t="s">
        <v>122</v>
      </c>
      <c r="BD203" s="3" t="s">
        <v>122</v>
      </c>
      <c r="BE203" s="3" t="s">
        <v>122</v>
      </c>
      <c r="BF203" s="3" t="s">
        <v>122</v>
      </c>
      <c r="BG203" s="3" t="s">
        <v>122</v>
      </c>
      <c r="BH203" s="3" t="s">
        <v>122</v>
      </c>
      <c r="BI203" s="3" t="s">
        <v>122</v>
      </c>
      <c r="BJ203" s="3" t="s">
        <v>122</v>
      </c>
      <c r="BK203" s="3" t="s">
        <v>122</v>
      </c>
      <c r="BL203" s="3" t="s">
        <v>122</v>
      </c>
      <c r="BM203" s="3" t="s">
        <v>122</v>
      </c>
      <c r="BN203" s="3" t="s">
        <v>122</v>
      </c>
      <c r="BO203" s="3">
        <v>5</v>
      </c>
      <c r="BP203" s="3">
        <v>5</v>
      </c>
      <c r="BQ203" s="3">
        <v>3</v>
      </c>
      <c r="BR203" s="3" t="s">
        <v>122</v>
      </c>
      <c r="BS203" s="3" t="s">
        <v>122</v>
      </c>
      <c r="BT203" s="3" t="s">
        <v>122</v>
      </c>
      <c r="BU203" s="3" t="s">
        <v>122</v>
      </c>
      <c r="BV203" s="3" t="s">
        <v>122</v>
      </c>
      <c r="BW203" s="3" t="s">
        <v>122</v>
      </c>
      <c r="BX203" s="3" t="s">
        <v>122</v>
      </c>
      <c r="BY203" s="3" t="s">
        <v>122</v>
      </c>
      <c r="BZ203" s="3" t="s">
        <v>122</v>
      </c>
      <c r="CA203" s="3">
        <v>1</v>
      </c>
      <c r="CB203" s="3">
        <v>5</v>
      </c>
      <c r="CC203" s="3">
        <v>3</v>
      </c>
      <c r="CD203" s="3">
        <v>6</v>
      </c>
      <c r="CE203" s="3">
        <v>2</v>
      </c>
      <c r="CF203" s="3">
        <v>2</v>
      </c>
      <c r="CG203" s="4" t="s">
        <v>122</v>
      </c>
      <c r="CH203" s="3">
        <v>2</v>
      </c>
      <c r="CI203" s="4" t="s">
        <v>122</v>
      </c>
      <c r="CJ203" s="4" t="s">
        <v>122</v>
      </c>
      <c r="CK203" s="4" t="s">
        <v>122</v>
      </c>
      <c r="CL203" s="4" t="s">
        <v>125</v>
      </c>
      <c r="CM203" s="4" t="s">
        <v>122</v>
      </c>
      <c r="CN203" s="4" t="s">
        <v>122</v>
      </c>
      <c r="CO203" s="4" t="s">
        <v>122</v>
      </c>
      <c r="CP203" s="4" t="s">
        <v>122</v>
      </c>
      <c r="CQ203" s="4" t="s">
        <v>122</v>
      </c>
      <c r="CR203" s="4" t="s">
        <v>122</v>
      </c>
      <c r="CS203" s="3">
        <v>4</v>
      </c>
      <c r="CT203" s="3">
        <v>1</v>
      </c>
      <c r="CU203" s="42">
        <v>4</v>
      </c>
      <c r="CV203" cm="1">
        <f t="array" ref="CV203">_xlfn.IFS(CU203*1=2,1,CU203*1=4,1,TRUE,0)</f>
        <v>1</v>
      </c>
      <c r="CW203" cm="1">
        <f t="array" ref="CW203">_xlfn.IFS(CU203*1=1,1,CU203*1=2,1,TRUE,0)</f>
        <v>0</v>
      </c>
      <c r="CX203" s="3">
        <f t="shared" si="27"/>
        <v>5</v>
      </c>
      <c r="CY203" s="3">
        <f t="shared" si="28"/>
        <v>6</v>
      </c>
      <c r="CZ203" s="3" cm="1">
        <f t="array" ref="CZ203">_xlfn.IFS(BP203&lt;&gt;"", BP203, CV203=1,  AQ203, CV203=0,  AZ203)</f>
        <v>5</v>
      </c>
      <c r="DA203" s="36" cm="1">
        <f t="array" ref="DA203">_xlfn.IFS(BO203&lt;&gt;"", BO203, CV203=0,  AQ203, CV203=1,  AZ203)</f>
        <v>5</v>
      </c>
      <c r="DB203" s="36">
        <f t="shared" si="29"/>
        <v>1</v>
      </c>
      <c r="DC203" s="3">
        <f t="shared" si="30"/>
        <v>0</v>
      </c>
      <c r="DD203" s="3">
        <f t="shared" si="31"/>
        <v>1</v>
      </c>
      <c r="DE203" s="3">
        <f t="shared" si="32"/>
        <v>0</v>
      </c>
      <c r="DF203" s="3">
        <f t="shared" si="33"/>
        <v>0</v>
      </c>
      <c r="DG203" s="3">
        <f t="shared" si="34"/>
        <v>0</v>
      </c>
    </row>
    <row r="204" spans="1:111" x14ac:dyDescent="0.4">
      <c r="A204" s="3">
        <v>202503</v>
      </c>
      <c r="B204" s="3">
        <v>222</v>
      </c>
      <c r="C204" s="5">
        <v>45735.66233796296</v>
      </c>
      <c r="D204" s="5">
        <v>45735.668726851851</v>
      </c>
      <c r="E204" s="3">
        <v>0</v>
      </c>
      <c r="F204" s="4" t="s">
        <v>594</v>
      </c>
      <c r="G204" s="3">
        <v>100</v>
      </c>
      <c r="H204" s="3">
        <v>551</v>
      </c>
      <c r="I204" s="3">
        <v>1</v>
      </c>
      <c r="J204" s="5">
        <v>45735.668733009261</v>
      </c>
      <c r="K204" s="4" t="s">
        <v>595</v>
      </c>
      <c r="L204" s="4" t="s">
        <v>122</v>
      </c>
      <c r="M204" s="4" t="s">
        <v>122</v>
      </c>
      <c r="N204" s="4" t="s">
        <v>122</v>
      </c>
      <c r="O204" s="4" t="s">
        <v>122</v>
      </c>
      <c r="P204" s="3">
        <v>32.250300000000003</v>
      </c>
      <c r="Q204" s="3">
        <v>-110.94499999999999</v>
      </c>
      <c r="R204" s="4" t="s">
        <v>129</v>
      </c>
      <c r="S204" s="4" t="s">
        <v>124</v>
      </c>
      <c r="T204" s="3">
        <v>4</v>
      </c>
      <c r="U204" s="3">
        <v>1</v>
      </c>
      <c r="V204" s="3">
        <v>3</v>
      </c>
      <c r="W204" s="3">
        <v>3</v>
      </c>
      <c r="X204" s="3">
        <v>1</v>
      </c>
      <c r="Y204" s="3">
        <v>2</v>
      </c>
      <c r="Z204" s="3">
        <v>1</v>
      </c>
      <c r="AA204" s="3">
        <v>1</v>
      </c>
      <c r="AB204" s="4" t="s">
        <v>122</v>
      </c>
      <c r="AC204" s="4" t="s">
        <v>122</v>
      </c>
      <c r="AD204" s="4" t="s">
        <v>122</v>
      </c>
      <c r="AE204" s="4" t="s">
        <v>122</v>
      </c>
      <c r="AF204" s="4" t="s">
        <v>122</v>
      </c>
      <c r="AG204" s="3">
        <v>2</v>
      </c>
      <c r="AH204" s="3">
        <v>5</v>
      </c>
      <c r="AI204" s="3">
        <v>2</v>
      </c>
      <c r="AJ204" s="3">
        <v>7</v>
      </c>
      <c r="AK204" s="3">
        <v>8</v>
      </c>
      <c r="AL204" s="3">
        <v>5</v>
      </c>
      <c r="AM204" s="3">
        <v>7</v>
      </c>
      <c r="AN204" s="3">
        <v>6</v>
      </c>
      <c r="AO204" s="3">
        <v>3</v>
      </c>
      <c r="AP204" s="3">
        <v>3</v>
      </c>
      <c r="AQ204" s="3" t="s">
        <v>122</v>
      </c>
      <c r="AR204" s="3" t="s">
        <v>122</v>
      </c>
      <c r="AS204" s="3">
        <v>8</v>
      </c>
      <c r="AT204" s="3">
        <v>7</v>
      </c>
      <c r="AU204" s="3">
        <v>8</v>
      </c>
      <c r="AV204" s="3">
        <v>8</v>
      </c>
      <c r="AW204" s="3">
        <v>8</v>
      </c>
      <c r="AX204" s="3">
        <v>3</v>
      </c>
      <c r="AY204" s="3">
        <v>3</v>
      </c>
      <c r="AZ204" s="3" t="s">
        <v>122</v>
      </c>
      <c r="BA204" s="3" t="s">
        <v>122</v>
      </c>
      <c r="BB204" s="3" t="s">
        <v>122</v>
      </c>
      <c r="BC204" s="3" t="s">
        <v>122</v>
      </c>
      <c r="BD204" s="3" t="s">
        <v>122</v>
      </c>
      <c r="BE204" s="3" t="s">
        <v>122</v>
      </c>
      <c r="BF204" s="3" t="s">
        <v>122</v>
      </c>
      <c r="BG204" s="3" t="s">
        <v>122</v>
      </c>
      <c r="BH204" s="3" t="s">
        <v>122</v>
      </c>
      <c r="BI204" s="3" t="s">
        <v>122</v>
      </c>
      <c r="BJ204" s="3" t="s">
        <v>122</v>
      </c>
      <c r="BK204" s="3" t="s">
        <v>122</v>
      </c>
      <c r="BL204" s="3" t="s">
        <v>122</v>
      </c>
      <c r="BM204" s="3" t="s">
        <v>122</v>
      </c>
      <c r="BN204" s="3" t="s">
        <v>122</v>
      </c>
      <c r="BO204" s="3">
        <v>5</v>
      </c>
      <c r="BP204" s="3">
        <v>5</v>
      </c>
      <c r="BQ204" s="3">
        <v>3</v>
      </c>
      <c r="BR204" s="3" t="s">
        <v>122</v>
      </c>
      <c r="BS204" s="3" t="s">
        <v>122</v>
      </c>
      <c r="BT204" s="3" t="s">
        <v>122</v>
      </c>
      <c r="BU204" s="3" t="s">
        <v>122</v>
      </c>
      <c r="BV204" s="3" t="s">
        <v>122</v>
      </c>
      <c r="BW204" s="3" t="s">
        <v>122</v>
      </c>
      <c r="BX204" s="3" t="s">
        <v>122</v>
      </c>
      <c r="BY204" s="3" t="s">
        <v>122</v>
      </c>
      <c r="BZ204" s="3" t="s">
        <v>122</v>
      </c>
      <c r="CA204" s="3">
        <v>1</v>
      </c>
      <c r="CB204" s="3">
        <v>5</v>
      </c>
      <c r="CC204" s="3">
        <v>2</v>
      </c>
      <c r="CD204" s="3">
        <v>5</v>
      </c>
      <c r="CE204" s="3">
        <v>2</v>
      </c>
      <c r="CF204" s="3">
        <v>2</v>
      </c>
      <c r="CG204" s="4" t="s">
        <v>122</v>
      </c>
      <c r="CH204" s="3">
        <v>2</v>
      </c>
      <c r="CI204" s="4" t="s">
        <v>122</v>
      </c>
      <c r="CJ204" s="4" t="s">
        <v>122</v>
      </c>
      <c r="CK204" s="4" t="s">
        <v>122</v>
      </c>
      <c r="CL204" s="4" t="s">
        <v>122</v>
      </c>
      <c r="CM204" s="4" t="s">
        <v>122</v>
      </c>
      <c r="CN204" s="4" t="s">
        <v>122</v>
      </c>
      <c r="CO204" s="4" t="s">
        <v>125</v>
      </c>
      <c r="CP204" s="4" t="s">
        <v>122</v>
      </c>
      <c r="CQ204" s="4" t="s">
        <v>122</v>
      </c>
      <c r="CR204" s="4" t="s">
        <v>122</v>
      </c>
      <c r="CS204" s="3">
        <v>3</v>
      </c>
      <c r="CT204" s="3">
        <v>5</v>
      </c>
      <c r="CU204" s="42">
        <v>3</v>
      </c>
      <c r="CV204" cm="1">
        <f t="array" ref="CV204">_xlfn.IFS(CU204*1=2,1,CU204*1=4,1,TRUE,0)</f>
        <v>0</v>
      </c>
      <c r="CW204" cm="1">
        <f t="array" ref="CW204">_xlfn.IFS(CU204*1=1,1,CU204*1=2,1,TRUE,0)</f>
        <v>0</v>
      </c>
      <c r="CX204" s="3">
        <f t="shared" si="27"/>
        <v>5</v>
      </c>
      <c r="CY204" s="3">
        <f t="shared" si="28"/>
        <v>5</v>
      </c>
      <c r="CZ204" s="3" cm="1">
        <f t="array" ref="CZ204">_xlfn.IFS(BP204&lt;&gt;"", BP204, CV204=1,  AQ204, CV204=0,  AZ204)</f>
        <v>5</v>
      </c>
      <c r="DA204" s="36" cm="1">
        <f t="array" ref="DA204">_xlfn.IFS(BO204&lt;&gt;"", BO204, CV204=0,  AQ204, CV204=1,  AZ204)</f>
        <v>5</v>
      </c>
      <c r="DB204" s="36">
        <f t="shared" si="29"/>
        <v>0</v>
      </c>
      <c r="DC204" s="3">
        <f t="shared" si="30"/>
        <v>0</v>
      </c>
      <c r="DD204" s="3">
        <f t="shared" si="31"/>
        <v>0</v>
      </c>
      <c r="DE204" s="3">
        <f t="shared" si="32"/>
        <v>0</v>
      </c>
      <c r="DF204" s="3">
        <f t="shared" si="33"/>
        <v>0</v>
      </c>
      <c r="DG204" s="3">
        <f t="shared" si="34"/>
        <v>0</v>
      </c>
    </row>
    <row r="205" spans="1:111" x14ac:dyDescent="0.4">
      <c r="A205" s="3">
        <v>202503</v>
      </c>
      <c r="B205" s="3">
        <v>222</v>
      </c>
      <c r="C205" s="5">
        <v>45735.67050925926</v>
      </c>
      <c r="D205" s="5">
        <v>45735.674247685187</v>
      </c>
      <c r="E205" s="3">
        <v>0</v>
      </c>
      <c r="F205" s="4" t="s">
        <v>598</v>
      </c>
      <c r="G205" s="3">
        <v>100</v>
      </c>
      <c r="H205" s="3">
        <v>323</v>
      </c>
      <c r="I205" s="3">
        <v>1</v>
      </c>
      <c r="J205" s="5">
        <v>45735.674257627317</v>
      </c>
      <c r="K205" s="4" t="s">
        <v>599</v>
      </c>
      <c r="L205" s="4" t="s">
        <v>122</v>
      </c>
      <c r="M205" s="4" t="s">
        <v>122</v>
      </c>
      <c r="N205" s="4" t="s">
        <v>122</v>
      </c>
      <c r="O205" s="4" t="s">
        <v>122</v>
      </c>
      <c r="P205" s="3">
        <v>32.250300000000003</v>
      </c>
      <c r="Q205" s="3">
        <v>-110.94499999999999</v>
      </c>
      <c r="R205" s="4" t="s">
        <v>129</v>
      </c>
      <c r="S205" s="4" t="s">
        <v>124</v>
      </c>
      <c r="T205" s="3">
        <v>4</v>
      </c>
      <c r="U205" s="3">
        <v>1</v>
      </c>
      <c r="V205" s="3">
        <v>1</v>
      </c>
      <c r="W205" s="3">
        <v>4</v>
      </c>
      <c r="X205" s="3">
        <v>1</v>
      </c>
      <c r="Y205" s="3">
        <v>2</v>
      </c>
      <c r="Z205" s="3">
        <v>1</v>
      </c>
      <c r="AA205" s="3">
        <v>1</v>
      </c>
      <c r="AB205" s="4" t="s">
        <v>122</v>
      </c>
      <c r="AC205" s="4" t="s">
        <v>122</v>
      </c>
      <c r="AD205" s="4" t="s">
        <v>122</v>
      </c>
      <c r="AE205" s="4" t="s">
        <v>122</v>
      </c>
      <c r="AF205" s="4" t="s">
        <v>122</v>
      </c>
      <c r="AG205" s="3">
        <v>3</v>
      </c>
      <c r="AH205" s="3">
        <v>4.5</v>
      </c>
      <c r="AI205" s="3">
        <v>3</v>
      </c>
      <c r="AJ205" s="3">
        <v>7</v>
      </c>
      <c r="AK205" s="3">
        <v>7</v>
      </c>
      <c r="AL205" s="3">
        <v>6</v>
      </c>
      <c r="AM205" s="3">
        <v>6</v>
      </c>
      <c r="AN205" s="3">
        <v>8</v>
      </c>
      <c r="AO205" s="3">
        <v>3</v>
      </c>
      <c r="AP205" s="3">
        <v>3</v>
      </c>
      <c r="AQ205" s="3">
        <v>5</v>
      </c>
      <c r="AR205" s="3">
        <v>3</v>
      </c>
      <c r="AS205" s="3">
        <v>8</v>
      </c>
      <c r="AT205" s="3">
        <v>8</v>
      </c>
      <c r="AU205" s="3">
        <v>8</v>
      </c>
      <c r="AV205" s="3">
        <v>8</v>
      </c>
      <c r="AW205" s="3">
        <v>8</v>
      </c>
      <c r="AX205" s="3">
        <v>3</v>
      </c>
      <c r="AY205" s="3">
        <v>3</v>
      </c>
      <c r="AZ205" s="3">
        <v>4.5</v>
      </c>
      <c r="BA205" s="3">
        <v>3</v>
      </c>
      <c r="BB205" s="3">
        <v>5</v>
      </c>
      <c r="BC205" s="3">
        <v>4.5</v>
      </c>
      <c r="BD205" s="3">
        <v>3</v>
      </c>
      <c r="BE205" s="3" t="s">
        <v>122</v>
      </c>
      <c r="BF205" s="3" t="s">
        <v>122</v>
      </c>
      <c r="BG205" s="3" t="s">
        <v>122</v>
      </c>
      <c r="BH205" s="3" t="s">
        <v>122</v>
      </c>
      <c r="BI205" s="3" t="s">
        <v>122</v>
      </c>
      <c r="BJ205" s="3" t="s">
        <v>122</v>
      </c>
      <c r="BK205" s="3" t="s">
        <v>122</v>
      </c>
      <c r="BL205" s="3" t="s">
        <v>122</v>
      </c>
      <c r="BM205" s="3" t="s">
        <v>122</v>
      </c>
      <c r="BN205" s="3">
        <v>1</v>
      </c>
      <c r="BO205" s="3" t="s">
        <v>122</v>
      </c>
      <c r="BP205" s="3" t="s">
        <v>122</v>
      </c>
      <c r="BQ205" s="3" t="s">
        <v>122</v>
      </c>
      <c r="BR205" s="3" t="s">
        <v>122</v>
      </c>
      <c r="BS205" s="3" t="s">
        <v>122</v>
      </c>
      <c r="BT205" s="3" t="s">
        <v>122</v>
      </c>
      <c r="BU205" s="3" t="s">
        <v>122</v>
      </c>
      <c r="BV205" s="3" t="s">
        <v>122</v>
      </c>
      <c r="BW205" s="3" t="s">
        <v>122</v>
      </c>
      <c r="BX205" s="3" t="s">
        <v>122</v>
      </c>
      <c r="BY205" s="3" t="s">
        <v>122</v>
      </c>
      <c r="BZ205" s="3" t="s">
        <v>122</v>
      </c>
      <c r="CA205" s="3" t="s">
        <v>122</v>
      </c>
      <c r="CB205" s="3" t="s">
        <v>122</v>
      </c>
      <c r="CC205" s="3" t="s">
        <v>122</v>
      </c>
      <c r="CD205" s="3" t="s">
        <v>122</v>
      </c>
      <c r="CE205" s="3" t="s">
        <v>122</v>
      </c>
      <c r="CF205" s="3">
        <v>1</v>
      </c>
      <c r="CG205" s="4" t="s">
        <v>122</v>
      </c>
      <c r="CH205" s="3">
        <v>2</v>
      </c>
      <c r="CI205" s="4" t="s">
        <v>122</v>
      </c>
      <c r="CJ205" s="4" t="s">
        <v>122</v>
      </c>
      <c r="CK205" s="4" t="s">
        <v>122</v>
      </c>
      <c r="CL205" s="4" t="s">
        <v>122</v>
      </c>
      <c r="CM205" s="4" t="s">
        <v>122</v>
      </c>
      <c r="CN205" s="4" t="s">
        <v>125</v>
      </c>
      <c r="CO205" s="4" t="s">
        <v>122</v>
      </c>
      <c r="CP205" s="4" t="s">
        <v>122</v>
      </c>
      <c r="CQ205" s="4" t="s">
        <v>122</v>
      </c>
      <c r="CR205" s="4" t="s">
        <v>122</v>
      </c>
      <c r="CS205" s="3">
        <v>3</v>
      </c>
      <c r="CT205" s="3">
        <v>2</v>
      </c>
      <c r="CU205" s="42">
        <v>2</v>
      </c>
      <c r="CV205" cm="1">
        <f t="array" ref="CV205">_xlfn.IFS(CU205*1=2,1,CU205*1=4,1,TRUE,0)</f>
        <v>1</v>
      </c>
      <c r="CW205" cm="1">
        <f t="array" ref="CW205">_xlfn.IFS(CU205*1=1,1,CU205*1=2,1,TRUE,0)</f>
        <v>1</v>
      </c>
      <c r="CX205" s="3">
        <f t="shared" si="27"/>
        <v>5</v>
      </c>
      <c r="CY205" s="3">
        <f t="shared" si="28"/>
        <v>4.5</v>
      </c>
      <c r="CZ205" s="3" cm="1">
        <f t="array" ref="CZ205">_xlfn.IFS(BP205&lt;&gt;"", BP205, CV205=1,  AQ205, CV205=0,  AZ205)</f>
        <v>5</v>
      </c>
      <c r="DA205" s="36" cm="1">
        <f t="array" ref="DA205">_xlfn.IFS(BO205&lt;&gt;"", BO205, CV205=0,  AQ205, CV205=1,  AZ205)</f>
        <v>4.5</v>
      </c>
      <c r="DB205" s="36">
        <f t="shared" si="29"/>
        <v>0</v>
      </c>
      <c r="DC205" s="3">
        <f t="shared" si="30"/>
        <v>0.5</v>
      </c>
      <c r="DD205" s="3">
        <f t="shared" si="31"/>
        <v>0.5</v>
      </c>
      <c r="DE205" s="3">
        <f t="shared" si="32"/>
        <v>0</v>
      </c>
      <c r="DF205" s="3">
        <f t="shared" si="33"/>
        <v>0</v>
      </c>
      <c r="DG205" s="3">
        <f t="shared" si="34"/>
        <v>0.5</v>
      </c>
    </row>
    <row r="206" spans="1:111" x14ac:dyDescent="0.4">
      <c r="A206" s="3">
        <v>202503</v>
      </c>
      <c r="B206" s="3">
        <v>222</v>
      </c>
      <c r="C206" s="5">
        <v>45735.67050925926</v>
      </c>
      <c r="D206" s="5">
        <v>45735.674375000002</v>
      </c>
      <c r="E206" s="3">
        <v>0</v>
      </c>
      <c r="F206" s="4" t="s">
        <v>600</v>
      </c>
      <c r="G206" s="3">
        <v>100</v>
      </c>
      <c r="H206" s="3">
        <v>333</v>
      </c>
      <c r="I206" s="3">
        <v>1</v>
      </c>
      <c r="J206" s="5">
        <v>45735.674380856479</v>
      </c>
      <c r="K206" s="4" t="s">
        <v>601</v>
      </c>
      <c r="L206" s="4" t="s">
        <v>122</v>
      </c>
      <c r="M206" s="4" t="s">
        <v>122</v>
      </c>
      <c r="N206" s="4" t="s">
        <v>122</v>
      </c>
      <c r="O206" s="4" t="s">
        <v>122</v>
      </c>
      <c r="P206" s="3">
        <v>32.250300000000003</v>
      </c>
      <c r="Q206" s="3">
        <v>-110.94499999999999</v>
      </c>
      <c r="R206" s="4" t="s">
        <v>129</v>
      </c>
      <c r="S206" s="4" t="s">
        <v>124</v>
      </c>
      <c r="T206" s="3">
        <v>4</v>
      </c>
      <c r="U206" s="3">
        <v>1</v>
      </c>
      <c r="V206" s="3">
        <v>3</v>
      </c>
      <c r="W206" s="3">
        <v>4</v>
      </c>
      <c r="X206" s="3">
        <v>3</v>
      </c>
      <c r="Y206" s="3">
        <v>2</v>
      </c>
      <c r="Z206" s="3">
        <v>2</v>
      </c>
      <c r="AA206" s="3">
        <v>3</v>
      </c>
      <c r="AB206" s="4" t="s">
        <v>125</v>
      </c>
      <c r="AC206" s="4" t="s">
        <v>125</v>
      </c>
      <c r="AD206" s="4" t="s">
        <v>125</v>
      </c>
      <c r="AE206" s="4" t="s">
        <v>122</v>
      </c>
      <c r="AF206" s="4" t="s">
        <v>122</v>
      </c>
      <c r="AG206" s="3">
        <v>3</v>
      </c>
      <c r="AH206" s="3">
        <v>6.5</v>
      </c>
      <c r="AI206" s="3">
        <v>3</v>
      </c>
      <c r="AJ206" s="3">
        <v>7</v>
      </c>
      <c r="AK206" s="3">
        <v>7</v>
      </c>
      <c r="AL206" s="3">
        <v>6</v>
      </c>
      <c r="AM206" s="3">
        <v>7</v>
      </c>
      <c r="AN206" s="3">
        <v>8</v>
      </c>
      <c r="AO206" s="3">
        <v>3</v>
      </c>
      <c r="AP206" s="3">
        <v>3</v>
      </c>
      <c r="AQ206" s="3">
        <v>6</v>
      </c>
      <c r="AR206" s="3">
        <v>3</v>
      </c>
      <c r="AS206" s="3">
        <v>8</v>
      </c>
      <c r="AT206" s="3">
        <v>8</v>
      </c>
      <c r="AU206" s="3">
        <v>7</v>
      </c>
      <c r="AV206" s="3">
        <v>9</v>
      </c>
      <c r="AW206" s="3">
        <v>9</v>
      </c>
      <c r="AX206" s="3">
        <v>4</v>
      </c>
      <c r="AY206" s="3">
        <v>3</v>
      </c>
      <c r="AZ206" s="3">
        <v>7</v>
      </c>
      <c r="BA206" s="3">
        <v>3</v>
      </c>
      <c r="BB206" s="3">
        <v>7</v>
      </c>
      <c r="BC206" s="3">
        <v>6.5</v>
      </c>
      <c r="BD206" s="3">
        <v>3</v>
      </c>
      <c r="BE206" s="3" t="s">
        <v>122</v>
      </c>
      <c r="BF206" s="3" t="s">
        <v>122</v>
      </c>
      <c r="BG206" s="3" t="s">
        <v>122</v>
      </c>
      <c r="BH206" s="3" t="s">
        <v>122</v>
      </c>
      <c r="BI206" s="3" t="s">
        <v>122</v>
      </c>
      <c r="BJ206" s="3" t="s">
        <v>122</v>
      </c>
      <c r="BK206" s="3" t="s">
        <v>122</v>
      </c>
      <c r="BL206" s="3" t="s">
        <v>122</v>
      </c>
      <c r="BM206" s="3" t="s">
        <v>122</v>
      </c>
      <c r="BN206" s="3">
        <v>1</v>
      </c>
      <c r="BO206" s="3" t="s">
        <v>122</v>
      </c>
      <c r="BP206" s="3" t="s">
        <v>122</v>
      </c>
      <c r="BQ206" s="3" t="s">
        <v>122</v>
      </c>
      <c r="BR206" s="3" t="s">
        <v>122</v>
      </c>
      <c r="BS206" s="3" t="s">
        <v>122</v>
      </c>
      <c r="BT206" s="3" t="s">
        <v>122</v>
      </c>
      <c r="BU206" s="3" t="s">
        <v>122</v>
      </c>
      <c r="BV206" s="3" t="s">
        <v>122</v>
      </c>
      <c r="BW206" s="3" t="s">
        <v>122</v>
      </c>
      <c r="BX206" s="3" t="s">
        <v>122</v>
      </c>
      <c r="BY206" s="3" t="s">
        <v>122</v>
      </c>
      <c r="BZ206" s="3" t="s">
        <v>122</v>
      </c>
      <c r="CA206" s="3" t="s">
        <v>122</v>
      </c>
      <c r="CB206" s="3" t="s">
        <v>122</v>
      </c>
      <c r="CC206" s="3" t="s">
        <v>122</v>
      </c>
      <c r="CD206" s="3" t="s">
        <v>122</v>
      </c>
      <c r="CE206" s="3" t="s">
        <v>122</v>
      </c>
      <c r="CF206" s="3">
        <v>1</v>
      </c>
      <c r="CG206" s="4" t="s">
        <v>122</v>
      </c>
      <c r="CH206" s="3">
        <v>1</v>
      </c>
      <c r="CI206" s="4" t="s">
        <v>122</v>
      </c>
      <c r="CJ206" s="4" t="s">
        <v>122</v>
      </c>
      <c r="CK206" s="4" t="s">
        <v>122</v>
      </c>
      <c r="CL206" s="4" t="s">
        <v>122</v>
      </c>
      <c r="CM206" s="4" t="s">
        <v>122</v>
      </c>
      <c r="CN206" s="4" t="s">
        <v>122</v>
      </c>
      <c r="CO206" s="4" t="s">
        <v>125</v>
      </c>
      <c r="CP206" s="4" t="s">
        <v>122</v>
      </c>
      <c r="CQ206" s="4" t="s">
        <v>122</v>
      </c>
      <c r="CR206" s="4" t="s">
        <v>122</v>
      </c>
      <c r="CS206" s="3">
        <v>3</v>
      </c>
      <c r="CT206" s="3">
        <v>5</v>
      </c>
      <c r="CU206" s="42">
        <v>2</v>
      </c>
      <c r="CV206" cm="1">
        <f t="array" ref="CV206">_xlfn.IFS(CU206*1=2,1,CU206*1=4,1,TRUE,0)</f>
        <v>1</v>
      </c>
      <c r="CW206" cm="1">
        <f t="array" ref="CW206">_xlfn.IFS(CU206*1=1,1,CU206*1=2,1,TRUE,0)</f>
        <v>1</v>
      </c>
      <c r="CX206" s="3">
        <f t="shared" si="27"/>
        <v>7</v>
      </c>
      <c r="CY206" s="3">
        <f t="shared" si="28"/>
        <v>6.5</v>
      </c>
      <c r="CZ206" s="3" cm="1">
        <f t="array" ref="CZ206">_xlfn.IFS(BP206&lt;&gt;"", BP206, CV206=1,  AQ206, CV206=0,  AZ206)</f>
        <v>6</v>
      </c>
      <c r="DA206" s="36" cm="1">
        <f t="array" ref="DA206">_xlfn.IFS(BO206&lt;&gt;"", BO206, CV206=0,  AQ206, CV206=1,  AZ206)</f>
        <v>7</v>
      </c>
      <c r="DB206" s="36">
        <f t="shared" si="29"/>
        <v>0</v>
      </c>
      <c r="DC206" s="3">
        <f t="shared" si="30"/>
        <v>0.5</v>
      </c>
      <c r="DD206" s="3">
        <f t="shared" si="31"/>
        <v>-0.5</v>
      </c>
      <c r="DE206" s="3">
        <f t="shared" si="32"/>
        <v>0</v>
      </c>
      <c r="DF206" s="3">
        <f t="shared" si="33"/>
        <v>0.5</v>
      </c>
      <c r="DG206" s="3">
        <f t="shared" si="34"/>
        <v>0.5</v>
      </c>
    </row>
    <row r="207" spans="1:111" x14ac:dyDescent="0.4">
      <c r="A207">
        <v>202511</v>
      </c>
      <c r="B207">
        <v>456</v>
      </c>
      <c r="C207" s="5">
        <v>45969.364479166667</v>
      </c>
      <c r="D207" s="5">
        <v>45969.38008101852</v>
      </c>
      <c r="E207" s="3">
        <v>0</v>
      </c>
      <c r="F207" s="4" t="s">
        <v>387</v>
      </c>
      <c r="G207" s="3">
        <v>100</v>
      </c>
      <c r="H207" s="3">
        <v>1347</v>
      </c>
      <c r="I207" s="3">
        <v>1</v>
      </c>
      <c r="J207" s="5">
        <v>45969.38008516204</v>
      </c>
      <c r="K207" s="4" t="s">
        <v>386</v>
      </c>
      <c r="L207" s="4" t="s">
        <v>122</v>
      </c>
      <c r="M207" s="4" t="s">
        <v>122</v>
      </c>
      <c r="N207" s="4" t="s">
        <v>122</v>
      </c>
      <c r="O207" s="4" t="s">
        <v>122</v>
      </c>
      <c r="P207" s="3">
        <v>32.250300000000003</v>
      </c>
      <c r="Q207" s="3">
        <v>-110.94499999999999</v>
      </c>
      <c r="R207" s="4" t="s">
        <v>129</v>
      </c>
      <c r="S207" s="4" t="s">
        <v>124</v>
      </c>
      <c r="T207" s="3">
        <v>4</v>
      </c>
      <c r="U207" s="3">
        <v>1</v>
      </c>
      <c r="V207" s="3">
        <v>3</v>
      </c>
      <c r="W207" s="3">
        <v>3</v>
      </c>
      <c r="X207" s="3">
        <v>1</v>
      </c>
      <c r="Y207" s="3">
        <v>3</v>
      </c>
      <c r="Z207" s="3">
        <v>3</v>
      </c>
      <c r="AA207" s="3">
        <v>1</v>
      </c>
      <c r="AB207" s="4" t="s">
        <v>122</v>
      </c>
      <c r="AC207" s="4" t="s">
        <v>122</v>
      </c>
      <c r="AD207" s="4" t="s">
        <v>122</v>
      </c>
      <c r="AE207" s="4" t="s">
        <v>122</v>
      </c>
      <c r="AF207" s="4" t="s">
        <v>122</v>
      </c>
      <c r="AG207" s="3">
        <v>2</v>
      </c>
      <c r="AH207" s="3">
        <v>6</v>
      </c>
      <c r="AI207" s="3">
        <v>2</v>
      </c>
      <c r="AJ207" s="3">
        <v>5</v>
      </c>
      <c r="AK207" s="3">
        <v>6</v>
      </c>
      <c r="AL207" s="3">
        <v>5</v>
      </c>
      <c r="AM207" s="3">
        <v>5</v>
      </c>
      <c r="AN207" s="3">
        <v>5</v>
      </c>
      <c r="AO207" s="3">
        <v>3</v>
      </c>
      <c r="AP207" s="3">
        <v>3</v>
      </c>
      <c r="AQ207" s="3">
        <v>6</v>
      </c>
      <c r="AR207" s="3">
        <v>2</v>
      </c>
      <c r="AS207" s="3">
        <v>6</v>
      </c>
      <c r="AT207" s="3">
        <v>8</v>
      </c>
      <c r="AU207" s="3">
        <v>6</v>
      </c>
      <c r="AV207" s="3">
        <v>6</v>
      </c>
      <c r="AW207" s="3">
        <v>8</v>
      </c>
      <c r="AX207" s="3">
        <v>2</v>
      </c>
      <c r="AY207" s="3">
        <v>2</v>
      </c>
      <c r="AZ207" s="3">
        <v>6.5</v>
      </c>
      <c r="BA207" s="3">
        <v>2</v>
      </c>
      <c r="BB207" s="3">
        <v>6.5</v>
      </c>
      <c r="BC207" s="3">
        <v>6</v>
      </c>
      <c r="BD207" s="3">
        <v>2</v>
      </c>
      <c r="BE207" s="4" t="s">
        <v>125</v>
      </c>
      <c r="BF207" s="4" t="s">
        <v>122</v>
      </c>
      <c r="BG207" s="4" t="s">
        <v>125</v>
      </c>
      <c r="BH207" s="4" t="s">
        <v>122</v>
      </c>
      <c r="BI207" s="4" t="s">
        <v>125</v>
      </c>
      <c r="BJ207" s="4" t="s">
        <v>122</v>
      </c>
      <c r="BK207" s="4" t="s">
        <v>122</v>
      </c>
      <c r="BL207" s="4" t="s">
        <v>122</v>
      </c>
      <c r="BM207" s="4" t="s">
        <v>122</v>
      </c>
      <c r="BN207" s="3">
        <v>1</v>
      </c>
      <c r="BO207" s="4" t="s">
        <v>122</v>
      </c>
      <c r="BP207" s="4" t="s">
        <v>122</v>
      </c>
      <c r="BQ207" s="4" t="s">
        <v>122</v>
      </c>
      <c r="BR207" s="4" t="s">
        <v>122</v>
      </c>
      <c r="BS207" s="4" t="s">
        <v>122</v>
      </c>
      <c r="BT207" s="4" t="s">
        <v>122</v>
      </c>
      <c r="BU207" s="4" t="s">
        <v>122</v>
      </c>
      <c r="BV207" s="4" t="s">
        <v>122</v>
      </c>
      <c r="BW207" s="4" t="s">
        <v>122</v>
      </c>
      <c r="BX207" s="4" t="s">
        <v>122</v>
      </c>
      <c r="BY207" s="4" t="s">
        <v>122</v>
      </c>
      <c r="BZ207" s="4" t="s">
        <v>122</v>
      </c>
      <c r="CA207" s="4" t="s">
        <v>122</v>
      </c>
      <c r="CB207" s="4" t="s">
        <v>122</v>
      </c>
      <c r="CC207" s="4" t="s">
        <v>122</v>
      </c>
      <c r="CD207" s="4" t="s">
        <v>122</v>
      </c>
      <c r="CE207" s="4" t="s">
        <v>122</v>
      </c>
      <c r="CF207" s="3">
        <v>2</v>
      </c>
      <c r="CG207" s="4" t="s">
        <v>122</v>
      </c>
      <c r="CH207" s="3">
        <v>2.2999999999999998</v>
      </c>
      <c r="CI207" s="4" t="s">
        <v>122</v>
      </c>
      <c r="CJ207" s="4" t="s">
        <v>122</v>
      </c>
      <c r="CK207" s="4" t="s">
        <v>122</v>
      </c>
      <c r="CL207" s="4" t="s">
        <v>122</v>
      </c>
      <c r="CM207" s="4" t="s">
        <v>122</v>
      </c>
      <c r="CN207" s="4" t="s">
        <v>122</v>
      </c>
      <c r="CO207" s="4" t="s">
        <v>125</v>
      </c>
      <c r="CP207" s="4" t="s">
        <v>122</v>
      </c>
      <c r="CQ207" s="4" t="s">
        <v>122</v>
      </c>
      <c r="CR207" s="4" t="s">
        <v>122</v>
      </c>
      <c r="CS207" s="3">
        <v>3</v>
      </c>
      <c r="CT207" s="3">
        <v>-999</v>
      </c>
      <c r="CU207" s="42">
        <v>2</v>
      </c>
      <c r="CV207" cm="1">
        <f t="array" ref="CV207">_xlfn.IFS(CU207*1=2,1,CU207*1=4,1,TRUE,0)</f>
        <v>1</v>
      </c>
      <c r="CW207" cm="1">
        <f t="array" ref="CW207">_xlfn.IFS(CU207*1=1,1,CU207*1=2,1,TRUE,0)</f>
        <v>1</v>
      </c>
      <c r="CX207" s="3">
        <f t="shared" si="27"/>
        <v>6.5</v>
      </c>
      <c r="CY207" s="3">
        <f t="shared" si="28"/>
        <v>6</v>
      </c>
      <c r="CZ207" s="3" cm="1">
        <f t="array" ref="CZ207">_xlfn.IFS(BP207&lt;&gt;"", BP207, CV207=1,  AQ207, CV207=0,  AZ207)</f>
        <v>6</v>
      </c>
      <c r="DA207" s="36" cm="1">
        <f t="array" ref="DA207">_xlfn.IFS(BO207&lt;&gt;"", BO207, CV207=0,  AQ207, CV207=1,  AZ207)</f>
        <v>6.5</v>
      </c>
      <c r="DB207" s="36">
        <f t="shared" si="29"/>
        <v>0</v>
      </c>
      <c r="DC207" s="3">
        <f t="shared" si="30"/>
        <v>0.5</v>
      </c>
      <c r="DD207" s="3">
        <f t="shared" si="31"/>
        <v>0</v>
      </c>
      <c r="DE207" s="3">
        <f t="shared" si="32"/>
        <v>0</v>
      </c>
      <c r="DF207" s="3">
        <f t="shared" si="33"/>
        <v>0.5</v>
      </c>
      <c r="DG207" s="3">
        <f t="shared" si="34"/>
        <v>0.5</v>
      </c>
    </row>
    <row r="208" spans="1:111" x14ac:dyDescent="0.4">
      <c r="A208">
        <v>202511</v>
      </c>
      <c r="B208">
        <v>123</v>
      </c>
      <c r="C208" s="1">
        <v>45969.377557870372</v>
      </c>
      <c r="D208" s="1">
        <v>45969.385567129626</v>
      </c>
      <c r="E208">
        <v>0</v>
      </c>
      <c r="F208" s="2" t="s">
        <v>130</v>
      </c>
      <c r="G208">
        <v>100</v>
      </c>
      <c r="H208">
        <v>691</v>
      </c>
      <c r="I208">
        <v>1</v>
      </c>
      <c r="J208" s="1">
        <v>45969.385575925924</v>
      </c>
      <c r="K208" s="2" t="s">
        <v>131</v>
      </c>
      <c r="L208" s="2" t="s">
        <v>122</v>
      </c>
      <c r="M208" s="2" t="s">
        <v>122</v>
      </c>
      <c r="N208" s="2" t="s">
        <v>122</v>
      </c>
      <c r="O208" s="2" t="s">
        <v>122</v>
      </c>
      <c r="P208">
        <v>33.434199999999997</v>
      </c>
      <c r="Q208">
        <v>-111.8454</v>
      </c>
      <c r="R208" s="2" t="s">
        <v>129</v>
      </c>
      <c r="S208" s="2" t="s">
        <v>124</v>
      </c>
      <c r="T208">
        <v>4</v>
      </c>
      <c r="U208">
        <v>1</v>
      </c>
      <c r="V208">
        <v>2</v>
      </c>
      <c r="W208">
        <v>2</v>
      </c>
      <c r="X208">
        <v>2</v>
      </c>
      <c r="Y208">
        <v>3</v>
      </c>
      <c r="Z208">
        <v>3</v>
      </c>
      <c r="AA208">
        <v>2</v>
      </c>
      <c r="AB208" s="2" t="s">
        <v>122</v>
      </c>
      <c r="AC208" s="2" t="s">
        <v>125</v>
      </c>
      <c r="AD208" s="2" t="s">
        <v>122</v>
      </c>
      <c r="AE208" s="2" t="s">
        <v>122</v>
      </c>
      <c r="AF208" s="2" t="s">
        <v>122</v>
      </c>
      <c r="AG208">
        <v>2</v>
      </c>
      <c r="AH208">
        <v>6</v>
      </c>
      <c r="AI208">
        <v>2</v>
      </c>
      <c r="AJ208">
        <v>3</v>
      </c>
      <c r="AK208">
        <v>4</v>
      </c>
      <c r="AL208">
        <v>3</v>
      </c>
      <c r="AM208">
        <v>3</v>
      </c>
      <c r="AN208">
        <v>3</v>
      </c>
      <c r="AO208">
        <v>4</v>
      </c>
      <c r="AP208">
        <v>4</v>
      </c>
      <c r="AQ208" s="2" t="s">
        <v>122</v>
      </c>
      <c r="AR208" s="2" t="s">
        <v>122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3</v>
      </c>
      <c r="AY208">
        <v>3</v>
      </c>
      <c r="AZ208" s="2" t="s">
        <v>122</v>
      </c>
      <c r="BA208" s="2" t="s">
        <v>122</v>
      </c>
      <c r="BB208" s="2" t="s">
        <v>122</v>
      </c>
      <c r="BC208" s="2" t="s">
        <v>122</v>
      </c>
      <c r="BD208" s="2" t="s">
        <v>122</v>
      </c>
      <c r="BE208" s="2" t="s">
        <v>122</v>
      </c>
      <c r="BF208" s="2" t="s">
        <v>122</v>
      </c>
      <c r="BG208" s="2" t="s">
        <v>122</v>
      </c>
      <c r="BH208" s="2" t="s">
        <v>122</v>
      </c>
      <c r="BI208" s="2" t="s">
        <v>122</v>
      </c>
      <c r="BJ208" s="2" t="s">
        <v>122</v>
      </c>
      <c r="BK208" s="2" t="s">
        <v>122</v>
      </c>
      <c r="BL208" s="2" t="s">
        <v>122</v>
      </c>
      <c r="BM208" s="2" t="s">
        <v>122</v>
      </c>
      <c r="BN208" s="2" t="s">
        <v>122</v>
      </c>
      <c r="BO208">
        <v>6</v>
      </c>
      <c r="BP208">
        <v>6</v>
      </c>
      <c r="BQ208">
        <v>2</v>
      </c>
      <c r="BR208" s="2" t="s">
        <v>122</v>
      </c>
      <c r="BS208" s="2" t="s">
        <v>122</v>
      </c>
      <c r="BT208" s="2" t="s">
        <v>122</v>
      </c>
      <c r="BU208" s="2" t="s">
        <v>122</v>
      </c>
      <c r="BV208" s="2" t="s">
        <v>122</v>
      </c>
      <c r="BW208" s="2" t="s">
        <v>122</v>
      </c>
      <c r="BX208" s="2" t="s">
        <v>122</v>
      </c>
      <c r="BY208" s="2" t="s">
        <v>122</v>
      </c>
      <c r="BZ208" s="2" t="s">
        <v>125</v>
      </c>
      <c r="CA208" s="2" t="s">
        <v>122</v>
      </c>
      <c r="CB208">
        <v>6</v>
      </c>
      <c r="CC208">
        <v>2</v>
      </c>
      <c r="CD208">
        <v>6</v>
      </c>
      <c r="CE208">
        <v>3</v>
      </c>
      <c r="CF208">
        <v>1</v>
      </c>
      <c r="CG208" s="2" t="s">
        <v>122</v>
      </c>
      <c r="CH208">
        <v>7</v>
      </c>
      <c r="CI208" s="2" t="s">
        <v>122</v>
      </c>
      <c r="CJ208" s="2" t="s">
        <v>122</v>
      </c>
      <c r="CK208" s="2" t="s">
        <v>122</v>
      </c>
      <c r="CL208" s="2" t="s">
        <v>122</v>
      </c>
      <c r="CM208" s="2" t="s">
        <v>122</v>
      </c>
      <c r="CN208" s="2" t="s">
        <v>122</v>
      </c>
      <c r="CO208" s="2" t="s">
        <v>125</v>
      </c>
      <c r="CP208" s="2" t="s">
        <v>122</v>
      </c>
      <c r="CQ208" s="2" t="s">
        <v>122</v>
      </c>
      <c r="CR208" s="2" t="s">
        <v>122</v>
      </c>
      <c r="CS208">
        <v>5</v>
      </c>
      <c r="CT208">
        <v>6</v>
      </c>
      <c r="CU208" s="43">
        <v>3</v>
      </c>
      <c r="CV208" cm="1">
        <f t="array" ref="CV208">_xlfn.IFS(CU208*1=2,1,CU208*1=4,1,TRUE,0)</f>
        <v>0</v>
      </c>
      <c r="CW208" cm="1">
        <f t="array" ref="CW208">_xlfn.IFS(CU208*1=1,1,CU208*1=2,1,TRUE,0)</f>
        <v>0</v>
      </c>
      <c r="CX208" s="3">
        <f t="shared" si="27"/>
        <v>6</v>
      </c>
      <c r="CY208" s="3">
        <f t="shared" si="28"/>
        <v>6</v>
      </c>
      <c r="CZ208" s="3" cm="1">
        <f t="array" ref="CZ208">_xlfn.IFS(BP208&lt;&gt;"", BP208, CV208=1,  AQ208, CV208=0,  AZ208)</f>
        <v>6</v>
      </c>
      <c r="DA208" s="36" cm="1">
        <f t="array" ref="DA208">_xlfn.IFS(BO208&lt;&gt;"", BO208, CV208=0,  AQ208, CV208=1,  AZ208)</f>
        <v>6</v>
      </c>
      <c r="DB208" s="36">
        <f t="shared" si="29"/>
        <v>0</v>
      </c>
      <c r="DC208" s="3">
        <f t="shared" si="30"/>
        <v>0</v>
      </c>
      <c r="DD208" s="3">
        <f t="shared" si="31"/>
        <v>0</v>
      </c>
      <c r="DE208" s="3">
        <f t="shared" si="32"/>
        <v>0</v>
      </c>
      <c r="DF208" s="3">
        <f t="shared" si="33"/>
        <v>0</v>
      </c>
      <c r="DG208" s="3">
        <f t="shared" si="34"/>
        <v>0</v>
      </c>
    </row>
    <row r="209" spans="1:111" x14ac:dyDescent="0.4">
      <c r="A209">
        <v>202511</v>
      </c>
      <c r="B209">
        <v>123</v>
      </c>
      <c r="C209" s="1">
        <v>45969.379548611112</v>
      </c>
      <c r="D209" s="1">
        <v>45969.385648148149</v>
      </c>
      <c r="E209">
        <v>0</v>
      </c>
      <c r="F209" s="2" t="s">
        <v>132</v>
      </c>
      <c r="G209">
        <v>100</v>
      </c>
      <c r="H209">
        <v>527</v>
      </c>
      <c r="I209">
        <v>1</v>
      </c>
      <c r="J209" s="1">
        <v>45969.385657789353</v>
      </c>
      <c r="K209" s="2" t="s">
        <v>133</v>
      </c>
      <c r="L209" s="2" t="s">
        <v>122</v>
      </c>
      <c r="M209" s="2" t="s">
        <v>122</v>
      </c>
      <c r="N209" s="2" t="s">
        <v>122</v>
      </c>
      <c r="O209" s="2" t="s">
        <v>122</v>
      </c>
      <c r="P209">
        <v>36.172400000000003</v>
      </c>
      <c r="Q209">
        <v>-115.0677</v>
      </c>
      <c r="R209" s="2" t="s">
        <v>129</v>
      </c>
      <c r="S209" s="2" t="s">
        <v>124</v>
      </c>
      <c r="T209">
        <v>4</v>
      </c>
      <c r="U209">
        <v>1</v>
      </c>
      <c r="V209">
        <v>2</v>
      </c>
      <c r="W209">
        <v>3</v>
      </c>
      <c r="X209">
        <v>1</v>
      </c>
      <c r="Y209">
        <v>2</v>
      </c>
      <c r="Z209">
        <v>1</v>
      </c>
      <c r="AA209">
        <v>1</v>
      </c>
      <c r="AB209" s="2" t="s">
        <v>122</v>
      </c>
      <c r="AC209" s="2" t="s">
        <v>122</v>
      </c>
      <c r="AD209" s="2" t="s">
        <v>122</v>
      </c>
      <c r="AE209" s="2" t="s">
        <v>122</v>
      </c>
      <c r="AF209" s="2" t="s">
        <v>122</v>
      </c>
      <c r="AG209">
        <v>3</v>
      </c>
      <c r="AH209">
        <v>8</v>
      </c>
      <c r="AI209">
        <v>3</v>
      </c>
      <c r="AJ209">
        <v>8</v>
      </c>
      <c r="AK209">
        <v>6</v>
      </c>
      <c r="AL209">
        <v>8</v>
      </c>
      <c r="AM209">
        <v>8</v>
      </c>
      <c r="AN209">
        <v>7</v>
      </c>
      <c r="AO209">
        <v>3</v>
      </c>
      <c r="AP209">
        <v>3</v>
      </c>
      <c r="AQ209">
        <v>6</v>
      </c>
      <c r="AR209">
        <v>3</v>
      </c>
      <c r="AS209">
        <v>3</v>
      </c>
      <c r="AT209">
        <v>8</v>
      </c>
      <c r="AU209">
        <v>4</v>
      </c>
      <c r="AV209">
        <v>3</v>
      </c>
      <c r="AW209">
        <v>4</v>
      </c>
      <c r="AX209">
        <v>4</v>
      </c>
      <c r="AY209">
        <v>2</v>
      </c>
      <c r="AZ209">
        <v>4</v>
      </c>
      <c r="BA209">
        <v>2</v>
      </c>
      <c r="BB209">
        <v>7</v>
      </c>
      <c r="BC209">
        <v>0</v>
      </c>
      <c r="BD209">
        <v>3</v>
      </c>
      <c r="BE209" s="2" t="s">
        <v>125</v>
      </c>
      <c r="BF209" s="2" t="s">
        <v>122</v>
      </c>
      <c r="BG209" s="2" t="s">
        <v>122</v>
      </c>
      <c r="BH209" s="2" t="s">
        <v>122</v>
      </c>
      <c r="BI209" s="2" t="s">
        <v>122</v>
      </c>
      <c r="BJ209" s="2" t="s">
        <v>122</v>
      </c>
      <c r="BK209" s="2" t="s">
        <v>122</v>
      </c>
      <c r="BL209" s="2" t="s">
        <v>122</v>
      </c>
      <c r="BM209" s="2" t="s">
        <v>122</v>
      </c>
      <c r="BN209" s="2" t="s">
        <v>122</v>
      </c>
      <c r="BO209" s="2" t="s">
        <v>122</v>
      </c>
      <c r="BP209" s="2" t="s">
        <v>122</v>
      </c>
      <c r="BQ209" s="2" t="s">
        <v>122</v>
      </c>
      <c r="BR209" s="2" t="s">
        <v>122</v>
      </c>
      <c r="BS209" s="2" t="s">
        <v>122</v>
      </c>
      <c r="BT209" s="2" t="s">
        <v>122</v>
      </c>
      <c r="BU209" s="2" t="s">
        <v>122</v>
      </c>
      <c r="BV209" s="2" t="s">
        <v>122</v>
      </c>
      <c r="BW209" s="2" t="s">
        <v>122</v>
      </c>
      <c r="BX209" s="2" t="s">
        <v>122</v>
      </c>
      <c r="BY209" s="2" t="s">
        <v>122</v>
      </c>
      <c r="BZ209" s="2" t="s">
        <v>122</v>
      </c>
      <c r="CA209" s="2" t="s">
        <v>122</v>
      </c>
      <c r="CB209" s="2" t="s">
        <v>122</v>
      </c>
      <c r="CC209" s="2" t="s">
        <v>122</v>
      </c>
      <c r="CD209" s="2" t="s">
        <v>122</v>
      </c>
      <c r="CE209" s="2" t="s">
        <v>122</v>
      </c>
      <c r="CF209">
        <v>1</v>
      </c>
      <c r="CG209" s="2" t="s">
        <v>122</v>
      </c>
      <c r="CH209">
        <v>4</v>
      </c>
      <c r="CI209" s="2" t="s">
        <v>122</v>
      </c>
      <c r="CJ209" s="2" t="s">
        <v>122</v>
      </c>
      <c r="CK209" s="2" t="s">
        <v>122</v>
      </c>
      <c r="CL209" s="2" t="s">
        <v>122</v>
      </c>
      <c r="CM209" s="2" t="s">
        <v>122</v>
      </c>
      <c r="CN209" s="2" t="s">
        <v>122</v>
      </c>
      <c r="CO209" s="2" t="s">
        <v>125</v>
      </c>
      <c r="CP209" s="2" t="s">
        <v>122</v>
      </c>
      <c r="CQ209" s="2" t="s">
        <v>122</v>
      </c>
      <c r="CR209" s="2" t="s">
        <v>122</v>
      </c>
      <c r="CS209">
        <v>5</v>
      </c>
      <c r="CT209">
        <v>6</v>
      </c>
      <c r="CU209" s="43">
        <v>1</v>
      </c>
      <c r="CV209" cm="1">
        <f t="array" ref="CV209">_xlfn.IFS(CU209*1=2,1,CU209*1=4,1,TRUE,0)</f>
        <v>0</v>
      </c>
      <c r="CW209" cm="1">
        <f t="array" ref="CW209">_xlfn.IFS(CU209*1=1,1,CU209*1=2,1,TRUE,0)</f>
        <v>1</v>
      </c>
      <c r="CX209" s="3">
        <f t="shared" si="27"/>
        <v>7</v>
      </c>
      <c r="CY209" s="3">
        <f t="shared" si="28"/>
        <v>0</v>
      </c>
      <c r="CZ209" s="3" cm="1">
        <f t="array" ref="CZ209">_xlfn.IFS(BP209&lt;&gt;"", BP209, CV209=1,  AQ209, CV209=0,  AZ209)</f>
        <v>4</v>
      </c>
      <c r="DA209" s="36" cm="1">
        <f t="array" ref="DA209">_xlfn.IFS(BO209&lt;&gt;"", BO209, CV209=0,  AQ209, CV209=1,  AZ209)</f>
        <v>6</v>
      </c>
      <c r="DB209" s="36">
        <f t="shared" si="29"/>
        <v>-8</v>
      </c>
      <c r="DC209" s="3">
        <f t="shared" si="30"/>
        <v>-1</v>
      </c>
      <c r="DD209" s="3">
        <f t="shared" si="31"/>
        <v>-4</v>
      </c>
      <c r="DE209" s="3">
        <f t="shared" si="32"/>
        <v>-8</v>
      </c>
      <c r="DF209" s="3">
        <f t="shared" si="33"/>
        <v>-2</v>
      </c>
      <c r="DG209" s="3">
        <f t="shared" si="34"/>
        <v>-1</v>
      </c>
    </row>
    <row r="210" spans="1:111" x14ac:dyDescent="0.4">
      <c r="A210">
        <v>202511</v>
      </c>
      <c r="B210">
        <v>456</v>
      </c>
      <c r="C210" s="5">
        <v>45969.380104166667</v>
      </c>
      <c r="D210" s="5">
        <v>45969.385520833333</v>
      </c>
      <c r="E210" s="3">
        <v>0</v>
      </c>
      <c r="F210" s="4" t="s">
        <v>385</v>
      </c>
      <c r="G210" s="3">
        <v>100</v>
      </c>
      <c r="H210" s="3">
        <v>467</v>
      </c>
      <c r="I210" s="3">
        <v>1</v>
      </c>
      <c r="J210" s="5">
        <v>45969.385543680553</v>
      </c>
      <c r="K210" s="4" t="s">
        <v>384</v>
      </c>
      <c r="L210" s="4" t="s">
        <v>122</v>
      </c>
      <c r="M210" s="4" t="s">
        <v>122</v>
      </c>
      <c r="N210" s="4" t="s">
        <v>122</v>
      </c>
      <c r="O210" s="4" t="s">
        <v>122</v>
      </c>
      <c r="P210" s="3">
        <v>32.250300000000003</v>
      </c>
      <c r="Q210" s="3">
        <v>-110.94499999999999</v>
      </c>
      <c r="R210" s="4" t="s">
        <v>129</v>
      </c>
      <c r="S210" s="4" t="s">
        <v>124</v>
      </c>
      <c r="T210" s="3">
        <v>4</v>
      </c>
      <c r="U210" s="3">
        <v>1</v>
      </c>
      <c r="V210" s="3">
        <v>2</v>
      </c>
      <c r="W210" s="3">
        <v>1</v>
      </c>
      <c r="X210" s="3">
        <v>1</v>
      </c>
      <c r="Y210" s="3">
        <v>1</v>
      </c>
      <c r="Z210" s="3">
        <v>1</v>
      </c>
      <c r="AA210" s="3">
        <v>1</v>
      </c>
      <c r="AB210" s="4" t="s">
        <v>122</v>
      </c>
      <c r="AC210" s="4" t="s">
        <v>122</v>
      </c>
      <c r="AD210" s="4" t="s">
        <v>122</v>
      </c>
      <c r="AE210" s="4" t="s">
        <v>122</v>
      </c>
      <c r="AF210" s="4" t="s">
        <v>122</v>
      </c>
      <c r="AG210" s="3">
        <v>2</v>
      </c>
      <c r="AH210" s="3">
        <v>0</v>
      </c>
      <c r="AI210" s="4" t="s">
        <v>122</v>
      </c>
      <c r="AJ210" s="3">
        <v>4</v>
      </c>
      <c r="AK210" s="3">
        <v>8</v>
      </c>
      <c r="AL210" s="3">
        <v>6</v>
      </c>
      <c r="AM210" s="3">
        <v>4</v>
      </c>
      <c r="AN210" s="3">
        <v>5</v>
      </c>
      <c r="AO210" s="3">
        <v>4</v>
      </c>
      <c r="AP210" s="3">
        <v>4</v>
      </c>
      <c r="AQ210" s="4" t="s">
        <v>122</v>
      </c>
      <c r="AR210" s="4" t="s">
        <v>122</v>
      </c>
      <c r="AS210" s="3">
        <v>8</v>
      </c>
      <c r="AT210" s="3">
        <v>8</v>
      </c>
      <c r="AU210" s="3">
        <v>8</v>
      </c>
      <c r="AV210" s="3">
        <v>8</v>
      </c>
      <c r="AW210" s="3">
        <v>8</v>
      </c>
      <c r="AX210" s="3">
        <v>1</v>
      </c>
      <c r="AY210" s="3">
        <v>2</v>
      </c>
      <c r="AZ210" s="4" t="s">
        <v>122</v>
      </c>
      <c r="BA210" s="4" t="s">
        <v>122</v>
      </c>
      <c r="BB210" s="4" t="s">
        <v>122</v>
      </c>
      <c r="BC210" s="4" t="s">
        <v>122</v>
      </c>
      <c r="BD210" s="4" t="s">
        <v>122</v>
      </c>
      <c r="BE210" s="4" t="s">
        <v>122</v>
      </c>
      <c r="BF210" s="4" t="s">
        <v>122</v>
      </c>
      <c r="BG210" s="4" t="s">
        <v>122</v>
      </c>
      <c r="BH210" s="4" t="s">
        <v>122</v>
      </c>
      <c r="BI210" s="4" t="s">
        <v>122</v>
      </c>
      <c r="BJ210" s="4" t="s">
        <v>122</v>
      </c>
      <c r="BK210" s="4" t="s">
        <v>122</v>
      </c>
      <c r="BL210" s="4" t="s">
        <v>122</v>
      </c>
      <c r="BM210" s="4" t="s">
        <v>122</v>
      </c>
      <c r="BN210" s="4" t="s">
        <v>122</v>
      </c>
      <c r="BO210" s="3">
        <v>0</v>
      </c>
      <c r="BP210" s="3">
        <v>0</v>
      </c>
      <c r="BQ210" s="3">
        <v>3</v>
      </c>
      <c r="BR210" s="4" t="s">
        <v>125</v>
      </c>
      <c r="BS210" s="4" t="s">
        <v>122</v>
      </c>
      <c r="BT210" s="4" t="s">
        <v>122</v>
      </c>
      <c r="BU210" s="4" t="s">
        <v>122</v>
      </c>
      <c r="BV210" s="4" t="s">
        <v>125</v>
      </c>
      <c r="BW210" s="4" t="s">
        <v>122</v>
      </c>
      <c r="BX210" s="4" t="s">
        <v>122</v>
      </c>
      <c r="BY210" s="4" t="s">
        <v>125</v>
      </c>
      <c r="BZ210" s="4" t="s">
        <v>122</v>
      </c>
      <c r="CA210" s="3">
        <v>7</v>
      </c>
      <c r="CB210" s="3">
        <v>5</v>
      </c>
      <c r="CC210" s="3">
        <v>3</v>
      </c>
      <c r="CD210" s="3">
        <v>0</v>
      </c>
      <c r="CE210" s="4" t="s">
        <v>122</v>
      </c>
      <c r="CF210" s="3">
        <v>2</v>
      </c>
      <c r="CG210" s="4" t="s">
        <v>122</v>
      </c>
      <c r="CH210" s="3">
        <v>5</v>
      </c>
      <c r="CI210" s="4" t="s">
        <v>122</v>
      </c>
      <c r="CJ210" s="4" t="s">
        <v>122</v>
      </c>
      <c r="CK210" s="4" t="s">
        <v>122</v>
      </c>
      <c r="CL210" s="4" t="s">
        <v>122</v>
      </c>
      <c r="CM210" s="4" t="s">
        <v>122</v>
      </c>
      <c r="CN210" s="4" t="s">
        <v>122</v>
      </c>
      <c r="CO210" s="4" t="s">
        <v>125</v>
      </c>
      <c r="CP210" s="4" t="s">
        <v>122</v>
      </c>
      <c r="CQ210" s="4" t="s">
        <v>122</v>
      </c>
      <c r="CR210" s="4" t="s">
        <v>122</v>
      </c>
      <c r="CS210" s="3">
        <v>5</v>
      </c>
      <c r="CT210" s="3">
        <v>6</v>
      </c>
      <c r="CU210" s="42">
        <v>4</v>
      </c>
      <c r="CV210" cm="1">
        <f t="array" ref="CV210">_xlfn.IFS(CU210*1=2,1,CU210*1=4,1,TRUE,0)</f>
        <v>1</v>
      </c>
      <c r="CW210" cm="1">
        <f t="array" ref="CW210">_xlfn.IFS(CU210*1=1,1,CU210*1=2,1,TRUE,0)</f>
        <v>0</v>
      </c>
      <c r="CX210" s="3">
        <f t="shared" si="27"/>
        <v>5</v>
      </c>
      <c r="CY210" s="3">
        <f t="shared" si="28"/>
        <v>0</v>
      </c>
      <c r="CZ210" s="3" cm="1">
        <f t="array" ref="CZ210">_xlfn.IFS(BP210&lt;&gt;"", BP210, CV210=1,  AQ210, CV210=0,  AZ210)</f>
        <v>0</v>
      </c>
      <c r="DA210" s="36" cm="1">
        <f t="array" ref="DA210">_xlfn.IFS(BO210&lt;&gt;"", BO210, CV210=0,  AQ210, CV210=1,  AZ210)</f>
        <v>0</v>
      </c>
      <c r="DB210" s="36">
        <f t="shared" si="29"/>
        <v>0</v>
      </c>
      <c r="DC210" s="3">
        <f t="shared" si="30"/>
        <v>5</v>
      </c>
      <c r="DD210" s="3">
        <f t="shared" si="31"/>
        <v>0</v>
      </c>
      <c r="DE210" s="3">
        <f t="shared" si="32"/>
        <v>0</v>
      </c>
      <c r="DF210" s="3">
        <f t="shared" si="33"/>
        <v>5</v>
      </c>
      <c r="DG210" s="3">
        <f t="shared" si="34"/>
        <v>0</v>
      </c>
    </row>
    <row r="211" spans="1:111" x14ac:dyDescent="0.4">
      <c r="A211">
        <v>202511</v>
      </c>
      <c r="B211">
        <v>123</v>
      </c>
      <c r="C211" s="1">
        <v>45969.381030092591</v>
      </c>
      <c r="D211" s="1">
        <v>45969.385428240741</v>
      </c>
      <c r="E211">
        <v>0</v>
      </c>
      <c r="F211" s="2" t="s">
        <v>127</v>
      </c>
      <c r="G211">
        <v>100</v>
      </c>
      <c r="H211">
        <v>380</v>
      </c>
      <c r="I211">
        <v>1</v>
      </c>
      <c r="J211" s="1">
        <v>45969.385437349534</v>
      </c>
      <c r="K211" s="2" t="s">
        <v>128</v>
      </c>
      <c r="L211" s="2" t="s">
        <v>122</v>
      </c>
      <c r="M211" s="2" t="s">
        <v>122</v>
      </c>
      <c r="N211" s="2" t="s">
        <v>122</v>
      </c>
      <c r="O211" s="2" t="s">
        <v>122</v>
      </c>
      <c r="P211">
        <v>32.250300000000003</v>
      </c>
      <c r="Q211">
        <v>-110.94499999999999</v>
      </c>
      <c r="R211" s="2" t="s">
        <v>129</v>
      </c>
      <c r="S211" s="2" t="s">
        <v>124</v>
      </c>
      <c r="T211">
        <v>4</v>
      </c>
      <c r="U211">
        <v>1</v>
      </c>
      <c r="V211">
        <v>2</v>
      </c>
      <c r="W211">
        <v>2</v>
      </c>
      <c r="X211">
        <v>1</v>
      </c>
      <c r="Y211">
        <v>2</v>
      </c>
      <c r="Z211">
        <v>1</v>
      </c>
      <c r="AA211">
        <v>1</v>
      </c>
      <c r="AB211" s="2" t="s">
        <v>122</v>
      </c>
      <c r="AC211" s="2" t="s">
        <v>122</v>
      </c>
      <c r="AD211" s="2" t="s">
        <v>122</v>
      </c>
      <c r="AE211" s="2" t="s">
        <v>122</v>
      </c>
      <c r="AF211" s="2" t="s">
        <v>122</v>
      </c>
      <c r="AG211">
        <v>2</v>
      </c>
      <c r="AH211">
        <v>6</v>
      </c>
      <c r="AI211">
        <v>2</v>
      </c>
      <c r="AJ211">
        <v>4</v>
      </c>
      <c r="AK211">
        <v>7</v>
      </c>
      <c r="AL211">
        <v>7</v>
      </c>
      <c r="AM211">
        <v>3</v>
      </c>
      <c r="AN211">
        <v>7</v>
      </c>
      <c r="AO211">
        <v>2</v>
      </c>
      <c r="AP211">
        <v>1</v>
      </c>
      <c r="AQ211" s="2" t="s">
        <v>122</v>
      </c>
      <c r="AR211" s="2" t="s">
        <v>122</v>
      </c>
      <c r="AS211">
        <v>4</v>
      </c>
      <c r="AT211">
        <v>8</v>
      </c>
      <c r="AU211">
        <v>5</v>
      </c>
      <c r="AV211">
        <v>3</v>
      </c>
      <c r="AW211">
        <v>6</v>
      </c>
      <c r="AX211">
        <v>3</v>
      </c>
      <c r="AY211">
        <v>3</v>
      </c>
      <c r="AZ211" s="2" t="s">
        <v>122</v>
      </c>
      <c r="BA211" s="2" t="s">
        <v>122</v>
      </c>
      <c r="BB211" s="2" t="s">
        <v>122</v>
      </c>
      <c r="BC211" s="2" t="s">
        <v>122</v>
      </c>
      <c r="BD211" s="2" t="s">
        <v>122</v>
      </c>
      <c r="BE211" s="2" t="s">
        <v>122</v>
      </c>
      <c r="BF211" s="2" t="s">
        <v>122</v>
      </c>
      <c r="BG211" s="2" t="s">
        <v>122</v>
      </c>
      <c r="BH211" s="2" t="s">
        <v>122</v>
      </c>
      <c r="BI211" s="2" t="s">
        <v>122</v>
      </c>
      <c r="BJ211" s="2" t="s">
        <v>122</v>
      </c>
      <c r="BK211" s="2" t="s">
        <v>122</v>
      </c>
      <c r="BL211" s="2" t="s">
        <v>122</v>
      </c>
      <c r="BM211" s="2" t="s">
        <v>122</v>
      </c>
      <c r="BN211" s="2" t="s">
        <v>122</v>
      </c>
      <c r="BO211">
        <v>6</v>
      </c>
      <c r="BP211">
        <v>6</v>
      </c>
      <c r="BQ211">
        <v>2</v>
      </c>
      <c r="BR211" s="2" t="s">
        <v>122</v>
      </c>
      <c r="BS211" s="2" t="s">
        <v>125</v>
      </c>
      <c r="BT211" s="2" t="s">
        <v>122</v>
      </c>
      <c r="BU211" s="2" t="s">
        <v>122</v>
      </c>
      <c r="BV211" s="2" t="s">
        <v>122</v>
      </c>
      <c r="BW211" s="2" t="s">
        <v>122</v>
      </c>
      <c r="BX211" s="2" t="s">
        <v>122</v>
      </c>
      <c r="BY211" s="2" t="s">
        <v>125</v>
      </c>
      <c r="BZ211" s="2" t="s">
        <v>122</v>
      </c>
      <c r="CA211">
        <v>7</v>
      </c>
      <c r="CB211">
        <v>4.5</v>
      </c>
      <c r="CC211">
        <v>2</v>
      </c>
      <c r="CD211">
        <v>4.5</v>
      </c>
      <c r="CE211">
        <v>2</v>
      </c>
      <c r="CF211">
        <v>2</v>
      </c>
      <c r="CG211" s="2" t="s">
        <v>122</v>
      </c>
      <c r="CH211">
        <v>2.2999999999999998</v>
      </c>
      <c r="CI211" s="2" t="s">
        <v>122</v>
      </c>
      <c r="CJ211" s="2" t="s">
        <v>122</v>
      </c>
      <c r="CK211" s="2" t="s">
        <v>122</v>
      </c>
      <c r="CL211" s="2" t="s">
        <v>122</v>
      </c>
      <c r="CM211" s="2" t="s">
        <v>122</v>
      </c>
      <c r="CN211" s="2" t="s">
        <v>122</v>
      </c>
      <c r="CO211" s="2" t="s">
        <v>125</v>
      </c>
      <c r="CP211" s="2" t="s">
        <v>122</v>
      </c>
      <c r="CQ211" s="2" t="s">
        <v>122</v>
      </c>
      <c r="CR211" s="2" t="s">
        <v>122</v>
      </c>
      <c r="CS211">
        <v>2</v>
      </c>
      <c r="CT211">
        <v>-999</v>
      </c>
      <c r="CU211" s="43">
        <v>3</v>
      </c>
      <c r="CV211" cm="1">
        <f t="array" ref="CV211">_xlfn.IFS(CU211*1=2,1,CU211*1=4,1,TRUE,0)</f>
        <v>0</v>
      </c>
      <c r="CW211" cm="1">
        <f t="array" ref="CW211">_xlfn.IFS(CU211*1=1,1,CU211*1=2,1,TRUE,0)</f>
        <v>0</v>
      </c>
      <c r="CX211" s="3">
        <f t="shared" si="27"/>
        <v>4.5</v>
      </c>
      <c r="CY211" s="3">
        <f t="shared" si="28"/>
        <v>4.5</v>
      </c>
      <c r="CZ211" s="3" cm="1">
        <f t="array" ref="CZ211">_xlfn.IFS(BP211&lt;&gt;"", BP211, CV211=1,  AQ211, CV211=0,  AZ211)</f>
        <v>6</v>
      </c>
      <c r="DA211" s="36" cm="1">
        <f t="array" ref="DA211">_xlfn.IFS(BO211&lt;&gt;"", BO211, CV211=0,  AQ211, CV211=1,  AZ211)</f>
        <v>6</v>
      </c>
      <c r="DB211" s="36">
        <f t="shared" si="29"/>
        <v>-1.5</v>
      </c>
      <c r="DC211" s="3">
        <f t="shared" si="30"/>
        <v>-1.5</v>
      </c>
      <c r="DD211" s="3">
        <f t="shared" si="31"/>
        <v>-1.5</v>
      </c>
      <c r="DE211" s="3">
        <f t="shared" si="32"/>
        <v>0</v>
      </c>
      <c r="DF211" s="3">
        <f t="shared" si="33"/>
        <v>-1.5</v>
      </c>
      <c r="DG211" s="3">
        <f t="shared" si="34"/>
        <v>0</v>
      </c>
    </row>
    <row r="212" spans="1:111" x14ac:dyDescent="0.4">
      <c r="A212">
        <v>202511</v>
      </c>
      <c r="B212">
        <v>456</v>
      </c>
      <c r="C212" s="5">
        <v>45969.381157407406</v>
      </c>
      <c r="D212" s="5">
        <v>45969.387708333335</v>
      </c>
      <c r="E212" s="3">
        <v>0</v>
      </c>
      <c r="F212" s="4" t="s">
        <v>383</v>
      </c>
      <c r="G212" s="3">
        <v>100</v>
      </c>
      <c r="H212" s="3">
        <v>566</v>
      </c>
      <c r="I212" s="3">
        <v>1</v>
      </c>
      <c r="J212" s="5">
        <v>45969.387720833336</v>
      </c>
      <c r="K212" s="4" t="s">
        <v>382</v>
      </c>
      <c r="L212" s="4" t="s">
        <v>122</v>
      </c>
      <c r="M212" s="4" t="s">
        <v>122</v>
      </c>
      <c r="N212" s="4" t="s">
        <v>122</v>
      </c>
      <c r="O212" s="4" t="s">
        <v>122</v>
      </c>
      <c r="P212" s="3">
        <v>36.203800000000001</v>
      </c>
      <c r="Q212" s="3">
        <v>-115.2255</v>
      </c>
      <c r="R212" s="4" t="s">
        <v>129</v>
      </c>
      <c r="S212" s="4" t="s">
        <v>124</v>
      </c>
      <c r="T212" s="3">
        <v>4</v>
      </c>
      <c r="U212" s="3">
        <v>1</v>
      </c>
      <c r="V212" s="3">
        <v>5</v>
      </c>
      <c r="W212" s="3">
        <v>4</v>
      </c>
      <c r="X212" s="3">
        <v>3</v>
      </c>
      <c r="Y212" s="3">
        <v>3</v>
      </c>
      <c r="Z212" s="3">
        <v>2</v>
      </c>
      <c r="AA212" s="3">
        <v>3</v>
      </c>
      <c r="AB212" s="4" t="s">
        <v>122</v>
      </c>
      <c r="AC212" s="4" t="s">
        <v>125</v>
      </c>
      <c r="AD212" s="4" t="s">
        <v>125</v>
      </c>
      <c r="AE212" s="4" t="s">
        <v>122</v>
      </c>
      <c r="AF212" s="4" t="s">
        <v>125</v>
      </c>
      <c r="AG212" s="3">
        <v>2</v>
      </c>
      <c r="AH212" s="3">
        <v>4.5</v>
      </c>
      <c r="AI212" s="3">
        <v>3</v>
      </c>
      <c r="AJ212" s="3">
        <v>7</v>
      </c>
      <c r="AK212" s="3">
        <v>7</v>
      </c>
      <c r="AL212" s="3">
        <v>5</v>
      </c>
      <c r="AM212" s="3">
        <v>7</v>
      </c>
      <c r="AN212" s="3">
        <v>7</v>
      </c>
      <c r="AO212" s="3">
        <v>2</v>
      </c>
      <c r="AP212" s="3">
        <v>3</v>
      </c>
      <c r="AQ212" s="3">
        <v>4.5</v>
      </c>
      <c r="AR212" s="3">
        <v>3</v>
      </c>
      <c r="AS212" s="3">
        <v>4</v>
      </c>
      <c r="AT212" s="3">
        <v>4</v>
      </c>
      <c r="AU212" s="3">
        <v>5</v>
      </c>
      <c r="AV212" s="3">
        <v>5</v>
      </c>
      <c r="AW212" s="3">
        <v>4</v>
      </c>
      <c r="AX212" s="3">
        <v>1</v>
      </c>
      <c r="AY212" s="3">
        <v>1</v>
      </c>
      <c r="AZ212" s="3">
        <v>5.5</v>
      </c>
      <c r="BA212" s="3">
        <v>3</v>
      </c>
      <c r="BB212" s="3">
        <v>5</v>
      </c>
      <c r="BC212" s="3">
        <v>5.5</v>
      </c>
      <c r="BD212" s="3">
        <v>3</v>
      </c>
      <c r="BE212" s="4" t="s">
        <v>125</v>
      </c>
      <c r="BF212" s="4" t="s">
        <v>125</v>
      </c>
      <c r="BG212" s="4" t="s">
        <v>125</v>
      </c>
      <c r="BH212" s="4" t="s">
        <v>122</v>
      </c>
      <c r="BI212" s="4" t="s">
        <v>125</v>
      </c>
      <c r="BJ212" s="4" t="s">
        <v>122</v>
      </c>
      <c r="BK212" s="4" t="s">
        <v>122</v>
      </c>
      <c r="BL212" s="4" t="s">
        <v>122</v>
      </c>
      <c r="BM212" s="4" t="s">
        <v>122</v>
      </c>
      <c r="BN212" s="3">
        <v>2</v>
      </c>
      <c r="BO212" s="4" t="s">
        <v>122</v>
      </c>
      <c r="BP212" s="4" t="s">
        <v>122</v>
      </c>
      <c r="BQ212" s="4" t="s">
        <v>122</v>
      </c>
      <c r="BR212" s="4" t="s">
        <v>122</v>
      </c>
      <c r="BS212" s="4" t="s">
        <v>122</v>
      </c>
      <c r="BT212" s="4" t="s">
        <v>122</v>
      </c>
      <c r="BU212" s="4" t="s">
        <v>122</v>
      </c>
      <c r="BV212" s="4" t="s">
        <v>122</v>
      </c>
      <c r="BW212" s="4" t="s">
        <v>122</v>
      </c>
      <c r="BX212" s="4" t="s">
        <v>122</v>
      </c>
      <c r="BY212" s="4" t="s">
        <v>122</v>
      </c>
      <c r="BZ212" s="4" t="s">
        <v>122</v>
      </c>
      <c r="CA212" s="4" t="s">
        <v>122</v>
      </c>
      <c r="CB212" s="4" t="s">
        <v>122</v>
      </c>
      <c r="CC212" s="4" t="s">
        <v>122</v>
      </c>
      <c r="CD212" s="4" t="s">
        <v>122</v>
      </c>
      <c r="CE212" s="4" t="s">
        <v>122</v>
      </c>
      <c r="CF212" s="3">
        <v>1</v>
      </c>
      <c r="CG212" s="4" t="s">
        <v>122</v>
      </c>
      <c r="CH212" s="3">
        <v>6</v>
      </c>
      <c r="CI212" s="4" t="s">
        <v>122</v>
      </c>
      <c r="CJ212" s="4" t="s">
        <v>122</v>
      </c>
      <c r="CK212" s="4" t="s">
        <v>122</v>
      </c>
      <c r="CL212" s="4" t="s">
        <v>122</v>
      </c>
      <c r="CM212" s="4" t="s">
        <v>122</v>
      </c>
      <c r="CN212" s="4" t="s">
        <v>122</v>
      </c>
      <c r="CO212" s="4" t="s">
        <v>125</v>
      </c>
      <c r="CP212" s="4" t="s">
        <v>122</v>
      </c>
      <c r="CQ212" s="4" t="s">
        <v>122</v>
      </c>
      <c r="CR212" s="4" t="s">
        <v>122</v>
      </c>
      <c r="CS212" s="3">
        <v>4</v>
      </c>
      <c r="CT212" s="3">
        <v>6</v>
      </c>
      <c r="CU212" s="42">
        <v>2</v>
      </c>
      <c r="CV212" cm="1">
        <f t="array" ref="CV212">_xlfn.IFS(CU212*1=2,1,CU212*1=4,1,TRUE,0)</f>
        <v>1</v>
      </c>
      <c r="CW212" cm="1">
        <f t="array" ref="CW212">_xlfn.IFS(CU212*1=1,1,CU212*1=2,1,TRUE,0)</f>
        <v>1</v>
      </c>
      <c r="CX212" s="3">
        <f t="shared" si="27"/>
        <v>5</v>
      </c>
      <c r="CY212" s="3">
        <f t="shared" si="28"/>
        <v>5.5</v>
      </c>
      <c r="CZ212" s="3" cm="1">
        <f t="array" ref="CZ212">_xlfn.IFS(BP212&lt;&gt;"", BP212, CV212=1,  AQ212, CV212=0,  AZ212)</f>
        <v>4.5</v>
      </c>
      <c r="DA212" s="36" cm="1">
        <f t="array" ref="DA212">_xlfn.IFS(BO212&lt;&gt;"", BO212, CV212=0,  AQ212, CV212=1,  AZ212)</f>
        <v>5.5</v>
      </c>
      <c r="DB212" s="36">
        <f t="shared" si="29"/>
        <v>1</v>
      </c>
      <c r="DC212" s="3">
        <f t="shared" si="30"/>
        <v>0.5</v>
      </c>
      <c r="DD212" s="3">
        <f t="shared" si="31"/>
        <v>0</v>
      </c>
      <c r="DE212" s="3">
        <f t="shared" si="32"/>
        <v>1</v>
      </c>
      <c r="DF212" s="3">
        <f t="shared" si="33"/>
        <v>1</v>
      </c>
      <c r="DG212" s="3">
        <f t="shared" si="34"/>
        <v>0.5</v>
      </c>
    </row>
    <row r="213" spans="1:111" x14ac:dyDescent="0.4">
      <c r="A213">
        <v>202511</v>
      </c>
      <c r="B213">
        <v>123</v>
      </c>
      <c r="C213" s="1">
        <v>45969.383368055554</v>
      </c>
      <c r="D213" s="1">
        <v>45969.387546296297</v>
      </c>
      <c r="E213">
        <v>0</v>
      </c>
      <c r="F213" s="2" t="s">
        <v>134</v>
      </c>
      <c r="G213">
        <v>100</v>
      </c>
      <c r="H213">
        <v>360</v>
      </c>
      <c r="I213">
        <v>1</v>
      </c>
      <c r="J213" s="1">
        <v>45969.387554560184</v>
      </c>
      <c r="K213" s="2" t="s">
        <v>135</v>
      </c>
      <c r="L213" s="2" t="s">
        <v>122</v>
      </c>
      <c r="M213" s="2" t="s">
        <v>122</v>
      </c>
      <c r="N213" s="2" t="s">
        <v>122</v>
      </c>
      <c r="O213" s="2" t="s">
        <v>122</v>
      </c>
      <c r="P213">
        <v>33.591000000000001</v>
      </c>
      <c r="Q213">
        <v>-112.12090000000001</v>
      </c>
      <c r="R213" s="2" t="s">
        <v>129</v>
      </c>
      <c r="S213" s="2" t="s">
        <v>124</v>
      </c>
      <c r="T213">
        <v>4</v>
      </c>
      <c r="U213">
        <v>1</v>
      </c>
      <c r="V213">
        <v>2</v>
      </c>
      <c r="W213">
        <v>2</v>
      </c>
      <c r="X213">
        <v>2</v>
      </c>
      <c r="Y213">
        <v>3</v>
      </c>
      <c r="Z213">
        <v>1</v>
      </c>
      <c r="AA213">
        <v>1</v>
      </c>
      <c r="AB213" s="2" t="s">
        <v>122</v>
      </c>
      <c r="AC213" s="2" t="s">
        <v>125</v>
      </c>
      <c r="AD213" s="2" t="s">
        <v>122</v>
      </c>
      <c r="AE213" s="2" t="s">
        <v>122</v>
      </c>
      <c r="AF213" s="2" t="s">
        <v>122</v>
      </c>
      <c r="AG213">
        <v>2</v>
      </c>
      <c r="AH213">
        <v>6</v>
      </c>
      <c r="AI213">
        <v>3</v>
      </c>
      <c r="AJ213">
        <v>7</v>
      </c>
      <c r="AK213">
        <v>8</v>
      </c>
      <c r="AL213">
        <v>5</v>
      </c>
      <c r="AM213">
        <v>8</v>
      </c>
      <c r="AN213">
        <v>8</v>
      </c>
      <c r="AO213">
        <v>3</v>
      </c>
      <c r="AP213">
        <v>2</v>
      </c>
      <c r="AQ213">
        <v>6</v>
      </c>
      <c r="AR213">
        <v>3</v>
      </c>
      <c r="AS213">
        <v>9</v>
      </c>
      <c r="AT213">
        <v>9</v>
      </c>
      <c r="AU213">
        <v>7</v>
      </c>
      <c r="AV213">
        <v>9</v>
      </c>
      <c r="AW213">
        <v>8</v>
      </c>
      <c r="AX213">
        <v>3</v>
      </c>
      <c r="AY213">
        <v>2</v>
      </c>
      <c r="AZ213">
        <v>6</v>
      </c>
      <c r="BA213">
        <v>3</v>
      </c>
      <c r="BB213">
        <v>6</v>
      </c>
      <c r="BC213">
        <v>7</v>
      </c>
      <c r="BD213">
        <v>3</v>
      </c>
      <c r="BE213" s="2" t="s">
        <v>125</v>
      </c>
      <c r="BF213" s="2" t="s">
        <v>122</v>
      </c>
      <c r="BG213" s="2" t="s">
        <v>122</v>
      </c>
      <c r="BH213" s="2" t="s">
        <v>122</v>
      </c>
      <c r="BI213" s="2" t="s">
        <v>122</v>
      </c>
      <c r="BJ213" s="2" t="s">
        <v>122</v>
      </c>
      <c r="BK213" s="2" t="s">
        <v>122</v>
      </c>
      <c r="BL213" s="2" t="s">
        <v>122</v>
      </c>
      <c r="BM213" s="2" t="s">
        <v>122</v>
      </c>
      <c r="BN213" s="2" t="s">
        <v>122</v>
      </c>
      <c r="BO213" s="2" t="s">
        <v>122</v>
      </c>
      <c r="BP213" s="2" t="s">
        <v>122</v>
      </c>
      <c r="BQ213" s="2" t="s">
        <v>122</v>
      </c>
      <c r="BR213" s="2" t="s">
        <v>122</v>
      </c>
      <c r="BS213" s="2" t="s">
        <v>122</v>
      </c>
      <c r="BT213" s="2" t="s">
        <v>122</v>
      </c>
      <c r="BU213" s="2" t="s">
        <v>122</v>
      </c>
      <c r="BV213" s="2" t="s">
        <v>122</v>
      </c>
      <c r="BW213" s="2" t="s">
        <v>122</v>
      </c>
      <c r="BX213" s="2" t="s">
        <v>122</v>
      </c>
      <c r="BY213" s="2" t="s">
        <v>122</v>
      </c>
      <c r="BZ213" s="2" t="s">
        <v>122</v>
      </c>
      <c r="CA213" s="2" t="s">
        <v>122</v>
      </c>
      <c r="CB213" s="2" t="s">
        <v>122</v>
      </c>
      <c r="CC213" s="2" t="s">
        <v>122</v>
      </c>
      <c r="CD213" s="2" t="s">
        <v>122</v>
      </c>
      <c r="CE213" s="2" t="s">
        <v>122</v>
      </c>
      <c r="CF213">
        <v>1</v>
      </c>
      <c r="CG213" s="2" t="s">
        <v>122</v>
      </c>
      <c r="CH213">
        <v>3</v>
      </c>
      <c r="CI213" s="2" t="s">
        <v>122</v>
      </c>
      <c r="CJ213" s="2" t="s">
        <v>122</v>
      </c>
      <c r="CK213" s="2" t="s">
        <v>122</v>
      </c>
      <c r="CL213" s="2" t="s">
        <v>122</v>
      </c>
      <c r="CM213" s="2" t="s">
        <v>122</v>
      </c>
      <c r="CN213" s="2" t="s">
        <v>122</v>
      </c>
      <c r="CO213" s="2" t="s">
        <v>125</v>
      </c>
      <c r="CP213" s="2" t="s">
        <v>122</v>
      </c>
      <c r="CQ213" s="2" t="s">
        <v>122</v>
      </c>
      <c r="CR213" s="2" t="s">
        <v>122</v>
      </c>
      <c r="CS213">
        <v>5</v>
      </c>
      <c r="CT213">
        <v>5</v>
      </c>
      <c r="CU213" s="43">
        <v>1</v>
      </c>
      <c r="CV213" cm="1">
        <f t="array" ref="CV213">_xlfn.IFS(CU213*1=2,1,CU213*1=4,1,TRUE,0)</f>
        <v>0</v>
      </c>
      <c r="CW213" cm="1">
        <f t="array" ref="CW213">_xlfn.IFS(CU213*1=1,1,CU213*1=2,1,TRUE,0)</f>
        <v>1</v>
      </c>
      <c r="CX213" s="3">
        <f t="shared" si="27"/>
        <v>6</v>
      </c>
      <c r="CY213" s="3">
        <f t="shared" si="28"/>
        <v>7</v>
      </c>
      <c r="CZ213" s="3" cm="1">
        <f t="array" ref="CZ213">_xlfn.IFS(BP213&lt;&gt;"", BP213, CV213=1,  AQ213, CV213=0,  AZ213)</f>
        <v>6</v>
      </c>
      <c r="DA213" s="36" cm="1">
        <f t="array" ref="DA213">_xlfn.IFS(BO213&lt;&gt;"", BO213, CV213=0,  AQ213, CV213=1,  AZ213)</f>
        <v>6</v>
      </c>
      <c r="DB213" s="36">
        <f t="shared" si="29"/>
        <v>1</v>
      </c>
      <c r="DC213" s="3">
        <f t="shared" si="30"/>
        <v>0</v>
      </c>
      <c r="DD213" s="3">
        <f t="shared" si="31"/>
        <v>0</v>
      </c>
      <c r="DE213" s="3">
        <f t="shared" si="32"/>
        <v>1</v>
      </c>
      <c r="DF213" s="3">
        <f t="shared" si="33"/>
        <v>0</v>
      </c>
      <c r="DG213" s="3">
        <f t="shared" si="34"/>
        <v>0</v>
      </c>
    </row>
    <row r="214" spans="1:111" x14ac:dyDescent="0.4">
      <c r="A214">
        <v>202511</v>
      </c>
      <c r="B214">
        <v>123</v>
      </c>
      <c r="C214" s="1">
        <v>45969.388506944444</v>
      </c>
      <c r="D214" s="1">
        <v>45969.393043981479</v>
      </c>
      <c r="E214">
        <v>0</v>
      </c>
      <c r="F214" s="2" t="s">
        <v>136</v>
      </c>
      <c r="G214">
        <v>100</v>
      </c>
      <c r="H214">
        <v>391</v>
      </c>
      <c r="I214">
        <v>1</v>
      </c>
      <c r="J214" s="1">
        <v>45969.393050069448</v>
      </c>
      <c r="K214" s="2" t="s">
        <v>137</v>
      </c>
      <c r="L214" s="2" t="s">
        <v>122</v>
      </c>
      <c r="M214" s="2" t="s">
        <v>122</v>
      </c>
      <c r="N214" s="2" t="s">
        <v>122</v>
      </c>
      <c r="O214" s="2" t="s">
        <v>122</v>
      </c>
      <c r="P214">
        <v>32.250300000000003</v>
      </c>
      <c r="Q214">
        <v>-110.94499999999999</v>
      </c>
      <c r="R214" s="2" t="s">
        <v>129</v>
      </c>
      <c r="S214" s="2" t="s">
        <v>124</v>
      </c>
      <c r="T214">
        <v>4</v>
      </c>
      <c r="U214">
        <v>1</v>
      </c>
      <c r="V214">
        <v>4</v>
      </c>
      <c r="W214">
        <v>4</v>
      </c>
      <c r="X214">
        <v>2</v>
      </c>
      <c r="Y214">
        <v>3</v>
      </c>
      <c r="Z214">
        <v>2</v>
      </c>
      <c r="AA214">
        <v>3</v>
      </c>
      <c r="AB214" s="2" t="s">
        <v>122</v>
      </c>
      <c r="AC214" s="2" t="s">
        <v>125</v>
      </c>
      <c r="AD214" s="2" t="s">
        <v>122</v>
      </c>
      <c r="AE214" s="2" t="s">
        <v>122</v>
      </c>
      <c r="AF214" s="2" t="s">
        <v>122</v>
      </c>
      <c r="AG214">
        <v>2</v>
      </c>
      <c r="AH214">
        <v>7.5</v>
      </c>
      <c r="AI214">
        <v>3</v>
      </c>
      <c r="AJ214">
        <v>6</v>
      </c>
      <c r="AK214">
        <v>8</v>
      </c>
      <c r="AL214">
        <v>9</v>
      </c>
      <c r="AM214">
        <v>8</v>
      </c>
      <c r="AN214">
        <v>8</v>
      </c>
      <c r="AO214">
        <v>3</v>
      </c>
      <c r="AP214">
        <v>3</v>
      </c>
      <c r="AQ214">
        <v>8</v>
      </c>
      <c r="AR214">
        <v>3</v>
      </c>
      <c r="AS214">
        <v>8</v>
      </c>
      <c r="AT214">
        <v>9</v>
      </c>
      <c r="AU214">
        <v>9</v>
      </c>
      <c r="AV214">
        <v>9</v>
      </c>
      <c r="AW214">
        <v>8</v>
      </c>
      <c r="AX214">
        <v>3</v>
      </c>
      <c r="AY214">
        <v>3</v>
      </c>
      <c r="AZ214">
        <v>8</v>
      </c>
      <c r="BA214">
        <v>3</v>
      </c>
      <c r="BB214">
        <v>8</v>
      </c>
      <c r="BC214">
        <v>7.5</v>
      </c>
      <c r="BD214">
        <v>3</v>
      </c>
      <c r="BE214" s="2" t="s">
        <v>125</v>
      </c>
      <c r="BF214" s="2" t="s">
        <v>125</v>
      </c>
      <c r="BG214" s="2" t="s">
        <v>122</v>
      </c>
      <c r="BH214" s="2" t="s">
        <v>122</v>
      </c>
      <c r="BI214" s="2" t="s">
        <v>122</v>
      </c>
      <c r="BJ214" s="2" t="s">
        <v>122</v>
      </c>
      <c r="BK214" s="2" t="s">
        <v>122</v>
      </c>
      <c r="BL214" s="2" t="s">
        <v>122</v>
      </c>
      <c r="BM214" s="2" t="s">
        <v>122</v>
      </c>
      <c r="BN214">
        <v>1</v>
      </c>
      <c r="BO214" s="2" t="s">
        <v>122</v>
      </c>
      <c r="BP214" s="2" t="s">
        <v>122</v>
      </c>
      <c r="BQ214" s="2" t="s">
        <v>122</v>
      </c>
      <c r="BR214" s="2" t="s">
        <v>122</v>
      </c>
      <c r="BS214" s="2" t="s">
        <v>122</v>
      </c>
      <c r="BT214" s="2" t="s">
        <v>122</v>
      </c>
      <c r="BU214" s="2" t="s">
        <v>122</v>
      </c>
      <c r="BV214" s="2" t="s">
        <v>122</v>
      </c>
      <c r="BW214" s="2" t="s">
        <v>122</v>
      </c>
      <c r="BX214" s="2" t="s">
        <v>122</v>
      </c>
      <c r="BY214" s="2" t="s">
        <v>122</v>
      </c>
      <c r="BZ214" s="2" t="s">
        <v>122</v>
      </c>
      <c r="CA214" s="2" t="s">
        <v>122</v>
      </c>
      <c r="CB214" s="2" t="s">
        <v>122</v>
      </c>
      <c r="CC214" s="2" t="s">
        <v>122</v>
      </c>
      <c r="CD214" s="2" t="s">
        <v>122</v>
      </c>
      <c r="CE214" s="2" t="s">
        <v>122</v>
      </c>
      <c r="CF214">
        <v>1</v>
      </c>
      <c r="CG214" s="2" t="s">
        <v>122</v>
      </c>
      <c r="CH214">
        <v>5</v>
      </c>
      <c r="CI214" s="2" t="s">
        <v>122</v>
      </c>
      <c r="CJ214" s="2" t="s">
        <v>122</v>
      </c>
      <c r="CK214" s="2" t="s">
        <v>122</v>
      </c>
      <c r="CL214" s="2" t="s">
        <v>122</v>
      </c>
      <c r="CM214" s="2" t="s">
        <v>122</v>
      </c>
      <c r="CN214" s="2" t="s">
        <v>122</v>
      </c>
      <c r="CO214" s="2" t="s">
        <v>125</v>
      </c>
      <c r="CP214" s="2" t="s">
        <v>122</v>
      </c>
      <c r="CQ214" s="2" t="s">
        <v>122</v>
      </c>
      <c r="CR214" s="2" t="s">
        <v>122</v>
      </c>
      <c r="CS214">
        <v>5</v>
      </c>
      <c r="CT214">
        <v>6</v>
      </c>
      <c r="CU214" s="43">
        <v>1</v>
      </c>
      <c r="CV214" cm="1">
        <f t="array" ref="CV214">_xlfn.IFS(CU214*1=2,1,CU214*1=4,1,TRUE,0)</f>
        <v>0</v>
      </c>
      <c r="CW214" cm="1">
        <f t="array" ref="CW214">_xlfn.IFS(CU214*1=1,1,CU214*1=2,1,TRUE,0)</f>
        <v>1</v>
      </c>
      <c r="CX214" s="3">
        <f t="shared" si="27"/>
        <v>8</v>
      </c>
      <c r="CY214" s="3">
        <f t="shared" si="28"/>
        <v>7.5</v>
      </c>
      <c r="CZ214" s="3" cm="1">
        <f t="array" ref="CZ214">_xlfn.IFS(BP214&lt;&gt;"", BP214, CV214=1,  AQ214, CV214=0,  AZ214)</f>
        <v>8</v>
      </c>
      <c r="DA214" s="36" cm="1">
        <f t="array" ref="DA214">_xlfn.IFS(BO214&lt;&gt;"", BO214, CV214=0,  AQ214, CV214=1,  AZ214)</f>
        <v>8</v>
      </c>
      <c r="DB214" s="36">
        <f t="shared" si="29"/>
        <v>0</v>
      </c>
      <c r="DC214" s="3">
        <f t="shared" si="30"/>
        <v>0.5</v>
      </c>
      <c r="DD214" s="3">
        <f t="shared" si="31"/>
        <v>0.5</v>
      </c>
      <c r="DE214" s="3">
        <f t="shared" si="32"/>
        <v>0</v>
      </c>
      <c r="DF214" s="3">
        <f t="shared" si="33"/>
        <v>0.5</v>
      </c>
      <c r="DG214" s="3">
        <f t="shared" si="34"/>
        <v>0.5</v>
      </c>
    </row>
    <row r="215" spans="1:111" x14ac:dyDescent="0.4">
      <c r="A215">
        <v>202511</v>
      </c>
      <c r="B215">
        <v>456</v>
      </c>
      <c r="C215" s="5">
        <v>45969.388773148145</v>
      </c>
      <c r="D215" s="5">
        <v>45969.392442129632</v>
      </c>
      <c r="E215" s="3">
        <v>0</v>
      </c>
      <c r="F215" s="4" t="s">
        <v>381</v>
      </c>
      <c r="G215" s="3">
        <v>100</v>
      </c>
      <c r="H215" s="3">
        <v>317</v>
      </c>
      <c r="I215" s="3">
        <v>1</v>
      </c>
      <c r="J215" s="5">
        <v>45969.392458958333</v>
      </c>
      <c r="K215" s="4" t="s">
        <v>380</v>
      </c>
      <c r="L215" s="4" t="s">
        <v>122</v>
      </c>
      <c r="M215" s="4" t="s">
        <v>122</v>
      </c>
      <c r="N215" s="4" t="s">
        <v>122</v>
      </c>
      <c r="O215" s="4" t="s">
        <v>122</v>
      </c>
      <c r="P215" s="3">
        <v>32.250300000000003</v>
      </c>
      <c r="Q215" s="3">
        <v>-110.94499999999999</v>
      </c>
      <c r="R215" s="4" t="s">
        <v>129</v>
      </c>
      <c r="S215" s="4" t="s">
        <v>124</v>
      </c>
      <c r="T215" s="3">
        <v>4</v>
      </c>
      <c r="U215" s="3">
        <v>1</v>
      </c>
      <c r="V215" s="3">
        <v>1</v>
      </c>
      <c r="W215" s="3">
        <v>1</v>
      </c>
      <c r="X215" s="3">
        <v>1</v>
      </c>
      <c r="Y215" s="3">
        <v>1</v>
      </c>
      <c r="Z215" s="3">
        <v>1</v>
      </c>
      <c r="AA215" s="3">
        <v>1</v>
      </c>
      <c r="AB215" s="4" t="s">
        <v>122</v>
      </c>
      <c r="AC215" s="4" t="s">
        <v>122</v>
      </c>
      <c r="AD215" s="4" t="s">
        <v>122</v>
      </c>
      <c r="AE215" s="4" t="s">
        <v>122</v>
      </c>
      <c r="AF215" s="4" t="s">
        <v>122</v>
      </c>
      <c r="AG215" s="3">
        <v>1</v>
      </c>
      <c r="AH215" s="3">
        <v>0</v>
      </c>
      <c r="AI215" s="4" t="s">
        <v>122</v>
      </c>
      <c r="AJ215" s="3">
        <v>6</v>
      </c>
      <c r="AK215" s="3">
        <v>7</v>
      </c>
      <c r="AL215" s="3">
        <v>6</v>
      </c>
      <c r="AM215" s="3">
        <v>6</v>
      </c>
      <c r="AN215" s="3">
        <v>6</v>
      </c>
      <c r="AO215" s="3">
        <v>3</v>
      </c>
      <c r="AP215" s="3">
        <v>3</v>
      </c>
      <c r="AQ215" s="4" t="s">
        <v>122</v>
      </c>
      <c r="AR215" s="4" t="s">
        <v>122</v>
      </c>
      <c r="AS215" s="3">
        <v>5</v>
      </c>
      <c r="AT215" s="3">
        <v>5</v>
      </c>
      <c r="AU215" s="3">
        <v>5</v>
      </c>
      <c r="AV215" s="3">
        <v>5</v>
      </c>
      <c r="AW215" s="3">
        <v>5</v>
      </c>
      <c r="AX215" s="3">
        <v>2</v>
      </c>
      <c r="AY215" s="3">
        <v>2</v>
      </c>
      <c r="AZ215" s="4" t="s">
        <v>122</v>
      </c>
      <c r="BA215" s="4" t="s">
        <v>122</v>
      </c>
      <c r="BB215" s="4" t="s">
        <v>122</v>
      </c>
      <c r="BC215" s="4" t="s">
        <v>122</v>
      </c>
      <c r="BD215" s="4" t="s">
        <v>122</v>
      </c>
      <c r="BE215" s="4" t="s">
        <v>122</v>
      </c>
      <c r="BF215" s="4" t="s">
        <v>122</v>
      </c>
      <c r="BG215" s="4" t="s">
        <v>122</v>
      </c>
      <c r="BH215" s="4" t="s">
        <v>122</v>
      </c>
      <c r="BI215" s="4" t="s">
        <v>122</v>
      </c>
      <c r="BJ215" s="4" t="s">
        <v>122</v>
      </c>
      <c r="BK215" s="4" t="s">
        <v>122</v>
      </c>
      <c r="BL215" s="4" t="s">
        <v>122</v>
      </c>
      <c r="BM215" s="4" t="s">
        <v>122</v>
      </c>
      <c r="BN215" s="4" t="s">
        <v>122</v>
      </c>
      <c r="BO215" s="3">
        <v>0</v>
      </c>
      <c r="BP215" s="3">
        <v>0</v>
      </c>
      <c r="BQ215" s="3">
        <v>3</v>
      </c>
      <c r="BR215" s="4" t="s">
        <v>125</v>
      </c>
      <c r="BS215" s="4" t="s">
        <v>122</v>
      </c>
      <c r="BT215" s="4" t="s">
        <v>122</v>
      </c>
      <c r="BU215" s="4" t="s">
        <v>122</v>
      </c>
      <c r="BV215" s="4" t="s">
        <v>125</v>
      </c>
      <c r="BW215" s="4" t="s">
        <v>122</v>
      </c>
      <c r="BX215" s="4" t="s">
        <v>122</v>
      </c>
      <c r="BY215" s="4" t="s">
        <v>122</v>
      </c>
      <c r="BZ215" s="4" t="s">
        <v>122</v>
      </c>
      <c r="CA215" s="3">
        <v>4</v>
      </c>
      <c r="CB215" s="3">
        <v>0</v>
      </c>
      <c r="CC215" s="4" t="s">
        <v>122</v>
      </c>
      <c r="CD215" s="3">
        <v>0</v>
      </c>
      <c r="CE215" s="4" t="s">
        <v>122</v>
      </c>
      <c r="CF215" s="3">
        <v>2</v>
      </c>
      <c r="CG215" s="4" t="s">
        <v>122</v>
      </c>
      <c r="CH215" s="3">
        <v>2.7</v>
      </c>
      <c r="CI215" s="4" t="s">
        <v>122</v>
      </c>
      <c r="CJ215" s="4" t="s">
        <v>122</v>
      </c>
      <c r="CK215" s="4" t="s">
        <v>122</v>
      </c>
      <c r="CL215" s="4" t="s">
        <v>122</v>
      </c>
      <c r="CM215" s="4" t="s">
        <v>122</v>
      </c>
      <c r="CN215" s="4" t="s">
        <v>122</v>
      </c>
      <c r="CO215" s="4" t="s">
        <v>125</v>
      </c>
      <c r="CP215" s="4" t="s">
        <v>122</v>
      </c>
      <c r="CQ215" s="4" t="s">
        <v>122</v>
      </c>
      <c r="CR215" s="4" t="s">
        <v>122</v>
      </c>
      <c r="CS215" s="3">
        <v>3</v>
      </c>
      <c r="CT215" s="3">
        <v>5</v>
      </c>
      <c r="CU215" s="42">
        <v>4</v>
      </c>
      <c r="CV215" cm="1">
        <f t="array" ref="CV215">_xlfn.IFS(CU215*1=2,1,CU215*1=4,1,TRUE,0)</f>
        <v>1</v>
      </c>
      <c r="CW215" cm="1">
        <f t="array" ref="CW215">_xlfn.IFS(CU215*1=1,1,CU215*1=2,1,TRUE,0)</f>
        <v>0</v>
      </c>
      <c r="CX215" s="3">
        <f t="shared" si="27"/>
        <v>0</v>
      </c>
      <c r="CY215" s="3">
        <f t="shared" si="28"/>
        <v>0</v>
      </c>
      <c r="CZ215" s="3" cm="1">
        <f t="array" ref="CZ215">_xlfn.IFS(BP215&lt;&gt;"", BP215, CV215=1,  AQ215, CV215=0,  AZ215)</f>
        <v>0</v>
      </c>
      <c r="DA215" s="36" cm="1">
        <f t="array" ref="DA215">_xlfn.IFS(BO215&lt;&gt;"", BO215, CV215=0,  AQ215, CV215=1,  AZ215)</f>
        <v>0</v>
      </c>
      <c r="DB215" s="36">
        <f t="shared" si="29"/>
        <v>0</v>
      </c>
      <c r="DC215" s="3">
        <f t="shared" si="30"/>
        <v>0</v>
      </c>
      <c r="DD215" s="3">
        <f t="shared" si="31"/>
        <v>0</v>
      </c>
      <c r="DE215" s="3">
        <f t="shared" si="32"/>
        <v>0</v>
      </c>
      <c r="DF215" s="3">
        <f t="shared" si="33"/>
        <v>0</v>
      </c>
      <c r="DG215" s="3">
        <f t="shared" si="34"/>
        <v>0</v>
      </c>
    </row>
    <row r="216" spans="1:111" x14ac:dyDescent="0.4">
      <c r="A216">
        <v>202511</v>
      </c>
      <c r="B216">
        <v>456</v>
      </c>
      <c r="C216" s="5">
        <v>45969.392858796295</v>
      </c>
      <c r="D216" s="5">
        <v>45969.397939814815</v>
      </c>
      <c r="E216" s="3">
        <v>0</v>
      </c>
      <c r="F216" s="4" t="s">
        <v>379</v>
      </c>
      <c r="G216" s="3">
        <v>100</v>
      </c>
      <c r="H216" s="3">
        <v>438</v>
      </c>
      <c r="I216" s="3">
        <v>1</v>
      </c>
      <c r="J216" s="5">
        <v>45969.397950474537</v>
      </c>
      <c r="K216" s="4" t="s">
        <v>378</v>
      </c>
      <c r="L216" s="4" t="s">
        <v>122</v>
      </c>
      <c r="M216" s="4" t="s">
        <v>122</v>
      </c>
      <c r="N216" s="4" t="s">
        <v>122</v>
      </c>
      <c r="O216" s="4" t="s">
        <v>122</v>
      </c>
      <c r="P216" s="3">
        <v>36.128999999999998</v>
      </c>
      <c r="Q216" s="3">
        <v>-115.2765</v>
      </c>
      <c r="R216" s="4" t="s">
        <v>129</v>
      </c>
      <c r="S216" s="4" t="s">
        <v>124</v>
      </c>
      <c r="T216" s="3">
        <v>4</v>
      </c>
      <c r="U216" s="3">
        <v>1</v>
      </c>
      <c r="V216" s="3">
        <v>1</v>
      </c>
      <c r="W216" s="3">
        <v>1</v>
      </c>
      <c r="X216" s="3">
        <v>1</v>
      </c>
      <c r="Y216" s="3">
        <v>3</v>
      </c>
      <c r="Z216" s="3">
        <v>3</v>
      </c>
      <c r="AA216" s="3">
        <v>3</v>
      </c>
      <c r="AB216" s="4" t="s">
        <v>122</v>
      </c>
      <c r="AC216" s="4" t="s">
        <v>122</v>
      </c>
      <c r="AD216" s="4" t="s">
        <v>122</v>
      </c>
      <c r="AE216" s="4" t="s">
        <v>122</v>
      </c>
      <c r="AF216" s="4" t="s">
        <v>122</v>
      </c>
      <c r="AG216" s="3">
        <v>3</v>
      </c>
      <c r="AH216" s="3">
        <v>5</v>
      </c>
      <c r="AI216" s="3">
        <v>2</v>
      </c>
      <c r="AJ216" s="3">
        <v>2</v>
      </c>
      <c r="AK216" s="3">
        <v>9</v>
      </c>
      <c r="AL216" s="3">
        <v>4</v>
      </c>
      <c r="AM216" s="3">
        <v>2</v>
      </c>
      <c r="AN216" s="3">
        <v>7</v>
      </c>
      <c r="AO216" s="3">
        <v>4</v>
      </c>
      <c r="AP216" s="3">
        <v>2</v>
      </c>
      <c r="AQ216" s="4" t="s">
        <v>122</v>
      </c>
      <c r="AR216" s="4" t="s">
        <v>122</v>
      </c>
      <c r="AS216" s="3">
        <v>3</v>
      </c>
      <c r="AT216" s="3">
        <v>9</v>
      </c>
      <c r="AU216" s="3">
        <v>5</v>
      </c>
      <c r="AV216" s="3">
        <v>1</v>
      </c>
      <c r="AW216" s="3">
        <v>7</v>
      </c>
      <c r="AX216" s="3">
        <v>4</v>
      </c>
      <c r="AY216" s="3">
        <v>2</v>
      </c>
      <c r="AZ216" s="4" t="s">
        <v>122</v>
      </c>
      <c r="BA216" s="4" t="s">
        <v>122</v>
      </c>
      <c r="BB216" s="4" t="s">
        <v>122</v>
      </c>
      <c r="BC216" s="4" t="s">
        <v>122</v>
      </c>
      <c r="BD216" s="4" t="s">
        <v>122</v>
      </c>
      <c r="BE216" s="4" t="s">
        <v>122</v>
      </c>
      <c r="BF216" s="4" t="s">
        <v>122</v>
      </c>
      <c r="BG216" s="4" t="s">
        <v>122</v>
      </c>
      <c r="BH216" s="4" t="s">
        <v>122</v>
      </c>
      <c r="BI216" s="4" t="s">
        <v>122</v>
      </c>
      <c r="BJ216" s="4" t="s">
        <v>122</v>
      </c>
      <c r="BK216" s="4" t="s">
        <v>122</v>
      </c>
      <c r="BL216" s="4" t="s">
        <v>122</v>
      </c>
      <c r="BM216" s="4" t="s">
        <v>122</v>
      </c>
      <c r="BN216" s="4" t="s">
        <v>122</v>
      </c>
      <c r="BO216" s="4" t="s">
        <v>122</v>
      </c>
      <c r="BP216" s="3">
        <v>5</v>
      </c>
      <c r="BQ216" s="3">
        <v>2</v>
      </c>
      <c r="BR216" s="4" t="s">
        <v>125</v>
      </c>
      <c r="BS216" s="4" t="s">
        <v>125</v>
      </c>
      <c r="BT216" s="4" t="s">
        <v>122</v>
      </c>
      <c r="BU216" s="4" t="s">
        <v>122</v>
      </c>
      <c r="BV216" s="4" t="s">
        <v>125</v>
      </c>
      <c r="BW216" s="4" t="s">
        <v>122</v>
      </c>
      <c r="BX216" s="4" t="s">
        <v>122</v>
      </c>
      <c r="BY216" s="4" t="s">
        <v>122</v>
      </c>
      <c r="BZ216" s="4" t="s">
        <v>122</v>
      </c>
      <c r="CA216" s="3">
        <v>2</v>
      </c>
      <c r="CB216" s="3">
        <v>6</v>
      </c>
      <c r="CC216" s="3">
        <v>2</v>
      </c>
      <c r="CD216" s="3">
        <v>6</v>
      </c>
      <c r="CE216" s="3">
        <v>2</v>
      </c>
      <c r="CF216" s="3">
        <v>1</v>
      </c>
      <c r="CG216" s="4" t="s">
        <v>122</v>
      </c>
      <c r="CH216" s="3">
        <v>2.2999999999999998</v>
      </c>
      <c r="CI216" s="4" t="s">
        <v>122</v>
      </c>
      <c r="CJ216" s="4" t="s">
        <v>122</v>
      </c>
      <c r="CK216" s="4" t="s">
        <v>122</v>
      </c>
      <c r="CL216" s="4" t="s">
        <v>125</v>
      </c>
      <c r="CM216" s="4" t="s">
        <v>122</v>
      </c>
      <c r="CN216" s="4" t="s">
        <v>122</v>
      </c>
      <c r="CO216" s="4" t="s">
        <v>125</v>
      </c>
      <c r="CP216" s="4" t="s">
        <v>122</v>
      </c>
      <c r="CQ216" s="4" t="s">
        <v>122</v>
      </c>
      <c r="CR216" s="4" t="s">
        <v>122</v>
      </c>
      <c r="CS216" s="3">
        <v>3</v>
      </c>
      <c r="CT216" s="3">
        <v>-999</v>
      </c>
      <c r="CU216" s="42">
        <v>4</v>
      </c>
      <c r="CV216" cm="1">
        <f t="array" ref="CV216">_xlfn.IFS(CU216*1=2,1,CU216*1=4,1,TRUE,0)</f>
        <v>1</v>
      </c>
      <c r="CW216" cm="1">
        <f t="array" ref="CW216">_xlfn.IFS(CU216*1=1,1,CU216*1=2,1,TRUE,0)</f>
        <v>0</v>
      </c>
      <c r="CX216" s="3">
        <f t="shared" si="27"/>
        <v>6</v>
      </c>
      <c r="CY216" s="3">
        <f t="shared" si="28"/>
        <v>6</v>
      </c>
      <c r="CZ216" s="3" cm="1">
        <f t="array" ref="CZ216">_xlfn.IFS(BP216&lt;&gt;"", BP216, CV216=1,  AQ216, CV216=0,  AZ216)</f>
        <v>5</v>
      </c>
      <c r="DA216" s="36" t="str" cm="1">
        <f t="array" ref="DA216">_xlfn.IFS(BO216&lt;&gt;"", BO216, CV216=0,  AQ216, CV216=1,  AZ216)</f>
        <v/>
      </c>
      <c r="DB216" s="36">
        <f t="shared" si="29"/>
        <v>1</v>
      </c>
      <c r="DC216" s="3">
        <f t="shared" si="30"/>
        <v>1</v>
      </c>
      <c r="DD216" s="3">
        <f t="shared" si="31"/>
        <v>1</v>
      </c>
      <c r="DE216" s="3">
        <f t="shared" si="32"/>
        <v>0</v>
      </c>
      <c r="DF216" s="3">
        <f t="shared" si="33"/>
        <v>1</v>
      </c>
      <c r="DG216" s="60"/>
    </row>
    <row r="217" spans="1:111" x14ac:dyDescent="0.4">
      <c r="A217">
        <v>202511</v>
      </c>
      <c r="B217">
        <v>123</v>
      </c>
      <c r="C217" s="1">
        <v>45969.393819444442</v>
      </c>
      <c r="D217" s="1">
        <v>45969.396990740737</v>
      </c>
      <c r="E217">
        <v>0</v>
      </c>
      <c r="F217" s="2" t="s">
        <v>138</v>
      </c>
      <c r="G217">
        <v>100</v>
      </c>
      <c r="H217">
        <v>273</v>
      </c>
      <c r="I217">
        <v>1</v>
      </c>
      <c r="J217" s="1">
        <v>45969.396997025462</v>
      </c>
      <c r="K217" s="2" t="s">
        <v>139</v>
      </c>
      <c r="L217" s="2" t="s">
        <v>122</v>
      </c>
      <c r="M217" s="2" t="s">
        <v>122</v>
      </c>
      <c r="N217" s="2" t="s">
        <v>122</v>
      </c>
      <c r="O217" s="2" t="s">
        <v>122</v>
      </c>
      <c r="P217">
        <v>32.250300000000003</v>
      </c>
      <c r="Q217">
        <v>-110.94499999999999</v>
      </c>
      <c r="R217" s="2" t="s">
        <v>129</v>
      </c>
      <c r="S217" s="2" t="s">
        <v>124</v>
      </c>
      <c r="T217">
        <v>4</v>
      </c>
      <c r="U217">
        <v>1</v>
      </c>
      <c r="V217">
        <v>3</v>
      </c>
      <c r="W217">
        <v>4</v>
      </c>
      <c r="X217">
        <v>1</v>
      </c>
      <c r="Y217">
        <v>1</v>
      </c>
      <c r="Z217">
        <v>1</v>
      </c>
      <c r="AA217">
        <v>1</v>
      </c>
      <c r="AB217" s="2" t="s">
        <v>122</v>
      </c>
      <c r="AC217" s="2" t="s">
        <v>122</v>
      </c>
      <c r="AD217" s="2" t="s">
        <v>122</v>
      </c>
      <c r="AE217" s="2" t="s">
        <v>122</v>
      </c>
      <c r="AF217" s="2" t="s">
        <v>122</v>
      </c>
      <c r="AG217">
        <v>3</v>
      </c>
      <c r="AH217">
        <v>6.5</v>
      </c>
      <c r="AI217">
        <v>3</v>
      </c>
      <c r="AJ217">
        <v>9</v>
      </c>
      <c r="AK217">
        <v>9</v>
      </c>
      <c r="AL217">
        <v>8</v>
      </c>
      <c r="AM217">
        <v>8</v>
      </c>
      <c r="AN217">
        <v>6</v>
      </c>
      <c r="AO217">
        <v>3</v>
      </c>
      <c r="AP217">
        <v>2</v>
      </c>
      <c r="AQ217">
        <v>6.5</v>
      </c>
      <c r="AR217">
        <v>3</v>
      </c>
      <c r="AS217">
        <v>4</v>
      </c>
      <c r="AT217">
        <v>7</v>
      </c>
      <c r="AU217">
        <v>7</v>
      </c>
      <c r="AV217">
        <v>2</v>
      </c>
      <c r="AW217">
        <v>4</v>
      </c>
      <c r="AX217">
        <v>4</v>
      </c>
      <c r="AY217">
        <v>4</v>
      </c>
      <c r="AZ217">
        <v>5</v>
      </c>
      <c r="BA217">
        <v>3</v>
      </c>
      <c r="BB217">
        <v>7</v>
      </c>
      <c r="BC217">
        <v>6.5</v>
      </c>
      <c r="BD217">
        <v>2</v>
      </c>
      <c r="BE217" s="2" t="s">
        <v>125</v>
      </c>
      <c r="BF217" s="2" t="s">
        <v>122</v>
      </c>
      <c r="BG217" s="2" t="s">
        <v>125</v>
      </c>
      <c r="BH217" s="2" t="s">
        <v>122</v>
      </c>
      <c r="BI217" s="2" t="s">
        <v>122</v>
      </c>
      <c r="BJ217" s="2" t="s">
        <v>122</v>
      </c>
      <c r="BK217" s="2" t="s">
        <v>122</v>
      </c>
      <c r="BL217" s="2" t="s">
        <v>122</v>
      </c>
      <c r="BM217" s="2" t="s">
        <v>122</v>
      </c>
      <c r="BN217">
        <v>1</v>
      </c>
      <c r="BO217" s="2" t="s">
        <v>122</v>
      </c>
      <c r="BP217" s="2" t="s">
        <v>122</v>
      </c>
      <c r="BQ217" s="2" t="s">
        <v>122</v>
      </c>
      <c r="BR217" s="2" t="s">
        <v>122</v>
      </c>
      <c r="BS217" s="2" t="s">
        <v>122</v>
      </c>
      <c r="BT217" s="2" t="s">
        <v>122</v>
      </c>
      <c r="BU217" s="2" t="s">
        <v>122</v>
      </c>
      <c r="BV217" s="2" t="s">
        <v>122</v>
      </c>
      <c r="BW217" s="2" t="s">
        <v>122</v>
      </c>
      <c r="BX217" s="2" t="s">
        <v>122</v>
      </c>
      <c r="BY217" s="2" t="s">
        <v>122</v>
      </c>
      <c r="BZ217" s="2" t="s">
        <v>122</v>
      </c>
      <c r="CA217" s="2" t="s">
        <v>122</v>
      </c>
      <c r="CB217" s="2" t="s">
        <v>122</v>
      </c>
      <c r="CC217" s="2" t="s">
        <v>122</v>
      </c>
      <c r="CD217" s="2" t="s">
        <v>122</v>
      </c>
      <c r="CE217" s="2" t="s">
        <v>122</v>
      </c>
      <c r="CF217">
        <v>1</v>
      </c>
      <c r="CG217" s="2" t="s">
        <v>122</v>
      </c>
      <c r="CH217">
        <v>2.7</v>
      </c>
      <c r="CI217" s="2" t="s">
        <v>122</v>
      </c>
      <c r="CJ217" s="2" t="s">
        <v>122</v>
      </c>
      <c r="CK217" s="2" t="s">
        <v>122</v>
      </c>
      <c r="CL217" s="2" t="s">
        <v>122</v>
      </c>
      <c r="CM217" s="2" t="s">
        <v>122</v>
      </c>
      <c r="CN217" s="2" t="s">
        <v>122</v>
      </c>
      <c r="CO217" s="2" t="s">
        <v>125</v>
      </c>
      <c r="CP217" s="2" t="s">
        <v>122</v>
      </c>
      <c r="CQ217" s="2" t="s">
        <v>122</v>
      </c>
      <c r="CR217" s="2" t="s">
        <v>122</v>
      </c>
      <c r="CS217">
        <v>4</v>
      </c>
      <c r="CT217">
        <v>4</v>
      </c>
      <c r="CU217" s="43">
        <v>1</v>
      </c>
      <c r="CV217" cm="1">
        <f t="array" ref="CV217">_xlfn.IFS(CU217*1=2,1,CU217*1=4,1,TRUE,0)</f>
        <v>0</v>
      </c>
      <c r="CW217" cm="1">
        <f t="array" ref="CW217">_xlfn.IFS(CU217*1=1,1,CU217*1=2,1,TRUE,0)</f>
        <v>1</v>
      </c>
      <c r="CX217" s="3">
        <f t="shared" si="27"/>
        <v>7</v>
      </c>
      <c r="CY217" s="3">
        <f t="shared" si="28"/>
        <v>6.5</v>
      </c>
      <c r="CZ217" s="3" cm="1">
        <f t="array" ref="CZ217">_xlfn.IFS(BP217&lt;&gt;"", BP217, CV217=1,  AQ217, CV217=0,  AZ217)</f>
        <v>5</v>
      </c>
      <c r="DA217" s="36" cm="1">
        <f t="array" ref="DA217">_xlfn.IFS(BO217&lt;&gt;"", BO217, CV217=0,  AQ217, CV217=1,  AZ217)</f>
        <v>6.5</v>
      </c>
      <c r="DB217" s="36">
        <f t="shared" si="29"/>
        <v>0</v>
      </c>
      <c r="DC217" s="3">
        <f t="shared" si="30"/>
        <v>0.5</v>
      </c>
      <c r="DD217" s="3">
        <f t="shared" si="31"/>
        <v>-1.5</v>
      </c>
      <c r="DE217" s="3">
        <f t="shared" si="32"/>
        <v>0</v>
      </c>
      <c r="DF217" s="3">
        <f t="shared" si="33"/>
        <v>0</v>
      </c>
      <c r="DG217" s="3">
        <f t="shared" si="34"/>
        <v>0.5</v>
      </c>
    </row>
    <row r="218" spans="1:111" x14ac:dyDescent="0.4">
      <c r="A218">
        <v>202511</v>
      </c>
      <c r="B218">
        <v>123</v>
      </c>
      <c r="C218" s="1">
        <v>45969.394108796296</v>
      </c>
      <c r="D218" s="1">
        <v>45969.401956018519</v>
      </c>
      <c r="E218">
        <v>0</v>
      </c>
      <c r="F218" s="2" t="s">
        <v>255</v>
      </c>
      <c r="G218">
        <v>98</v>
      </c>
      <c r="H218">
        <v>677</v>
      </c>
      <c r="I218">
        <v>0</v>
      </c>
      <c r="J218" s="1">
        <v>45971.528544953704</v>
      </c>
      <c r="K218" s="2" t="s">
        <v>256</v>
      </c>
      <c r="L218" s="2" t="s">
        <v>122</v>
      </c>
      <c r="M218" s="2" t="s">
        <v>122</v>
      </c>
      <c r="N218" s="2" t="s">
        <v>122</v>
      </c>
      <c r="O218" s="2" t="s">
        <v>122</v>
      </c>
      <c r="P218">
        <v>33.508000000000003</v>
      </c>
      <c r="Q218">
        <v>-112.09950000000001</v>
      </c>
      <c r="R218" s="2" t="s">
        <v>129</v>
      </c>
      <c r="S218" s="2" t="s">
        <v>124</v>
      </c>
      <c r="T218">
        <v>4</v>
      </c>
      <c r="U218">
        <v>1</v>
      </c>
      <c r="V218">
        <v>4</v>
      </c>
      <c r="W218">
        <v>2</v>
      </c>
      <c r="X218">
        <v>3</v>
      </c>
      <c r="Y218">
        <v>3</v>
      </c>
      <c r="Z218">
        <v>3</v>
      </c>
      <c r="AA218">
        <v>3</v>
      </c>
      <c r="AB218" s="2" t="s">
        <v>125</v>
      </c>
      <c r="AC218" s="2" t="s">
        <v>122</v>
      </c>
      <c r="AD218" s="2" t="s">
        <v>122</v>
      </c>
      <c r="AE218" s="2" t="s">
        <v>122</v>
      </c>
      <c r="AF218" s="2" t="s">
        <v>122</v>
      </c>
      <c r="AG218">
        <v>2</v>
      </c>
      <c r="AH218">
        <v>8</v>
      </c>
      <c r="AI218">
        <v>2</v>
      </c>
      <c r="AJ218">
        <v>8</v>
      </c>
      <c r="AK218">
        <v>8</v>
      </c>
      <c r="AL218">
        <v>7</v>
      </c>
      <c r="AM218">
        <v>8</v>
      </c>
      <c r="AN218">
        <v>8</v>
      </c>
      <c r="AO218">
        <v>2</v>
      </c>
      <c r="AP218">
        <v>3</v>
      </c>
      <c r="AQ218" s="2" t="s">
        <v>122</v>
      </c>
      <c r="AR218" s="2" t="s">
        <v>122</v>
      </c>
      <c r="AS218">
        <v>7</v>
      </c>
      <c r="AT218">
        <v>7</v>
      </c>
      <c r="AU218">
        <v>7</v>
      </c>
      <c r="AV218">
        <v>6</v>
      </c>
      <c r="AW218">
        <v>5</v>
      </c>
      <c r="AX218">
        <v>4</v>
      </c>
      <c r="AY218">
        <v>4</v>
      </c>
      <c r="AZ218" s="2" t="s">
        <v>122</v>
      </c>
      <c r="BA218" s="2" t="s">
        <v>122</v>
      </c>
      <c r="BB218" s="2" t="s">
        <v>122</v>
      </c>
      <c r="BC218" s="2" t="s">
        <v>122</v>
      </c>
      <c r="BD218" s="2" t="s">
        <v>122</v>
      </c>
      <c r="BE218" s="2" t="s">
        <v>122</v>
      </c>
      <c r="BF218" s="2" t="s">
        <v>122</v>
      </c>
      <c r="BG218" s="2" t="s">
        <v>122</v>
      </c>
      <c r="BH218" s="2" t="s">
        <v>122</v>
      </c>
      <c r="BI218" s="2" t="s">
        <v>122</v>
      </c>
      <c r="BJ218" s="2" t="s">
        <v>122</v>
      </c>
      <c r="BK218" s="2" t="s">
        <v>122</v>
      </c>
      <c r="BL218" s="2" t="s">
        <v>122</v>
      </c>
      <c r="BM218" s="2" t="s">
        <v>122</v>
      </c>
      <c r="BN218" s="2" t="s">
        <v>122</v>
      </c>
      <c r="BO218">
        <v>8</v>
      </c>
      <c r="BP218" s="2" t="s">
        <v>122</v>
      </c>
      <c r="BQ218">
        <v>2</v>
      </c>
      <c r="BR218" s="2" t="s">
        <v>125</v>
      </c>
      <c r="BS218" s="2" t="s">
        <v>122</v>
      </c>
      <c r="BT218" s="2" t="s">
        <v>125</v>
      </c>
      <c r="BU218" s="2" t="s">
        <v>122</v>
      </c>
      <c r="BV218" s="2" t="s">
        <v>125</v>
      </c>
      <c r="BW218" s="2" t="s">
        <v>125</v>
      </c>
      <c r="BX218" s="2" t="s">
        <v>122</v>
      </c>
      <c r="BY218" s="2" t="s">
        <v>122</v>
      </c>
      <c r="BZ218" s="2" t="s">
        <v>122</v>
      </c>
      <c r="CA218">
        <v>1</v>
      </c>
      <c r="CB218">
        <v>8</v>
      </c>
      <c r="CC218">
        <v>2</v>
      </c>
      <c r="CD218">
        <v>7</v>
      </c>
      <c r="CE218">
        <v>2</v>
      </c>
      <c r="CF218">
        <v>1</v>
      </c>
      <c r="CG218" s="2" t="s">
        <v>122</v>
      </c>
      <c r="CH218">
        <v>7</v>
      </c>
      <c r="CI218" s="2" t="s">
        <v>122</v>
      </c>
      <c r="CJ218" s="2" t="s">
        <v>122</v>
      </c>
      <c r="CK218" s="2" t="s">
        <v>122</v>
      </c>
      <c r="CL218" s="2" t="s">
        <v>122</v>
      </c>
      <c r="CM218" s="2" t="s">
        <v>122</v>
      </c>
      <c r="CN218" s="2" t="s">
        <v>122</v>
      </c>
      <c r="CO218" s="2" t="s">
        <v>125</v>
      </c>
      <c r="CP218" s="2" t="s">
        <v>122</v>
      </c>
      <c r="CQ218" s="2" t="s">
        <v>122</v>
      </c>
      <c r="CR218" s="2" t="s">
        <v>122</v>
      </c>
      <c r="CS218">
        <v>5</v>
      </c>
      <c r="CT218">
        <v>6</v>
      </c>
      <c r="CU218" s="43">
        <v>3</v>
      </c>
      <c r="CV218" cm="1">
        <f t="array" ref="CV218">_xlfn.IFS(CU218*1=2,1,CU218*1=4,1,TRUE,0)</f>
        <v>0</v>
      </c>
      <c r="CW218" cm="1">
        <f t="array" ref="CW218">_xlfn.IFS(CU218*1=1,1,CU218*1=2,1,TRUE,0)</f>
        <v>0</v>
      </c>
      <c r="CX218" s="3">
        <f t="shared" si="27"/>
        <v>8</v>
      </c>
      <c r="CY218" s="3">
        <f t="shared" si="28"/>
        <v>7</v>
      </c>
      <c r="CZ218" s="3" t="str" cm="1">
        <f t="array" ref="CZ218">_xlfn.IFS(BP218&lt;&gt;"", BP218, CV218=1,  AQ218, CV218=0,  AZ218)</f>
        <v/>
      </c>
      <c r="DA218" s="36" cm="1">
        <f t="array" ref="DA218">_xlfn.IFS(BO218&lt;&gt;"", BO218, CV218=0,  AQ218, CV218=1,  AZ218)</f>
        <v>8</v>
      </c>
      <c r="DB218" s="36">
        <f t="shared" si="29"/>
        <v>-1</v>
      </c>
      <c r="DC218" s="3">
        <f t="shared" si="30"/>
        <v>0</v>
      </c>
      <c r="DD218" s="3">
        <f t="shared" si="31"/>
        <v>-1</v>
      </c>
      <c r="DE218" s="60"/>
      <c r="DF218" s="3">
        <f t="shared" si="33"/>
        <v>0</v>
      </c>
      <c r="DG218" s="3">
        <f t="shared" si="34"/>
        <v>0</v>
      </c>
    </row>
    <row r="219" spans="1:111" x14ac:dyDescent="0.4">
      <c r="A219">
        <v>202511</v>
      </c>
      <c r="B219">
        <v>456</v>
      </c>
      <c r="C219" s="5">
        <v>45969.397546296299</v>
      </c>
      <c r="D219" s="5">
        <v>45969.402743055558</v>
      </c>
      <c r="E219" s="3">
        <v>0</v>
      </c>
      <c r="F219" s="4" t="s">
        <v>377</v>
      </c>
      <c r="G219" s="3">
        <v>100</v>
      </c>
      <c r="H219" s="3">
        <v>449</v>
      </c>
      <c r="I219" s="3">
        <v>1</v>
      </c>
      <c r="J219" s="5">
        <v>45969.402753055554</v>
      </c>
      <c r="K219" s="4" t="s">
        <v>376</v>
      </c>
      <c r="L219" s="4" t="s">
        <v>122</v>
      </c>
      <c r="M219" s="4" t="s">
        <v>122</v>
      </c>
      <c r="N219" s="4" t="s">
        <v>122</v>
      </c>
      <c r="O219" s="4" t="s">
        <v>122</v>
      </c>
      <c r="P219" s="3">
        <v>33.453200000000002</v>
      </c>
      <c r="Q219" s="3">
        <v>-112.0748</v>
      </c>
      <c r="R219" s="4" t="s">
        <v>129</v>
      </c>
      <c r="S219" s="4" t="s">
        <v>124</v>
      </c>
      <c r="T219" s="3">
        <v>4</v>
      </c>
      <c r="U219" s="3">
        <v>1</v>
      </c>
      <c r="V219" s="3">
        <v>3</v>
      </c>
      <c r="W219" s="3">
        <v>4</v>
      </c>
      <c r="X219" s="3">
        <v>1</v>
      </c>
      <c r="Y219" s="3">
        <v>1</v>
      </c>
      <c r="Z219" s="3">
        <v>1</v>
      </c>
      <c r="AA219" s="3">
        <v>1</v>
      </c>
      <c r="AB219" s="4" t="s">
        <v>122</v>
      </c>
      <c r="AC219" s="4" t="s">
        <v>122</v>
      </c>
      <c r="AD219" s="4" t="s">
        <v>122</v>
      </c>
      <c r="AE219" s="4" t="s">
        <v>122</v>
      </c>
      <c r="AF219" s="4" t="s">
        <v>122</v>
      </c>
      <c r="AG219" s="3">
        <v>4</v>
      </c>
      <c r="AH219" s="3">
        <v>6</v>
      </c>
      <c r="AI219" s="3">
        <v>3</v>
      </c>
      <c r="AJ219" s="3">
        <v>8</v>
      </c>
      <c r="AK219" s="3">
        <v>8</v>
      </c>
      <c r="AL219" s="3">
        <v>8</v>
      </c>
      <c r="AM219" s="3">
        <v>8</v>
      </c>
      <c r="AN219" s="3">
        <v>9</v>
      </c>
      <c r="AO219" s="3">
        <v>3</v>
      </c>
      <c r="AP219" s="3">
        <v>3</v>
      </c>
      <c r="AQ219" s="3">
        <v>6</v>
      </c>
      <c r="AR219" s="3">
        <v>3</v>
      </c>
      <c r="AS219" s="3">
        <v>6</v>
      </c>
      <c r="AT219" s="3">
        <v>9</v>
      </c>
      <c r="AU219" s="3">
        <v>6</v>
      </c>
      <c r="AV219" s="3">
        <v>6</v>
      </c>
      <c r="AW219" s="3">
        <v>4</v>
      </c>
      <c r="AX219" s="3">
        <v>2</v>
      </c>
      <c r="AY219" s="3">
        <v>2</v>
      </c>
      <c r="AZ219" s="3">
        <v>5</v>
      </c>
      <c r="BA219" s="3">
        <v>3</v>
      </c>
      <c r="BB219" s="3">
        <v>5</v>
      </c>
      <c r="BC219" s="3">
        <v>6</v>
      </c>
      <c r="BD219" s="3">
        <v>3</v>
      </c>
      <c r="BE219" s="4" t="s">
        <v>125</v>
      </c>
      <c r="BF219" s="4" t="s">
        <v>122</v>
      </c>
      <c r="BG219" s="4" t="s">
        <v>125</v>
      </c>
      <c r="BH219" s="4" t="s">
        <v>122</v>
      </c>
      <c r="BI219" s="4" t="s">
        <v>122</v>
      </c>
      <c r="BJ219" s="4" t="s">
        <v>122</v>
      </c>
      <c r="BK219" s="4" t="s">
        <v>122</v>
      </c>
      <c r="BL219" s="4" t="s">
        <v>122</v>
      </c>
      <c r="BM219" s="4" t="s">
        <v>122</v>
      </c>
      <c r="BN219" s="3">
        <v>3</v>
      </c>
      <c r="BO219" s="4" t="s">
        <v>122</v>
      </c>
      <c r="BP219" s="4" t="s">
        <v>122</v>
      </c>
      <c r="BQ219" s="4" t="s">
        <v>122</v>
      </c>
      <c r="BR219" s="4" t="s">
        <v>122</v>
      </c>
      <c r="BS219" s="4" t="s">
        <v>122</v>
      </c>
      <c r="BT219" s="4" t="s">
        <v>122</v>
      </c>
      <c r="BU219" s="4" t="s">
        <v>122</v>
      </c>
      <c r="BV219" s="4" t="s">
        <v>122</v>
      </c>
      <c r="BW219" s="4" t="s">
        <v>122</v>
      </c>
      <c r="BX219" s="4" t="s">
        <v>122</v>
      </c>
      <c r="BY219" s="4" t="s">
        <v>122</v>
      </c>
      <c r="BZ219" s="4" t="s">
        <v>122</v>
      </c>
      <c r="CA219" s="4" t="s">
        <v>122</v>
      </c>
      <c r="CB219" s="4" t="s">
        <v>122</v>
      </c>
      <c r="CC219" s="4" t="s">
        <v>122</v>
      </c>
      <c r="CD219" s="4" t="s">
        <v>122</v>
      </c>
      <c r="CE219" s="4" t="s">
        <v>122</v>
      </c>
      <c r="CF219" s="3">
        <v>1</v>
      </c>
      <c r="CG219" s="4" t="s">
        <v>122</v>
      </c>
      <c r="CH219" s="3">
        <v>2.2999999999999998</v>
      </c>
      <c r="CI219" s="4" t="s">
        <v>122</v>
      </c>
      <c r="CJ219" s="4" t="s">
        <v>122</v>
      </c>
      <c r="CK219" s="4" t="s">
        <v>122</v>
      </c>
      <c r="CL219" s="4" t="s">
        <v>122</v>
      </c>
      <c r="CM219" s="4" t="s">
        <v>122</v>
      </c>
      <c r="CN219" s="4" t="s">
        <v>122</v>
      </c>
      <c r="CO219" s="4" t="s">
        <v>125</v>
      </c>
      <c r="CP219" s="4" t="s">
        <v>122</v>
      </c>
      <c r="CQ219" s="4" t="s">
        <v>122</v>
      </c>
      <c r="CR219" s="4" t="s">
        <v>122</v>
      </c>
      <c r="CS219" s="3">
        <v>3</v>
      </c>
      <c r="CT219" s="3">
        <v>6</v>
      </c>
      <c r="CU219" s="42">
        <v>2</v>
      </c>
      <c r="CV219" cm="1">
        <f t="array" ref="CV219">_xlfn.IFS(CU219*1=2,1,CU219*1=4,1,TRUE,0)</f>
        <v>1</v>
      </c>
      <c r="CW219" cm="1">
        <f t="array" ref="CW219">_xlfn.IFS(CU219*1=1,1,CU219*1=2,1,TRUE,0)</f>
        <v>1</v>
      </c>
      <c r="CX219" s="3">
        <f t="shared" si="27"/>
        <v>5</v>
      </c>
      <c r="CY219" s="3">
        <f t="shared" si="28"/>
        <v>6</v>
      </c>
      <c r="CZ219" s="3" cm="1">
        <f t="array" ref="CZ219">_xlfn.IFS(BP219&lt;&gt;"", BP219, CV219=1,  AQ219, CV219=0,  AZ219)</f>
        <v>6</v>
      </c>
      <c r="DA219" s="36" cm="1">
        <f t="array" ref="DA219">_xlfn.IFS(BO219&lt;&gt;"", BO219, CV219=0,  AQ219, CV219=1,  AZ219)</f>
        <v>5</v>
      </c>
      <c r="DB219" s="36">
        <f t="shared" si="29"/>
        <v>0</v>
      </c>
      <c r="DC219" s="3">
        <f t="shared" si="30"/>
        <v>-1</v>
      </c>
      <c r="DD219" s="3">
        <f t="shared" si="31"/>
        <v>0</v>
      </c>
      <c r="DE219" s="3">
        <f t="shared" si="32"/>
        <v>0</v>
      </c>
      <c r="DF219" s="3">
        <f t="shared" si="33"/>
        <v>-1</v>
      </c>
      <c r="DG219" s="3">
        <f t="shared" si="34"/>
        <v>-1</v>
      </c>
    </row>
    <row r="220" spans="1:111" x14ac:dyDescent="0.4">
      <c r="A220">
        <v>202511</v>
      </c>
      <c r="B220">
        <v>123</v>
      </c>
      <c r="C220" s="1">
        <v>45969.398125</v>
      </c>
      <c r="D220" s="1">
        <v>45969.404687499999</v>
      </c>
      <c r="E220">
        <v>0</v>
      </c>
      <c r="F220" s="2" t="s">
        <v>142</v>
      </c>
      <c r="G220">
        <v>100</v>
      </c>
      <c r="H220">
        <v>566</v>
      </c>
      <c r="I220">
        <v>1</v>
      </c>
      <c r="J220" s="1">
        <v>45969.404691909724</v>
      </c>
      <c r="K220" s="2" t="s">
        <v>143</v>
      </c>
      <c r="L220" s="2" t="s">
        <v>122</v>
      </c>
      <c r="M220" s="2" t="s">
        <v>122</v>
      </c>
      <c r="N220" s="2" t="s">
        <v>122</v>
      </c>
      <c r="O220" s="2" t="s">
        <v>122</v>
      </c>
      <c r="P220">
        <v>32.250300000000003</v>
      </c>
      <c r="Q220">
        <v>-110.94499999999999</v>
      </c>
      <c r="R220" s="2" t="s">
        <v>129</v>
      </c>
      <c r="S220" s="2" t="s">
        <v>124</v>
      </c>
      <c r="T220">
        <v>4</v>
      </c>
      <c r="U220">
        <v>0</v>
      </c>
      <c r="V220">
        <v>1</v>
      </c>
      <c r="W220">
        <v>1</v>
      </c>
      <c r="X220">
        <v>2</v>
      </c>
      <c r="Y220">
        <v>3</v>
      </c>
      <c r="Z220">
        <v>3</v>
      </c>
      <c r="AA220">
        <v>2</v>
      </c>
      <c r="AB220" s="2" t="s">
        <v>122</v>
      </c>
      <c r="AC220" s="2" t="s">
        <v>122</v>
      </c>
      <c r="AD220" s="2" t="s">
        <v>122</v>
      </c>
      <c r="AE220" s="2" t="s">
        <v>125</v>
      </c>
      <c r="AF220" s="2" t="s">
        <v>122</v>
      </c>
      <c r="AG220">
        <v>3</v>
      </c>
      <c r="AH220">
        <v>5</v>
      </c>
      <c r="AI220">
        <v>3</v>
      </c>
      <c r="AJ220">
        <v>3</v>
      </c>
      <c r="AK220">
        <v>7</v>
      </c>
      <c r="AL220">
        <v>6</v>
      </c>
      <c r="AM220">
        <v>3</v>
      </c>
      <c r="AN220">
        <v>6</v>
      </c>
      <c r="AO220">
        <v>3</v>
      </c>
      <c r="AP220">
        <v>3</v>
      </c>
      <c r="AQ220">
        <v>5.5</v>
      </c>
      <c r="AR220">
        <v>3</v>
      </c>
      <c r="AS220">
        <v>3</v>
      </c>
      <c r="AT220">
        <v>5</v>
      </c>
      <c r="AU220">
        <v>7</v>
      </c>
      <c r="AV220">
        <v>2</v>
      </c>
      <c r="AW220">
        <v>4</v>
      </c>
      <c r="AX220">
        <v>4</v>
      </c>
      <c r="AY220">
        <v>4</v>
      </c>
      <c r="AZ220">
        <v>4.5</v>
      </c>
      <c r="BA220">
        <v>2</v>
      </c>
      <c r="BB220">
        <v>5</v>
      </c>
      <c r="BC220">
        <v>0</v>
      </c>
      <c r="BD220">
        <v>3</v>
      </c>
      <c r="BE220" s="2" t="s">
        <v>125</v>
      </c>
      <c r="BF220" s="2" t="s">
        <v>122</v>
      </c>
      <c r="BG220" s="2" t="s">
        <v>122</v>
      </c>
      <c r="BH220" s="2" t="s">
        <v>122</v>
      </c>
      <c r="BI220" s="2" t="s">
        <v>122</v>
      </c>
      <c r="BJ220" s="2" t="s">
        <v>122</v>
      </c>
      <c r="BK220" s="2" t="s">
        <v>125</v>
      </c>
      <c r="BL220" s="2" t="s">
        <v>125</v>
      </c>
      <c r="BM220" s="2" t="s">
        <v>122</v>
      </c>
      <c r="BN220">
        <v>7</v>
      </c>
      <c r="BO220" s="2" t="s">
        <v>122</v>
      </c>
      <c r="BP220" s="2" t="s">
        <v>122</v>
      </c>
      <c r="BQ220" s="2" t="s">
        <v>122</v>
      </c>
      <c r="BR220" s="2" t="s">
        <v>122</v>
      </c>
      <c r="BS220" s="2" t="s">
        <v>122</v>
      </c>
      <c r="BT220" s="2" t="s">
        <v>122</v>
      </c>
      <c r="BU220" s="2" t="s">
        <v>122</v>
      </c>
      <c r="BV220" s="2" t="s">
        <v>122</v>
      </c>
      <c r="BW220" s="2" t="s">
        <v>122</v>
      </c>
      <c r="BX220" s="2" t="s">
        <v>122</v>
      </c>
      <c r="BY220" s="2" t="s">
        <v>122</v>
      </c>
      <c r="BZ220" s="2" t="s">
        <v>122</v>
      </c>
      <c r="CA220" s="2" t="s">
        <v>122</v>
      </c>
      <c r="CB220" s="2" t="s">
        <v>122</v>
      </c>
      <c r="CC220" s="2" t="s">
        <v>122</v>
      </c>
      <c r="CD220" s="2" t="s">
        <v>122</v>
      </c>
      <c r="CE220" s="2" t="s">
        <v>122</v>
      </c>
      <c r="CF220">
        <v>1</v>
      </c>
      <c r="CG220" s="2" t="s">
        <v>122</v>
      </c>
      <c r="CH220">
        <v>2.2999999999999998</v>
      </c>
      <c r="CI220" s="2" t="s">
        <v>122</v>
      </c>
      <c r="CJ220" s="2" t="s">
        <v>122</v>
      </c>
      <c r="CK220" s="2" t="s">
        <v>125</v>
      </c>
      <c r="CL220" s="2" t="s">
        <v>122</v>
      </c>
      <c r="CM220" s="2" t="s">
        <v>122</v>
      </c>
      <c r="CN220" s="2" t="s">
        <v>122</v>
      </c>
      <c r="CO220" s="2" t="s">
        <v>122</v>
      </c>
      <c r="CP220" s="2" t="s">
        <v>122</v>
      </c>
      <c r="CQ220" s="2" t="s">
        <v>122</v>
      </c>
      <c r="CR220" s="2" t="s">
        <v>122</v>
      </c>
      <c r="CS220">
        <v>2</v>
      </c>
      <c r="CT220">
        <v>1</v>
      </c>
      <c r="CU220" s="43">
        <v>1</v>
      </c>
      <c r="CV220" cm="1">
        <f t="array" ref="CV220">_xlfn.IFS(CU220*1=2,1,CU220*1=4,1,TRUE,0)</f>
        <v>0</v>
      </c>
      <c r="CW220" cm="1">
        <f t="array" ref="CW220">_xlfn.IFS(CU220*1=1,1,CU220*1=2,1,TRUE,0)</f>
        <v>1</v>
      </c>
      <c r="CX220" s="3">
        <f t="shared" si="27"/>
        <v>5</v>
      </c>
      <c r="CY220" s="3">
        <f t="shared" si="28"/>
        <v>0</v>
      </c>
      <c r="CZ220" s="3" cm="1">
        <f t="array" ref="CZ220">_xlfn.IFS(BP220&lt;&gt;"", BP220, CV220=1,  AQ220, CV220=0,  AZ220)</f>
        <v>4.5</v>
      </c>
      <c r="DA220" s="36" cm="1">
        <f t="array" ref="DA220">_xlfn.IFS(BO220&lt;&gt;"", BO220, CV220=0,  AQ220, CV220=1,  AZ220)</f>
        <v>5.5</v>
      </c>
      <c r="DB220" s="36">
        <f t="shared" si="29"/>
        <v>-5</v>
      </c>
      <c r="DC220" s="3">
        <f t="shared" si="30"/>
        <v>0</v>
      </c>
      <c r="DD220" s="3">
        <f t="shared" si="31"/>
        <v>-0.5</v>
      </c>
      <c r="DE220" s="3">
        <f t="shared" si="32"/>
        <v>-5</v>
      </c>
      <c r="DF220" s="3">
        <f t="shared" si="33"/>
        <v>0.5</v>
      </c>
      <c r="DG220" s="3">
        <f t="shared" si="34"/>
        <v>0</v>
      </c>
    </row>
    <row r="221" spans="1:111" x14ac:dyDescent="0.4">
      <c r="A221">
        <v>202511</v>
      </c>
      <c r="B221">
        <v>123</v>
      </c>
      <c r="C221" s="1">
        <v>45969.399722222224</v>
      </c>
      <c r="D221" s="1">
        <v>45969.404108796298</v>
      </c>
      <c r="E221">
        <v>0</v>
      </c>
      <c r="F221" s="2" t="s">
        <v>140</v>
      </c>
      <c r="G221">
        <v>100</v>
      </c>
      <c r="H221">
        <v>379</v>
      </c>
      <c r="I221">
        <v>1</v>
      </c>
      <c r="J221" s="1">
        <v>45969.404130150462</v>
      </c>
      <c r="K221" s="2" t="s">
        <v>141</v>
      </c>
      <c r="L221" s="2" t="s">
        <v>122</v>
      </c>
      <c r="M221" s="2" t="s">
        <v>122</v>
      </c>
      <c r="N221" s="2" t="s">
        <v>122</v>
      </c>
      <c r="O221" s="2" t="s">
        <v>122</v>
      </c>
      <c r="P221">
        <v>36.178800000000003</v>
      </c>
      <c r="Q221">
        <v>-115.17149999999999</v>
      </c>
      <c r="R221" s="2" t="s">
        <v>129</v>
      </c>
      <c r="S221" s="2" t="s">
        <v>124</v>
      </c>
      <c r="T221">
        <v>4</v>
      </c>
      <c r="U221">
        <v>1</v>
      </c>
      <c r="V221">
        <v>2</v>
      </c>
      <c r="W221">
        <v>3</v>
      </c>
      <c r="X221">
        <v>1</v>
      </c>
      <c r="Y221">
        <v>1</v>
      </c>
      <c r="Z221">
        <v>1</v>
      </c>
      <c r="AA221">
        <v>1</v>
      </c>
      <c r="AB221" s="2" t="s">
        <v>122</v>
      </c>
      <c r="AC221" s="2" t="s">
        <v>122</v>
      </c>
      <c r="AD221" s="2" t="s">
        <v>122</v>
      </c>
      <c r="AE221" s="2" t="s">
        <v>122</v>
      </c>
      <c r="AF221" s="2" t="s">
        <v>122</v>
      </c>
      <c r="AG221">
        <v>5</v>
      </c>
      <c r="AH221">
        <v>0</v>
      </c>
      <c r="AI221" s="2" t="s">
        <v>122</v>
      </c>
      <c r="AJ221">
        <v>6</v>
      </c>
      <c r="AK221">
        <v>8</v>
      </c>
      <c r="AL221">
        <v>7</v>
      </c>
      <c r="AM221">
        <v>6</v>
      </c>
      <c r="AN221">
        <v>7</v>
      </c>
      <c r="AO221">
        <v>3</v>
      </c>
      <c r="AP221">
        <v>2</v>
      </c>
      <c r="AQ221" s="2" t="s">
        <v>122</v>
      </c>
      <c r="AR221" s="2" t="s">
        <v>122</v>
      </c>
      <c r="AS221">
        <v>5</v>
      </c>
      <c r="AT221">
        <v>7</v>
      </c>
      <c r="AU221">
        <v>7</v>
      </c>
      <c r="AV221">
        <v>4</v>
      </c>
      <c r="AW221">
        <v>6</v>
      </c>
      <c r="AX221">
        <v>4</v>
      </c>
      <c r="AY221">
        <v>4</v>
      </c>
      <c r="AZ221" s="2" t="s">
        <v>122</v>
      </c>
      <c r="BA221" s="2" t="s">
        <v>122</v>
      </c>
      <c r="BB221" s="2" t="s">
        <v>122</v>
      </c>
      <c r="BC221" s="2" t="s">
        <v>122</v>
      </c>
      <c r="BD221" s="2" t="s">
        <v>122</v>
      </c>
      <c r="BE221" s="2" t="s">
        <v>122</v>
      </c>
      <c r="BF221" s="2" t="s">
        <v>122</v>
      </c>
      <c r="BG221" s="2" t="s">
        <v>122</v>
      </c>
      <c r="BH221" s="2" t="s">
        <v>122</v>
      </c>
      <c r="BI221" s="2" t="s">
        <v>122</v>
      </c>
      <c r="BJ221" s="2" t="s">
        <v>122</v>
      </c>
      <c r="BK221" s="2" t="s">
        <v>122</v>
      </c>
      <c r="BL221" s="2" t="s">
        <v>122</v>
      </c>
      <c r="BM221" s="2" t="s">
        <v>122</v>
      </c>
      <c r="BN221" s="2" t="s">
        <v>122</v>
      </c>
      <c r="BO221">
        <v>0</v>
      </c>
      <c r="BP221">
        <v>0</v>
      </c>
      <c r="BQ221">
        <v>2</v>
      </c>
      <c r="BR221" s="2" t="s">
        <v>125</v>
      </c>
      <c r="BS221" s="2" t="s">
        <v>122</v>
      </c>
      <c r="BT221" s="2" t="s">
        <v>122</v>
      </c>
      <c r="BU221" s="2" t="s">
        <v>122</v>
      </c>
      <c r="BV221" s="2" t="s">
        <v>125</v>
      </c>
      <c r="BW221" s="2" t="s">
        <v>122</v>
      </c>
      <c r="BX221" s="2" t="s">
        <v>122</v>
      </c>
      <c r="BY221" s="2" t="s">
        <v>122</v>
      </c>
      <c r="BZ221" s="2" t="s">
        <v>122</v>
      </c>
      <c r="CA221">
        <v>1</v>
      </c>
      <c r="CB221">
        <v>0</v>
      </c>
      <c r="CC221" s="2" t="s">
        <v>122</v>
      </c>
      <c r="CD221">
        <v>0</v>
      </c>
      <c r="CE221" s="2" t="s">
        <v>122</v>
      </c>
      <c r="CF221">
        <v>1</v>
      </c>
      <c r="CG221" s="2" t="s">
        <v>122</v>
      </c>
      <c r="CH221">
        <v>2.2999999999999998</v>
      </c>
      <c r="CI221" s="2" t="s">
        <v>122</v>
      </c>
      <c r="CJ221" s="2" t="s">
        <v>122</v>
      </c>
      <c r="CK221" s="2" t="s">
        <v>122</v>
      </c>
      <c r="CL221" s="2" t="s">
        <v>122</v>
      </c>
      <c r="CM221" s="2" t="s">
        <v>122</v>
      </c>
      <c r="CN221" s="2" t="s">
        <v>122</v>
      </c>
      <c r="CO221" s="2" t="s">
        <v>125</v>
      </c>
      <c r="CP221" s="2" t="s">
        <v>122</v>
      </c>
      <c r="CQ221" s="2" t="s">
        <v>122</v>
      </c>
      <c r="CR221" s="2" t="s">
        <v>122</v>
      </c>
      <c r="CS221">
        <v>3</v>
      </c>
      <c r="CT221">
        <v>1</v>
      </c>
      <c r="CU221" s="43">
        <v>3</v>
      </c>
      <c r="CV221" cm="1">
        <f t="array" ref="CV221">_xlfn.IFS(CU221*1=2,1,CU221*1=4,1,TRUE,0)</f>
        <v>0</v>
      </c>
      <c r="CW221" cm="1">
        <f t="array" ref="CW221">_xlfn.IFS(CU221*1=1,1,CU221*1=2,1,TRUE,0)</f>
        <v>0</v>
      </c>
      <c r="CX221" s="3">
        <f t="shared" si="27"/>
        <v>0</v>
      </c>
      <c r="CY221" s="3">
        <f t="shared" si="28"/>
        <v>0</v>
      </c>
      <c r="CZ221" s="3" cm="1">
        <f t="array" ref="CZ221">_xlfn.IFS(BP221&lt;&gt;"", BP221, CV221=1,  AQ221, CV221=0,  AZ221)</f>
        <v>0</v>
      </c>
      <c r="DA221" s="36" cm="1">
        <f t="array" ref="DA221">_xlfn.IFS(BO221&lt;&gt;"", BO221, CV221=0,  AQ221, CV221=1,  AZ221)</f>
        <v>0</v>
      </c>
      <c r="DB221" s="36">
        <f t="shared" si="29"/>
        <v>0</v>
      </c>
      <c r="DC221" s="3">
        <f t="shared" si="30"/>
        <v>0</v>
      </c>
      <c r="DD221" s="3">
        <f t="shared" si="31"/>
        <v>0</v>
      </c>
      <c r="DE221" s="3">
        <f t="shared" si="32"/>
        <v>0</v>
      </c>
      <c r="DF221" s="3">
        <f t="shared" si="33"/>
        <v>0</v>
      </c>
      <c r="DG221" s="3">
        <f t="shared" si="34"/>
        <v>0</v>
      </c>
    </row>
    <row r="222" spans="1:111" x14ac:dyDescent="0.4">
      <c r="A222">
        <v>202511</v>
      </c>
      <c r="B222">
        <v>456</v>
      </c>
      <c r="C222" s="5">
        <v>45969.399918981479</v>
      </c>
      <c r="D222" s="5">
        <v>45969.405405092592</v>
      </c>
      <c r="E222" s="3">
        <v>0</v>
      </c>
      <c r="F222" s="4" t="s">
        <v>374</v>
      </c>
      <c r="G222" s="3">
        <v>100</v>
      </c>
      <c r="H222" s="3">
        <v>473</v>
      </c>
      <c r="I222" s="3">
        <v>1</v>
      </c>
      <c r="J222" s="5">
        <v>45969.405415624999</v>
      </c>
      <c r="K222" s="4" t="s">
        <v>373</v>
      </c>
      <c r="L222" s="4" t="s">
        <v>122</v>
      </c>
      <c r="M222" s="4" t="s">
        <v>122</v>
      </c>
      <c r="N222" s="4" t="s">
        <v>122</v>
      </c>
      <c r="O222" s="4" t="s">
        <v>122</v>
      </c>
      <c r="P222" s="3">
        <v>32.216299999999997</v>
      </c>
      <c r="Q222" s="3">
        <v>-110.9241</v>
      </c>
      <c r="R222" s="4" t="s">
        <v>129</v>
      </c>
      <c r="S222" s="4" t="s">
        <v>124</v>
      </c>
      <c r="T222" s="3">
        <v>4</v>
      </c>
      <c r="U222" s="3">
        <v>1</v>
      </c>
      <c r="V222" s="3">
        <v>1</v>
      </c>
      <c r="W222" s="3">
        <v>3</v>
      </c>
      <c r="X222" s="3">
        <v>1</v>
      </c>
      <c r="Y222" s="3">
        <v>1</v>
      </c>
      <c r="Z222" s="3">
        <v>1</v>
      </c>
      <c r="AA222" s="3">
        <v>1</v>
      </c>
      <c r="AB222" s="4" t="s">
        <v>122</v>
      </c>
      <c r="AC222" s="4" t="s">
        <v>122</v>
      </c>
      <c r="AD222" s="4" t="s">
        <v>122</v>
      </c>
      <c r="AE222" s="4" t="s">
        <v>122</v>
      </c>
      <c r="AF222" s="4" t="s">
        <v>122</v>
      </c>
      <c r="AG222" s="3">
        <v>3</v>
      </c>
      <c r="AH222" s="3">
        <v>7</v>
      </c>
      <c r="AI222" s="3">
        <v>2</v>
      </c>
      <c r="AJ222" s="3">
        <v>7</v>
      </c>
      <c r="AK222" s="3">
        <v>7</v>
      </c>
      <c r="AL222" s="3">
        <v>8</v>
      </c>
      <c r="AM222" s="3">
        <v>8</v>
      </c>
      <c r="AN222" s="3">
        <v>6</v>
      </c>
      <c r="AO222" s="3">
        <v>3</v>
      </c>
      <c r="AP222" s="3">
        <v>3</v>
      </c>
      <c r="AQ222" s="3">
        <v>7</v>
      </c>
      <c r="AR222" s="3">
        <v>2</v>
      </c>
      <c r="AS222" s="3">
        <v>3</v>
      </c>
      <c r="AT222" s="3">
        <v>7</v>
      </c>
      <c r="AU222" s="3">
        <v>2</v>
      </c>
      <c r="AV222" s="3">
        <v>2</v>
      </c>
      <c r="AW222" s="3">
        <v>4</v>
      </c>
      <c r="AX222" s="3">
        <v>4</v>
      </c>
      <c r="AY222" s="3">
        <v>2</v>
      </c>
      <c r="AZ222" s="3">
        <v>5</v>
      </c>
      <c r="BA222" s="3">
        <v>1</v>
      </c>
      <c r="BB222" s="3">
        <v>7</v>
      </c>
      <c r="BC222" s="3">
        <v>7</v>
      </c>
      <c r="BD222" s="3">
        <v>2</v>
      </c>
      <c r="BE222" s="4" t="s">
        <v>125</v>
      </c>
      <c r="BF222" s="4" t="s">
        <v>122</v>
      </c>
      <c r="BG222" s="4" t="s">
        <v>122</v>
      </c>
      <c r="BH222" s="4" t="s">
        <v>122</v>
      </c>
      <c r="BI222" s="4" t="s">
        <v>122</v>
      </c>
      <c r="BJ222" s="4" t="s">
        <v>122</v>
      </c>
      <c r="BK222" s="4" t="s">
        <v>122</v>
      </c>
      <c r="BL222" s="4" t="s">
        <v>125</v>
      </c>
      <c r="BM222" s="4" t="s">
        <v>122</v>
      </c>
      <c r="BN222" s="3">
        <v>1</v>
      </c>
      <c r="BO222" s="4" t="s">
        <v>122</v>
      </c>
      <c r="BP222" s="4" t="s">
        <v>122</v>
      </c>
      <c r="BQ222" s="4" t="s">
        <v>122</v>
      </c>
      <c r="BR222" s="4" t="s">
        <v>122</v>
      </c>
      <c r="BS222" s="4" t="s">
        <v>122</v>
      </c>
      <c r="BT222" s="4" t="s">
        <v>122</v>
      </c>
      <c r="BU222" s="4" t="s">
        <v>122</v>
      </c>
      <c r="BV222" s="4" t="s">
        <v>122</v>
      </c>
      <c r="BW222" s="4" t="s">
        <v>122</v>
      </c>
      <c r="BX222" s="4" t="s">
        <v>122</v>
      </c>
      <c r="BY222" s="4" t="s">
        <v>122</v>
      </c>
      <c r="BZ222" s="4" t="s">
        <v>122</v>
      </c>
      <c r="CA222" s="4" t="s">
        <v>122</v>
      </c>
      <c r="CB222" s="4" t="s">
        <v>122</v>
      </c>
      <c r="CC222" s="4" t="s">
        <v>122</v>
      </c>
      <c r="CD222" s="4" t="s">
        <v>122</v>
      </c>
      <c r="CE222" s="4" t="s">
        <v>122</v>
      </c>
      <c r="CF222" s="3">
        <v>2</v>
      </c>
      <c r="CG222" s="4" t="s">
        <v>122</v>
      </c>
      <c r="CH222" s="3">
        <v>2.2999999999999998</v>
      </c>
      <c r="CI222" s="4" t="s">
        <v>122</v>
      </c>
      <c r="CJ222" s="4" t="s">
        <v>122</v>
      </c>
      <c r="CK222" s="4" t="s">
        <v>122</v>
      </c>
      <c r="CL222" s="4" t="s">
        <v>125</v>
      </c>
      <c r="CM222" s="4" t="s">
        <v>122</v>
      </c>
      <c r="CN222" s="4" t="s">
        <v>122</v>
      </c>
      <c r="CO222" s="4" t="s">
        <v>122</v>
      </c>
      <c r="CP222" s="4" t="s">
        <v>122</v>
      </c>
      <c r="CQ222" s="4" t="s">
        <v>122</v>
      </c>
      <c r="CR222" s="4" t="s">
        <v>122</v>
      </c>
      <c r="CS222" s="3">
        <v>3</v>
      </c>
      <c r="CT222" s="3">
        <v>1</v>
      </c>
      <c r="CU222" s="42">
        <v>2</v>
      </c>
      <c r="CV222" cm="1">
        <f t="array" ref="CV222">_xlfn.IFS(CU222*1=2,1,CU222*1=4,1,TRUE,0)</f>
        <v>1</v>
      </c>
      <c r="CW222" cm="1">
        <f t="array" ref="CW222">_xlfn.IFS(CU222*1=1,1,CU222*1=2,1,TRUE,0)</f>
        <v>1</v>
      </c>
      <c r="CX222" s="3">
        <f t="shared" si="27"/>
        <v>7</v>
      </c>
      <c r="CY222" s="3">
        <f t="shared" si="28"/>
        <v>7</v>
      </c>
      <c r="CZ222" s="3" cm="1">
        <f t="array" ref="CZ222">_xlfn.IFS(BP222&lt;&gt;"", BP222, CV222=1,  AQ222, CV222=0,  AZ222)</f>
        <v>7</v>
      </c>
      <c r="DA222" s="36" cm="1">
        <f t="array" ref="DA222">_xlfn.IFS(BO222&lt;&gt;"", BO222, CV222=0,  AQ222, CV222=1,  AZ222)</f>
        <v>5</v>
      </c>
      <c r="DB222" s="36">
        <f t="shared" si="29"/>
        <v>0</v>
      </c>
      <c r="DC222" s="3">
        <f t="shared" si="30"/>
        <v>0</v>
      </c>
      <c r="DD222" s="3">
        <f t="shared" si="31"/>
        <v>0</v>
      </c>
      <c r="DE222" s="3">
        <f t="shared" si="32"/>
        <v>0</v>
      </c>
      <c r="DF222" s="3">
        <f t="shared" si="33"/>
        <v>-2</v>
      </c>
      <c r="DG222" s="3">
        <f t="shared" si="34"/>
        <v>0</v>
      </c>
    </row>
    <row r="223" spans="1:111" x14ac:dyDescent="0.4">
      <c r="A223">
        <v>202511</v>
      </c>
      <c r="B223">
        <v>456</v>
      </c>
      <c r="C223" s="5">
        <v>45969.400659722225</v>
      </c>
      <c r="D223" s="5">
        <v>45969.404849537037</v>
      </c>
      <c r="E223" s="3">
        <v>0</v>
      </c>
      <c r="F223" s="4" t="s">
        <v>290</v>
      </c>
      <c r="G223" s="3">
        <v>100</v>
      </c>
      <c r="H223" s="3">
        <v>362</v>
      </c>
      <c r="I223" s="3">
        <v>1</v>
      </c>
      <c r="J223" s="5">
        <v>45969.404856076391</v>
      </c>
      <c r="K223" s="4" t="s">
        <v>375</v>
      </c>
      <c r="L223" s="4" t="s">
        <v>122</v>
      </c>
      <c r="M223" s="4" t="s">
        <v>122</v>
      </c>
      <c r="N223" s="4" t="s">
        <v>122</v>
      </c>
      <c r="O223" s="4" t="s">
        <v>122</v>
      </c>
      <c r="P223" s="3">
        <v>32.250300000000003</v>
      </c>
      <c r="Q223" s="3">
        <v>-110.94499999999999</v>
      </c>
      <c r="R223" s="4" t="s">
        <v>129</v>
      </c>
      <c r="S223" s="4" t="s">
        <v>124</v>
      </c>
      <c r="T223" s="3">
        <v>4</v>
      </c>
      <c r="U223" s="3">
        <v>1</v>
      </c>
      <c r="V223" s="3">
        <v>4</v>
      </c>
      <c r="W223" s="3">
        <v>3</v>
      </c>
      <c r="X223" s="3">
        <v>2</v>
      </c>
      <c r="Y223" s="3">
        <v>4</v>
      </c>
      <c r="Z223" s="3">
        <v>4</v>
      </c>
      <c r="AA223" s="3">
        <v>1</v>
      </c>
      <c r="AB223" s="4" t="s">
        <v>125</v>
      </c>
      <c r="AC223" s="4" t="s">
        <v>122</v>
      </c>
      <c r="AD223" s="4" t="s">
        <v>125</v>
      </c>
      <c r="AE223" s="4" t="s">
        <v>122</v>
      </c>
      <c r="AF223" s="4" t="s">
        <v>122</v>
      </c>
      <c r="AG223" s="3">
        <v>4</v>
      </c>
      <c r="AH223" s="3">
        <v>5.5</v>
      </c>
      <c r="AI223" s="3">
        <v>2</v>
      </c>
      <c r="AJ223" s="3">
        <v>6</v>
      </c>
      <c r="AK223" s="3">
        <v>7</v>
      </c>
      <c r="AL223" s="3">
        <v>8</v>
      </c>
      <c r="AM223" s="3">
        <v>3</v>
      </c>
      <c r="AN223" s="3">
        <v>2</v>
      </c>
      <c r="AO223" s="3">
        <v>2</v>
      </c>
      <c r="AP223" s="3">
        <v>4</v>
      </c>
      <c r="AQ223" s="4" t="s">
        <v>122</v>
      </c>
      <c r="AR223" s="4" t="s">
        <v>122</v>
      </c>
      <c r="AS223" s="3">
        <v>8</v>
      </c>
      <c r="AT223" s="3">
        <v>6</v>
      </c>
      <c r="AU223" s="3">
        <v>7</v>
      </c>
      <c r="AV223" s="3">
        <v>8</v>
      </c>
      <c r="AW223" s="3">
        <v>6</v>
      </c>
      <c r="AX223" s="3">
        <v>1</v>
      </c>
      <c r="AY223" s="3">
        <v>2</v>
      </c>
      <c r="AZ223" s="4" t="s">
        <v>122</v>
      </c>
      <c r="BA223" s="4" t="s">
        <v>122</v>
      </c>
      <c r="BB223" s="4" t="s">
        <v>122</v>
      </c>
      <c r="BC223" s="4" t="s">
        <v>122</v>
      </c>
      <c r="BD223" s="4" t="s">
        <v>122</v>
      </c>
      <c r="BE223" s="4" t="s">
        <v>122</v>
      </c>
      <c r="BF223" s="4" t="s">
        <v>122</v>
      </c>
      <c r="BG223" s="4" t="s">
        <v>122</v>
      </c>
      <c r="BH223" s="4" t="s">
        <v>122</v>
      </c>
      <c r="BI223" s="4" t="s">
        <v>122</v>
      </c>
      <c r="BJ223" s="4" t="s">
        <v>122</v>
      </c>
      <c r="BK223" s="4" t="s">
        <v>122</v>
      </c>
      <c r="BL223" s="4" t="s">
        <v>122</v>
      </c>
      <c r="BM223" s="4" t="s">
        <v>122</v>
      </c>
      <c r="BN223" s="4" t="s">
        <v>122</v>
      </c>
      <c r="BO223" s="3">
        <v>6.5</v>
      </c>
      <c r="BP223" s="3">
        <v>6.5</v>
      </c>
      <c r="BQ223" s="3">
        <v>3</v>
      </c>
      <c r="BR223" s="4" t="s">
        <v>125</v>
      </c>
      <c r="BS223" s="4" t="s">
        <v>122</v>
      </c>
      <c r="BT223" s="4" t="s">
        <v>125</v>
      </c>
      <c r="BU223" s="4" t="s">
        <v>122</v>
      </c>
      <c r="BV223" s="4" t="s">
        <v>125</v>
      </c>
      <c r="BW223" s="4" t="s">
        <v>122</v>
      </c>
      <c r="BX223" s="4" t="s">
        <v>122</v>
      </c>
      <c r="BY223" s="4" t="s">
        <v>125</v>
      </c>
      <c r="BZ223" s="4" t="s">
        <v>122</v>
      </c>
      <c r="CA223" s="3">
        <v>1</v>
      </c>
      <c r="CB223" s="3">
        <v>7</v>
      </c>
      <c r="CC223" s="3">
        <v>3</v>
      </c>
      <c r="CD223" s="3">
        <v>5</v>
      </c>
      <c r="CE223" s="3">
        <v>3</v>
      </c>
      <c r="CF223" s="3">
        <v>2</v>
      </c>
      <c r="CG223" s="4" t="s">
        <v>122</v>
      </c>
      <c r="CH223" s="3">
        <v>2.2999999999999998</v>
      </c>
      <c r="CI223" s="4" t="s">
        <v>122</v>
      </c>
      <c r="CJ223" s="4" t="s">
        <v>122</v>
      </c>
      <c r="CK223" s="4" t="s">
        <v>122</v>
      </c>
      <c r="CL223" s="4" t="s">
        <v>122</v>
      </c>
      <c r="CM223" s="4" t="s">
        <v>122</v>
      </c>
      <c r="CN223" s="4" t="s">
        <v>122</v>
      </c>
      <c r="CO223" s="4" t="s">
        <v>125</v>
      </c>
      <c r="CP223" s="4" t="s">
        <v>122</v>
      </c>
      <c r="CQ223" s="4" t="s">
        <v>122</v>
      </c>
      <c r="CR223" s="4" t="s">
        <v>122</v>
      </c>
      <c r="CS223" s="3">
        <v>4</v>
      </c>
      <c r="CT223" s="3">
        <v>-999</v>
      </c>
      <c r="CU223" s="42">
        <v>4</v>
      </c>
      <c r="CV223" cm="1">
        <f t="array" ref="CV223">_xlfn.IFS(CU223*1=2,1,CU223*1=4,1,TRUE,0)</f>
        <v>1</v>
      </c>
      <c r="CW223" cm="1">
        <f t="array" ref="CW223">_xlfn.IFS(CU223*1=1,1,CU223*1=2,1,TRUE,0)</f>
        <v>0</v>
      </c>
      <c r="CX223" s="3">
        <f t="shared" si="27"/>
        <v>7</v>
      </c>
      <c r="CY223" s="3">
        <f t="shared" si="28"/>
        <v>5</v>
      </c>
      <c r="CZ223" s="3" cm="1">
        <f t="array" ref="CZ223">_xlfn.IFS(BP223&lt;&gt;"", BP223, CV223=1,  AQ223, CV223=0,  AZ223)</f>
        <v>6.5</v>
      </c>
      <c r="DA223" s="36" cm="1">
        <f t="array" ref="DA223">_xlfn.IFS(BO223&lt;&gt;"", BO223, CV223=0,  AQ223, CV223=1,  AZ223)</f>
        <v>6.5</v>
      </c>
      <c r="DB223" s="36">
        <f t="shared" si="29"/>
        <v>-0.5</v>
      </c>
      <c r="DC223" s="3">
        <f t="shared" si="30"/>
        <v>1.5</v>
      </c>
      <c r="DD223" s="3">
        <f t="shared" si="31"/>
        <v>-0.5</v>
      </c>
      <c r="DE223" s="3">
        <f t="shared" si="32"/>
        <v>1</v>
      </c>
      <c r="DF223" s="3">
        <f t="shared" si="33"/>
        <v>1.5</v>
      </c>
      <c r="DG223" s="3">
        <f t="shared" si="34"/>
        <v>1</v>
      </c>
    </row>
    <row r="224" spans="1:111" x14ac:dyDescent="0.4">
      <c r="A224">
        <v>202511</v>
      </c>
      <c r="B224">
        <v>456</v>
      </c>
      <c r="C224" s="5">
        <v>45969.404189814813</v>
      </c>
      <c r="D224" s="5">
        <v>45969.409884259258</v>
      </c>
      <c r="E224" s="3">
        <v>0</v>
      </c>
      <c r="F224" s="4" t="s">
        <v>372</v>
      </c>
      <c r="G224" s="3">
        <v>100</v>
      </c>
      <c r="H224" s="3">
        <v>492</v>
      </c>
      <c r="I224" s="3">
        <v>1</v>
      </c>
      <c r="J224" s="5">
        <v>45969.40990003472</v>
      </c>
      <c r="K224" s="4" t="s">
        <v>371</v>
      </c>
      <c r="L224" s="4" t="s">
        <v>122</v>
      </c>
      <c r="M224" s="4" t="s">
        <v>122</v>
      </c>
      <c r="N224" s="4" t="s">
        <v>122</v>
      </c>
      <c r="O224" s="4" t="s">
        <v>122</v>
      </c>
      <c r="P224" s="3">
        <v>33.453200000000002</v>
      </c>
      <c r="Q224" s="3">
        <v>-112.0748</v>
      </c>
      <c r="R224" s="4" t="s">
        <v>129</v>
      </c>
      <c r="S224" s="4" t="s">
        <v>124</v>
      </c>
      <c r="T224" s="3">
        <v>4</v>
      </c>
      <c r="U224" s="3">
        <v>1</v>
      </c>
      <c r="V224" s="3">
        <v>1</v>
      </c>
      <c r="W224" s="3">
        <v>1</v>
      </c>
      <c r="X224" s="3">
        <v>1</v>
      </c>
      <c r="Y224" s="3">
        <v>1</v>
      </c>
      <c r="Z224" s="3">
        <v>1</v>
      </c>
      <c r="AA224" s="3">
        <v>1</v>
      </c>
      <c r="AB224" s="4" t="s">
        <v>122</v>
      </c>
      <c r="AC224" s="4" t="s">
        <v>122</v>
      </c>
      <c r="AD224" s="4" t="s">
        <v>122</v>
      </c>
      <c r="AE224" s="4" t="s">
        <v>122</v>
      </c>
      <c r="AF224" s="4" t="s">
        <v>122</v>
      </c>
      <c r="AG224" s="3">
        <v>2</v>
      </c>
      <c r="AH224" s="3">
        <v>4</v>
      </c>
      <c r="AI224" s="3">
        <v>3</v>
      </c>
      <c r="AJ224" s="3">
        <v>5</v>
      </c>
      <c r="AK224" s="3">
        <v>6</v>
      </c>
      <c r="AL224" s="3">
        <v>5</v>
      </c>
      <c r="AM224" s="3">
        <v>4</v>
      </c>
      <c r="AN224" s="3">
        <v>6</v>
      </c>
      <c r="AO224" s="3">
        <v>2</v>
      </c>
      <c r="AP224" s="3">
        <v>4</v>
      </c>
      <c r="AQ224" s="3">
        <v>4</v>
      </c>
      <c r="AR224" s="3">
        <v>3</v>
      </c>
      <c r="AS224" s="3">
        <v>3</v>
      </c>
      <c r="AT224" s="3">
        <v>6</v>
      </c>
      <c r="AU224" s="3">
        <v>5</v>
      </c>
      <c r="AV224" s="3">
        <v>3</v>
      </c>
      <c r="AW224" s="3">
        <v>5</v>
      </c>
      <c r="AX224" s="3">
        <v>4</v>
      </c>
      <c r="AY224" s="3">
        <v>4</v>
      </c>
      <c r="AZ224" s="3">
        <v>2</v>
      </c>
      <c r="BA224" s="3">
        <v>3</v>
      </c>
      <c r="BB224" s="3">
        <v>5</v>
      </c>
      <c r="BC224" s="3">
        <v>4</v>
      </c>
      <c r="BD224" s="3">
        <v>3</v>
      </c>
      <c r="BE224" s="4" t="s">
        <v>125</v>
      </c>
      <c r="BF224" s="4" t="s">
        <v>122</v>
      </c>
      <c r="BG224" s="4" t="s">
        <v>125</v>
      </c>
      <c r="BH224" s="4" t="s">
        <v>122</v>
      </c>
      <c r="BI224" s="4" t="s">
        <v>125</v>
      </c>
      <c r="BJ224" s="4" t="s">
        <v>122</v>
      </c>
      <c r="BK224" s="4" t="s">
        <v>122</v>
      </c>
      <c r="BL224" s="4" t="s">
        <v>122</v>
      </c>
      <c r="BM224" s="4" t="s">
        <v>122</v>
      </c>
      <c r="BN224" s="3">
        <v>1</v>
      </c>
      <c r="BO224" s="4" t="s">
        <v>122</v>
      </c>
      <c r="BP224" s="4" t="s">
        <v>122</v>
      </c>
      <c r="BQ224" s="4" t="s">
        <v>122</v>
      </c>
      <c r="BR224" s="4" t="s">
        <v>122</v>
      </c>
      <c r="BS224" s="4" t="s">
        <v>122</v>
      </c>
      <c r="BT224" s="4" t="s">
        <v>122</v>
      </c>
      <c r="BU224" s="4" t="s">
        <v>122</v>
      </c>
      <c r="BV224" s="4" t="s">
        <v>122</v>
      </c>
      <c r="BW224" s="4" t="s">
        <v>122</v>
      </c>
      <c r="BX224" s="4" t="s">
        <v>122</v>
      </c>
      <c r="BY224" s="4" t="s">
        <v>122</v>
      </c>
      <c r="BZ224" s="4" t="s">
        <v>122</v>
      </c>
      <c r="CA224" s="4" t="s">
        <v>122</v>
      </c>
      <c r="CB224" s="4" t="s">
        <v>122</v>
      </c>
      <c r="CC224" s="4" t="s">
        <v>122</v>
      </c>
      <c r="CD224" s="4" t="s">
        <v>122</v>
      </c>
      <c r="CE224" s="4" t="s">
        <v>122</v>
      </c>
      <c r="CF224" s="3">
        <v>2</v>
      </c>
      <c r="CG224" s="4" t="s">
        <v>122</v>
      </c>
      <c r="CH224" s="3">
        <v>2.2999999999999998</v>
      </c>
      <c r="CI224" s="4" t="s">
        <v>122</v>
      </c>
      <c r="CJ224" s="4" t="s">
        <v>122</v>
      </c>
      <c r="CK224" s="4" t="s">
        <v>122</v>
      </c>
      <c r="CL224" s="4" t="s">
        <v>122</v>
      </c>
      <c r="CM224" s="4" t="s">
        <v>122</v>
      </c>
      <c r="CN224" s="4" t="s">
        <v>122</v>
      </c>
      <c r="CO224" s="4" t="s">
        <v>125</v>
      </c>
      <c r="CP224" s="4" t="s">
        <v>122</v>
      </c>
      <c r="CQ224" s="4" t="s">
        <v>122</v>
      </c>
      <c r="CR224" s="4" t="s">
        <v>122</v>
      </c>
      <c r="CS224" s="3">
        <v>3</v>
      </c>
      <c r="CT224" s="3">
        <v>6</v>
      </c>
      <c r="CU224" s="42">
        <v>2</v>
      </c>
      <c r="CV224" cm="1">
        <f t="array" ref="CV224">_xlfn.IFS(CU224*1=2,1,CU224*1=4,1,TRUE,0)</f>
        <v>1</v>
      </c>
      <c r="CW224" cm="1">
        <f t="array" ref="CW224">_xlfn.IFS(CU224*1=1,1,CU224*1=2,1,TRUE,0)</f>
        <v>1</v>
      </c>
      <c r="CX224" s="3">
        <f t="shared" si="27"/>
        <v>5</v>
      </c>
      <c r="CY224" s="3">
        <f t="shared" si="28"/>
        <v>4</v>
      </c>
      <c r="CZ224" s="3" cm="1">
        <f t="array" ref="CZ224">_xlfn.IFS(BP224&lt;&gt;"", BP224, CV224=1,  AQ224, CV224=0,  AZ224)</f>
        <v>4</v>
      </c>
      <c r="DA224" s="36" cm="1">
        <f t="array" ref="DA224">_xlfn.IFS(BO224&lt;&gt;"", BO224, CV224=0,  AQ224, CV224=1,  AZ224)</f>
        <v>2</v>
      </c>
      <c r="DB224" s="36">
        <f t="shared" si="29"/>
        <v>0</v>
      </c>
      <c r="DC224" s="3">
        <f t="shared" si="30"/>
        <v>1</v>
      </c>
      <c r="DD224" s="3">
        <f t="shared" si="31"/>
        <v>0</v>
      </c>
      <c r="DE224" s="3">
        <f t="shared" si="32"/>
        <v>0</v>
      </c>
      <c r="DF224" s="3">
        <f t="shared" si="33"/>
        <v>-2</v>
      </c>
      <c r="DG224" s="3">
        <f t="shared" si="34"/>
        <v>1</v>
      </c>
    </row>
    <row r="225" spans="1:111" x14ac:dyDescent="0.4">
      <c r="A225">
        <v>202511</v>
      </c>
      <c r="B225">
        <v>456</v>
      </c>
      <c r="C225" s="5">
        <v>45969.407812500001</v>
      </c>
      <c r="D225" s="5">
        <v>45969.411527777775</v>
      </c>
      <c r="E225" s="3">
        <v>0</v>
      </c>
      <c r="F225" s="4" t="s">
        <v>370</v>
      </c>
      <c r="G225" s="3">
        <v>100</v>
      </c>
      <c r="H225" s="3">
        <v>321</v>
      </c>
      <c r="I225" s="3">
        <v>1</v>
      </c>
      <c r="J225" s="5">
        <v>45969.411541967595</v>
      </c>
      <c r="K225" s="4" t="s">
        <v>369</v>
      </c>
      <c r="L225" s="4" t="s">
        <v>122</v>
      </c>
      <c r="M225" s="4" t="s">
        <v>122</v>
      </c>
      <c r="N225" s="4" t="s">
        <v>122</v>
      </c>
      <c r="O225" s="4" t="s">
        <v>122</v>
      </c>
      <c r="P225" s="3">
        <v>34.054400000000001</v>
      </c>
      <c r="Q225" s="3">
        <v>-118.244</v>
      </c>
      <c r="R225" s="4" t="s">
        <v>129</v>
      </c>
      <c r="S225" s="4" t="s">
        <v>124</v>
      </c>
      <c r="T225" s="3">
        <v>4</v>
      </c>
      <c r="U225" s="3">
        <v>1</v>
      </c>
      <c r="V225" s="3">
        <v>2</v>
      </c>
      <c r="W225" s="3">
        <v>3</v>
      </c>
      <c r="X225" s="3">
        <v>1</v>
      </c>
      <c r="Y225" s="3">
        <v>1</v>
      </c>
      <c r="Z225" s="3">
        <v>1</v>
      </c>
      <c r="AA225" s="3">
        <v>1</v>
      </c>
      <c r="AB225" s="4" t="s">
        <v>122</v>
      </c>
      <c r="AC225" s="4" t="s">
        <v>122</v>
      </c>
      <c r="AD225" s="4" t="s">
        <v>122</v>
      </c>
      <c r="AE225" s="4" t="s">
        <v>122</v>
      </c>
      <c r="AF225" s="4" t="s">
        <v>122</v>
      </c>
      <c r="AG225" s="3">
        <v>3</v>
      </c>
      <c r="AH225" s="3">
        <v>6</v>
      </c>
      <c r="AI225" s="3">
        <v>2</v>
      </c>
      <c r="AJ225" s="3">
        <v>5</v>
      </c>
      <c r="AK225" s="3">
        <v>7</v>
      </c>
      <c r="AL225" s="3">
        <v>5</v>
      </c>
      <c r="AM225" s="3">
        <v>6</v>
      </c>
      <c r="AN225" s="3">
        <v>6</v>
      </c>
      <c r="AO225" s="3">
        <v>3</v>
      </c>
      <c r="AP225" s="3">
        <v>3</v>
      </c>
      <c r="AQ225" s="4" t="s">
        <v>122</v>
      </c>
      <c r="AR225" s="4" t="s">
        <v>122</v>
      </c>
      <c r="AS225" s="3">
        <v>7</v>
      </c>
      <c r="AT225" s="3">
        <v>6</v>
      </c>
      <c r="AU225" s="3">
        <v>5</v>
      </c>
      <c r="AV225" s="3">
        <v>7</v>
      </c>
      <c r="AW225" s="3">
        <v>7</v>
      </c>
      <c r="AX225" s="3">
        <v>3</v>
      </c>
      <c r="AY225" s="3">
        <v>3</v>
      </c>
      <c r="AZ225" s="4" t="s">
        <v>122</v>
      </c>
      <c r="BA225" s="4" t="s">
        <v>122</v>
      </c>
      <c r="BB225" s="4" t="s">
        <v>122</v>
      </c>
      <c r="BC225" s="4" t="s">
        <v>122</v>
      </c>
      <c r="BD225" s="4" t="s">
        <v>122</v>
      </c>
      <c r="BE225" s="4" t="s">
        <v>122</v>
      </c>
      <c r="BF225" s="4" t="s">
        <v>122</v>
      </c>
      <c r="BG225" s="4" t="s">
        <v>122</v>
      </c>
      <c r="BH225" s="4" t="s">
        <v>122</v>
      </c>
      <c r="BI225" s="4" t="s">
        <v>122</v>
      </c>
      <c r="BJ225" s="4" t="s">
        <v>122</v>
      </c>
      <c r="BK225" s="4" t="s">
        <v>122</v>
      </c>
      <c r="BL225" s="4" t="s">
        <v>122</v>
      </c>
      <c r="BM225" s="4" t="s">
        <v>122</v>
      </c>
      <c r="BN225" s="4" t="s">
        <v>122</v>
      </c>
      <c r="BO225" s="3">
        <v>0</v>
      </c>
      <c r="BP225" s="3">
        <v>0</v>
      </c>
      <c r="BQ225" s="3">
        <v>2</v>
      </c>
      <c r="BR225" s="4" t="s">
        <v>122</v>
      </c>
      <c r="BS225" s="4" t="s">
        <v>122</v>
      </c>
      <c r="BT225" s="4" t="s">
        <v>122</v>
      </c>
      <c r="BU225" s="4" t="s">
        <v>122</v>
      </c>
      <c r="BV225" s="4" t="s">
        <v>122</v>
      </c>
      <c r="BW225" s="4" t="s">
        <v>122</v>
      </c>
      <c r="BX225" s="4" t="s">
        <v>122</v>
      </c>
      <c r="BY225" s="4" t="s">
        <v>122</v>
      </c>
      <c r="BZ225" s="4" t="s">
        <v>125</v>
      </c>
      <c r="CA225" s="4" t="s">
        <v>122</v>
      </c>
      <c r="CB225" s="3">
        <v>6</v>
      </c>
      <c r="CC225" s="3">
        <v>2</v>
      </c>
      <c r="CD225" s="3">
        <v>6</v>
      </c>
      <c r="CE225" s="3">
        <v>2</v>
      </c>
      <c r="CF225" s="3">
        <v>1</v>
      </c>
      <c r="CG225" s="4" t="s">
        <v>122</v>
      </c>
      <c r="CH225" s="3">
        <v>2.2999999999999998</v>
      </c>
      <c r="CI225" s="4" t="s">
        <v>122</v>
      </c>
      <c r="CJ225" s="4" t="s">
        <v>122</v>
      </c>
      <c r="CK225" s="4" t="s">
        <v>122</v>
      </c>
      <c r="CL225" s="4" t="s">
        <v>122</v>
      </c>
      <c r="CM225" s="4" t="s">
        <v>122</v>
      </c>
      <c r="CN225" s="4" t="s">
        <v>125</v>
      </c>
      <c r="CO225" s="4" t="s">
        <v>125</v>
      </c>
      <c r="CP225" s="4" t="s">
        <v>122</v>
      </c>
      <c r="CQ225" s="4" t="s">
        <v>122</v>
      </c>
      <c r="CR225" s="4" t="s">
        <v>122</v>
      </c>
      <c r="CS225" s="3">
        <v>4</v>
      </c>
      <c r="CT225" s="3">
        <v>2</v>
      </c>
      <c r="CU225" s="42">
        <v>4</v>
      </c>
      <c r="CV225" cm="1">
        <f t="array" ref="CV225">_xlfn.IFS(CU225*1=2,1,CU225*1=4,1,TRUE,0)</f>
        <v>1</v>
      </c>
      <c r="CW225" cm="1">
        <f t="array" ref="CW225">_xlfn.IFS(CU225*1=1,1,CU225*1=2,1,TRUE,0)</f>
        <v>0</v>
      </c>
      <c r="CX225" s="3">
        <f t="shared" si="27"/>
        <v>6</v>
      </c>
      <c r="CY225" s="3">
        <f t="shared" si="28"/>
        <v>6</v>
      </c>
      <c r="CZ225" s="3" cm="1">
        <f t="array" ref="CZ225">_xlfn.IFS(BP225&lt;&gt;"", BP225, CV225=1,  AQ225, CV225=0,  AZ225)</f>
        <v>0</v>
      </c>
      <c r="DA225" s="36" cm="1">
        <f t="array" ref="DA225">_xlfn.IFS(BO225&lt;&gt;"", BO225, CV225=0,  AQ225, CV225=1,  AZ225)</f>
        <v>0</v>
      </c>
      <c r="DB225" s="36">
        <f t="shared" si="29"/>
        <v>0</v>
      </c>
      <c r="DC225" s="3">
        <f t="shared" si="30"/>
        <v>0</v>
      </c>
      <c r="DD225" s="3">
        <f t="shared" si="31"/>
        <v>0</v>
      </c>
      <c r="DE225" s="3">
        <f t="shared" si="32"/>
        <v>-6</v>
      </c>
      <c r="DF225" s="3">
        <f t="shared" si="33"/>
        <v>0</v>
      </c>
      <c r="DG225" s="3">
        <f t="shared" si="34"/>
        <v>-6</v>
      </c>
    </row>
    <row r="226" spans="1:111" x14ac:dyDescent="0.4">
      <c r="A226">
        <v>202511</v>
      </c>
      <c r="B226">
        <v>123</v>
      </c>
      <c r="C226" s="1">
        <v>45969.407905092594</v>
      </c>
      <c r="D226" s="1">
        <v>45969.412002314813</v>
      </c>
      <c r="E226">
        <v>0</v>
      </c>
      <c r="F226" s="2" t="s">
        <v>144</v>
      </c>
      <c r="G226">
        <v>100</v>
      </c>
      <c r="H226">
        <v>354</v>
      </c>
      <c r="I226">
        <v>1</v>
      </c>
      <c r="J226" s="1">
        <v>45969.412017615738</v>
      </c>
      <c r="K226" s="2" t="s">
        <v>145</v>
      </c>
      <c r="L226" s="2" t="s">
        <v>122</v>
      </c>
      <c r="M226" s="2" t="s">
        <v>122</v>
      </c>
      <c r="N226" s="2" t="s">
        <v>122</v>
      </c>
      <c r="O226" s="2" t="s">
        <v>122</v>
      </c>
      <c r="P226">
        <v>33.491</v>
      </c>
      <c r="Q226">
        <v>-112.2491</v>
      </c>
      <c r="R226" s="2" t="s">
        <v>129</v>
      </c>
      <c r="S226" s="2" t="s">
        <v>124</v>
      </c>
      <c r="T226">
        <v>4</v>
      </c>
      <c r="U226">
        <v>1</v>
      </c>
      <c r="V226">
        <v>5</v>
      </c>
      <c r="W226">
        <v>5</v>
      </c>
      <c r="X226">
        <v>2</v>
      </c>
      <c r="Y226">
        <v>2</v>
      </c>
      <c r="Z226">
        <v>2</v>
      </c>
      <c r="AA226">
        <v>2</v>
      </c>
      <c r="AB226" s="2" t="s">
        <v>125</v>
      </c>
      <c r="AC226" s="2" t="s">
        <v>125</v>
      </c>
      <c r="AD226" s="2" t="s">
        <v>125</v>
      </c>
      <c r="AE226" s="2" t="s">
        <v>122</v>
      </c>
      <c r="AF226" s="2" t="s">
        <v>122</v>
      </c>
      <c r="AG226">
        <v>3</v>
      </c>
      <c r="AH226">
        <v>4</v>
      </c>
      <c r="AI226">
        <v>2</v>
      </c>
      <c r="AJ226">
        <v>4</v>
      </c>
      <c r="AK226">
        <v>8</v>
      </c>
      <c r="AL226">
        <v>5</v>
      </c>
      <c r="AM226">
        <v>3</v>
      </c>
      <c r="AN226">
        <v>5</v>
      </c>
      <c r="AO226">
        <v>4</v>
      </c>
      <c r="AP226">
        <v>4</v>
      </c>
      <c r="AQ226" s="2" t="s">
        <v>122</v>
      </c>
      <c r="AR226" s="2" t="s">
        <v>122</v>
      </c>
      <c r="AS226">
        <v>4</v>
      </c>
      <c r="AT226">
        <v>8</v>
      </c>
      <c r="AU226">
        <v>5</v>
      </c>
      <c r="AV226">
        <v>3</v>
      </c>
      <c r="AW226">
        <v>7</v>
      </c>
      <c r="AX226">
        <v>4</v>
      </c>
      <c r="AY226">
        <v>4</v>
      </c>
      <c r="AZ226" s="2" t="s">
        <v>122</v>
      </c>
      <c r="BA226" s="2" t="s">
        <v>122</v>
      </c>
      <c r="BB226" s="2" t="s">
        <v>122</v>
      </c>
      <c r="BC226" s="2" t="s">
        <v>122</v>
      </c>
      <c r="BD226" s="2" t="s">
        <v>122</v>
      </c>
      <c r="BE226" s="2" t="s">
        <v>122</v>
      </c>
      <c r="BF226" s="2" t="s">
        <v>122</v>
      </c>
      <c r="BG226" s="2" t="s">
        <v>122</v>
      </c>
      <c r="BH226" s="2" t="s">
        <v>122</v>
      </c>
      <c r="BI226" s="2" t="s">
        <v>122</v>
      </c>
      <c r="BJ226" s="2" t="s">
        <v>122</v>
      </c>
      <c r="BK226" s="2" t="s">
        <v>122</v>
      </c>
      <c r="BL226" s="2" t="s">
        <v>122</v>
      </c>
      <c r="BM226" s="2" t="s">
        <v>122</v>
      </c>
      <c r="BN226" s="2" t="s">
        <v>122</v>
      </c>
      <c r="BO226">
        <v>4</v>
      </c>
      <c r="BP226">
        <v>4</v>
      </c>
      <c r="BQ226">
        <v>2</v>
      </c>
      <c r="BR226" s="2" t="s">
        <v>125</v>
      </c>
      <c r="BS226" s="2" t="s">
        <v>122</v>
      </c>
      <c r="BT226" s="2" t="s">
        <v>122</v>
      </c>
      <c r="BU226" s="2" t="s">
        <v>122</v>
      </c>
      <c r="BV226" s="2" t="s">
        <v>125</v>
      </c>
      <c r="BW226" s="2" t="s">
        <v>122</v>
      </c>
      <c r="BX226" s="2" t="s">
        <v>122</v>
      </c>
      <c r="BY226" s="2" t="s">
        <v>122</v>
      </c>
      <c r="BZ226" s="2" t="s">
        <v>122</v>
      </c>
      <c r="CA226">
        <v>1</v>
      </c>
      <c r="CB226">
        <v>4</v>
      </c>
      <c r="CC226">
        <v>2</v>
      </c>
      <c r="CD226">
        <v>4</v>
      </c>
      <c r="CE226">
        <v>2</v>
      </c>
      <c r="CF226">
        <v>1</v>
      </c>
      <c r="CG226" s="2" t="s">
        <v>122</v>
      </c>
      <c r="CH226">
        <v>2.2999999999999998</v>
      </c>
      <c r="CI226" s="2" t="s">
        <v>122</v>
      </c>
      <c r="CJ226" s="2" t="s">
        <v>122</v>
      </c>
      <c r="CK226" s="2" t="s">
        <v>122</v>
      </c>
      <c r="CL226" s="2" t="s">
        <v>125</v>
      </c>
      <c r="CM226" s="2" t="s">
        <v>122</v>
      </c>
      <c r="CN226" s="2" t="s">
        <v>122</v>
      </c>
      <c r="CO226" s="2" t="s">
        <v>122</v>
      </c>
      <c r="CP226" s="2" t="s">
        <v>122</v>
      </c>
      <c r="CQ226" s="2" t="s">
        <v>122</v>
      </c>
      <c r="CR226" s="2" t="s">
        <v>122</v>
      </c>
      <c r="CS226">
        <v>4</v>
      </c>
      <c r="CT226">
        <v>5</v>
      </c>
      <c r="CU226" s="43">
        <v>3</v>
      </c>
      <c r="CV226" cm="1">
        <f t="array" ref="CV226">_xlfn.IFS(CU226*1=2,1,CU226*1=4,1,TRUE,0)</f>
        <v>0</v>
      </c>
      <c r="CW226" cm="1">
        <f t="array" ref="CW226">_xlfn.IFS(CU226*1=1,1,CU226*1=2,1,TRUE,0)</f>
        <v>0</v>
      </c>
      <c r="CX226" s="3">
        <f t="shared" si="27"/>
        <v>4</v>
      </c>
      <c r="CY226" s="3">
        <f t="shared" si="28"/>
        <v>4</v>
      </c>
      <c r="CZ226" s="3" cm="1">
        <f t="array" ref="CZ226">_xlfn.IFS(BP226&lt;&gt;"", BP226, CV226=1,  AQ226, CV226=0,  AZ226)</f>
        <v>4</v>
      </c>
      <c r="DA226" s="36" cm="1">
        <f t="array" ref="DA226">_xlfn.IFS(BO226&lt;&gt;"", BO226, CV226=0,  AQ226, CV226=1,  AZ226)</f>
        <v>4</v>
      </c>
      <c r="DB226" s="36">
        <f t="shared" si="29"/>
        <v>0</v>
      </c>
      <c r="DC226" s="3">
        <f t="shared" si="30"/>
        <v>0</v>
      </c>
      <c r="DD226" s="3">
        <f t="shared" si="31"/>
        <v>0</v>
      </c>
      <c r="DE226" s="3">
        <f t="shared" si="32"/>
        <v>0</v>
      </c>
      <c r="DF226" s="3">
        <f t="shared" si="33"/>
        <v>0</v>
      </c>
      <c r="DG226" s="3">
        <f t="shared" si="34"/>
        <v>0</v>
      </c>
    </row>
    <row r="227" spans="1:111" x14ac:dyDescent="0.4">
      <c r="A227">
        <v>202511</v>
      </c>
      <c r="B227">
        <v>123</v>
      </c>
      <c r="C227" s="1">
        <v>45969.40828703704</v>
      </c>
      <c r="D227" s="1">
        <v>45969.414189814815</v>
      </c>
      <c r="E227">
        <v>0</v>
      </c>
      <c r="F227" s="2" t="s">
        <v>146</v>
      </c>
      <c r="G227">
        <v>100</v>
      </c>
      <c r="H227">
        <v>509</v>
      </c>
      <c r="I227">
        <v>1</v>
      </c>
      <c r="J227" s="1">
        <v>45969.414198530096</v>
      </c>
      <c r="K227" s="2" t="s">
        <v>147</v>
      </c>
      <c r="L227" s="2" t="s">
        <v>122</v>
      </c>
      <c r="M227" s="2" t="s">
        <v>122</v>
      </c>
      <c r="N227" s="2" t="s">
        <v>122</v>
      </c>
      <c r="O227" s="2" t="s">
        <v>122</v>
      </c>
      <c r="P227">
        <v>32.250300000000003</v>
      </c>
      <c r="Q227">
        <v>-110.94499999999999</v>
      </c>
      <c r="R227" s="2" t="s">
        <v>129</v>
      </c>
      <c r="S227" s="2" t="s">
        <v>124</v>
      </c>
      <c r="T227">
        <v>4</v>
      </c>
      <c r="U227">
        <v>1</v>
      </c>
      <c r="V227">
        <v>1</v>
      </c>
      <c r="W227">
        <v>1</v>
      </c>
      <c r="X227">
        <v>1</v>
      </c>
      <c r="Y227">
        <v>4</v>
      </c>
      <c r="Z227">
        <v>4</v>
      </c>
      <c r="AA227">
        <v>4</v>
      </c>
      <c r="AB227" s="2" t="s">
        <v>122</v>
      </c>
      <c r="AC227" s="2" t="s">
        <v>122</v>
      </c>
      <c r="AD227" s="2" t="s">
        <v>122</v>
      </c>
      <c r="AE227" s="2" t="s">
        <v>122</v>
      </c>
      <c r="AF227" s="2" t="s">
        <v>122</v>
      </c>
      <c r="AG227">
        <v>5</v>
      </c>
      <c r="AH227">
        <v>5</v>
      </c>
      <c r="AI227">
        <v>2</v>
      </c>
      <c r="AJ227">
        <v>6</v>
      </c>
      <c r="AK227">
        <v>6</v>
      </c>
      <c r="AL227">
        <v>6</v>
      </c>
      <c r="AM227">
        <v>6</v>
      </c>
      <c r="AN227">
        <v>6</v>
      </c>
      <c r="AO227">
        <v>2</v>
      </c>
      <c r="AP227">
        <v>1</v>
      </c>
      <c r="AQ227" s="2" t="s">
        <v>122</v>
      </c>
      <c r="AR227" s="2" t="s">
        <v>122</v>
      </c>
      <c r="AS227">
        <v>4</v>
      </c>
      <c r="AT227">
        <v>5</v>
      </c>
      <c r="AU227">
        <v>4</v>
      </c>
      <c r="AV227">
        <v>4</v>
      </c>
      <c r="AW227">
        <v>4</v>
      </c>
      <c r="AX227">
        <v>2</v>
      </c>
      <c r="AY227">
        <v>2</v>
      </c>
      <c r="AZ227" s="2" t="s">
        <v>122</v>
      </c>
      <c r="BA227" s="2" t="s">
        <v>122</v>
      </c>
      <c r="BB227" s="2" t="s">
        <v>122</v>
      </c>
      <c r="BC227" s="2" t="s">
        <v>122</v>
      </c>
      <c r="BD227" s="2" t="s">
        <v>122</v>
      </c>
      <c r="BE227" s="2" t="s">
        <v>122</v>
      </c>
      <c r="BF227" s="2" t="s">
        <v>122</v>
      </c>
      <c r="BG227" s="2" t="s">
        <v>122</v>
      </c>
      <c r="BH227" s="2" t="s">
        <v>122</v>
      </c>
      <c r="BI227" s="2" t="s">
        <v>122</v>
      </c>
      <c r="BJ227" s="2" t="s">
        <v>122</v>
      </c>
      <c r="BK227" s="2" t="s">
        <v>122</v>
      </c>
      <c r="BL227" s="2" t="s">
        <v>122</v>
      </c>
      <c r="BM227" s="2" t="s">
        <v>122</v>
      </c>
      <c r="BN227" s="2" t="s">
        <v>122</v>
      </c>
      <c r="BO227">
        <v>5</v>
      </c>
      <c r="BP227">
        <v>5</v>
      </c>
      <c r="BQ227">
        <v>2</v>
      </c>
      <c r="BR227" s="2" t="s">
        <v>125</v>
      </c>
      <c r="BS227" s="2" t="s">
        <v>122</v>
      </c>
      <c r="BT227" s="2" t="s">
        <v>122</v>
      </c>
      <c r="BU227" s="2" t="s">
        <v>122</v>
      </c>
      <c r="BV227" s="2" t="s">
        <v>125</v>
      </c>
      <c r="BW227" s="2" t="s">
        <v>122</v>
      </c>
      <c r="BX227" s="2" t="s">
        <v>122</v>
      </c>
      <c r="BY227" s="2" t="s">
        <v>122</v>
      </c>
      <c r="BZ227" s="2" t="s">
        <v>122</v>
      </c>
      <c r="CA227">
        <v>1</v>
      </c>
      <c r="CB227">
        <v>5</v>
      </c>
      <c r="CC227">
        <v>2</v>
      </c>
      <c r="CD227">
        <v>5</v>
      </c>
      <c r="CE227">
        <v>2</v>
      </c>
      <c r="CF227">
        <v>1</v>
      </c>
      <c r="CG227" s="2" t="s">
        <v>122</v>
      </c>
      <c r="CH227">
        <v>3</v>
      </c>
      <c r="CI227" s="2" t="s">
        <v>125</v>
      </c>
      <c r="CJ227" s="2" t="s">
        <v>122</v>
      </c>
      <c r="CK227" s="2" t="s">
        <v>122</v>
      </c>
      <c r="CL227" s="2" t="s">
        <v>122</v>
      </c>
      <c r="CM227" s="2" t="s">
        <v>122</v>
      </c>
      <c r="CN227" s="2" t="s">
        <v>122</v>
      </c>
      <c r="CO227" s="2" t="s">
        <v>122</v>
      </c>
      <c r="CP227" s="2" t="s">
        <v>122</v>
      </c>
      <c r="CQ227" s="2" t="s">
        <v>122</v>
      </c>
      <c r="CR227" s="2" t="s">
        <v>122</v>
      </c>
      <c r="CS227">
        <v>5</v>
      </c>
      <c r="CT227">
        <v>2</v>
      </c>
      <c r="CU227" s="43">
        <v>3</v>
      </c>
      <c r="CV227" cm="1">
        <f t="array" ref="CV227">_xlfn.IFS(CU227*1=2,1,CU227*1=4,1,TRUE,0)</f>
        <v>0</v>
      </c>
      <c r="CW227" cm="1">
        <f t="array" ref="CW227">_xlfn.IFS(CU227*1=1,1,CU227*1=2,1,TRUE,0)</f>
        <v>0</v>
      </c>
      <c r="CX227" s="3">
        <f t="shared" si="27"/>
        <v>5</v>
      </c>
      <c r="CY227" s="3">
        <f t="shared" si="28"/>
        <v>5</v>
      </c>
      <c r="CZ227" s="3" cm="1">
        <f t="array" ref="CZ227">_xlfn.IFS(BP227&lt;&gt;"", BP227, CV227=1,  AQ227, CV227=0,  AZ227)</f>
        <v>5</v>
      </c>
      <c r="DA227" s="36" cm="1">
        <f t="array" ref="DA227">_xlfn.IFS(BO227&lt;&gt;"", BO227, CV227=0,  AQ227, CV227=1,  AZ227)</f>
        <v>5</v>
      </c>
      <c r="DB227" s="36">
        <f t="shared" si="29"/>
        <v>0</v>
      </c>
      <c r="DC227" s="3">
        <f t="shared" si="30"/>
        <v>0</v>
      </c>
      <c r="DD227" s="3">
        <f t="shared" si="31"/>
        <v>0</v>
      </c>
      <c r="DE227" s="3">
        <f t="shared" si="32"/>
        <v>0</v>
      </c>
      <c r="DF227" s="3">
        <f t="shared" si="33"/>
        <v>0</v>
      </c>
      <c r="DG227" s="3">
        <f t="shared" si="34"/>
        <v>0</v>
      </c>
    </row>
    <row r="228" spans="1:111" x14ac:dyDescent="0.4">
      <c r="A228">
        <v>202511</v>
      </c>
      <c r="B228">
        <v>456</v>
      </c>
      <c r="C228" s="5">
        <v>45969.409016203703</v>
      </c>
      <c r="D228" s="5">
        <v>45969.413252314815</v>
      </c>
      <c r="E228" s="3">
        <v>0</v>
      </c>
      <c r="F228" s="4" t="s">
        <v>368</v>
      </c>
      <c r="G228" s="3">
        <v>100</v>
      </c>
      <c r="H228" s="3">
        <v>366</v>
      </c>
      <c r="I228" s="3">
        <v>1</v>
      </c>
      <c r="J228" s="5">
        <v>45969.413265115742</v>
      </c>
      <c r="K228" s="4" t="s">
        <v>367</v>
      </c>
      <c r="L228" s="4" t="s">
        <v>122</v>
      </c>
      <c r="M228" s="4" t="s">
        <v>122</v>
      </c>
      <c r="N228" s="4" t="s">
        <v>122</v>
      </c>
      <c r="O228" s="4" t="s">
        <v>122</v>
      </c>
      <c r="P228" s="3">
        <v>41.883499999999998</v>
      </c>
      <c r="Q228" s="3">
        <v>-87.630499999999998</v>
      </c>
      <c r="R228" s="4" t="s">
        <v>129</v>
      </c>
      <c r="S228" s="4" t="s">
        <v>124</v>
      </c>
      <c r="T228" s="3">
        <v>4</v>
      </c>
      <c r="U228" s="3">
        <v>1</v>
      </c>
      <c r="V228" s="3">
        <v>2</v>
      </c>
      <c r="W228" s="3">
        <v>3</v>
      </c>
      <c r="X228" s="3">
        <v>1</v>
      </c>
      <c r="Y228" s="3">
        <v>1</v>
      </c>
      <c r="Z228" s="3">
        <v>1</v>
      </c>
      <c r="AA228" s="3">
        <v>1</v>
      </c>
      <c r="AB228" s="4" t="s">
        <v>122</v>
      </c>
      <c r="AC228" s="4" t="s">
        <v>122</v>
      </c>
      <c r="AD228" s="4" t="s">
        <v>122</v>
      </c>
      <c r="AE228" s="4" t="s">
        <v>122</v>
      </c>
      <c r="AF228" s="4" t="s">
        <v>122</v>
      </c>
      <c r="AG228" s="3">
        <v>1</v>
      </c>
      <c r="AH228" s="3">
        <v>0</v>
      </c>
      <c r="AI228" s="4" t="s">
        <v>122</v>
      </c>
      <c r="AJ228" s="3">
        <v>5</v>
      </c>
      <c r="AK228" s="3">
        <v>9</v>
      </c>
      <c r="AL228" s="3">
        <v>7</v>
      </c>
      <c r="AM228" s="3">
        <v>5</v>
      </c>
      <c r="AN228" s="3">
        <v>5</v>
      </c>
      <c r="AO228" s="3">
        <v>2</v>
      </c>
      <c r="AP228" s="3">
        <v>2</v>
      </c>
      <c r="AQ228" s="4" t="s">
        <v>122</v>
      </c>
      <c r="AR228" s="4" t="s">
        <v>122</v>
      </c>
      <c r="AS228" s="3">
        <v>2</v>
      </c>
      <c r="AT228" s="3">
        <v>9</v>
      </c>
      <c r="AU228" s="3">
        <v>3</v>
      </c>
      <c r="AV228" s="3">
        <v>1</v>
      </c>
      <c r="AW228" s="3">
        <v>2</v>
      </c>
      <c r="AX228" s="3">
        <v>2</v>
      </c>
      <c r="AY228" s="3">
        <v>1</v>
      </c>
      <c r="AZ228" s="4" t="s">
        <v>122</v>
      </c>
      <c r="BA228" s="4" t="s">
        <v>122</v>
      </c>
      <c r="BB228" s="4" t="s">
        <v>122</v>
      </c>
      <c r="BC228" s="4" t="s">
        <v>122</v>
      </c>
      <c r="BD228" s="4" t="s">
        <v>122</v>
      </c>
      <c r="BE228" s="4" t="s">
        <v>122</v>
      </c>
      <c r="BF228" s="4" t="s">
        <v>122</v>
      </c>
      <c r="BG228" s="4" t="s">
        <v>122</v>
      </c>
      <c r="BH228" s="4" t="s">
        <v>122</v>
      </c>
      <c r="BI228" s="4" t="s">
        <v>122</v>
      </c>
      <c r="BJ228" s="4" t="s">
        <v>122</v>
      </c>
      <c r="BK228" s="4" t="s">
        <v>122</v>
      </c>
      <c r="BL228" s="4" t="s">
        <v>122</v>
      </c>
      <c r="BM228" s="4" t="s">
        <v>122</v>
      </c>
      <c r="BN228" s="4" t="s">
        <v>122</v>
      </c>
      <c r="BO228" s="3">
        <v>0</v>
      </c>
      <c r="BP228" s="3">
        <v>0</v>
      </c>
      <c r="BQ228" s="3">
        <v>3</v>
      </c>
      <c r="BR228" s="4" t="s">
        <v>125</v>
      </c>
      <c r="BS228" s="4" t="s">
        <v>122</v>
      </c>
      <c r="BT228" s="4" t="s">
        <v>122</v>
      </c>
      <c r="BU228" s="4" t="s">
        <v>122</v>
      </c>
      <c r="BV228" s="4" t="s">
        <v>125</v>
      </c>
      <c r="BW228" s="4" t="s">
        <v>125</v>
      </c>
      <c r="BX228" s="4" t="s">
        <v>122</v>
      </c>
      <c r="BY228" s="4" t="s">
        <v>125</v>
      </c>
      <c r="BZ228" s="4" t="s">
        <v>122</v>
      </c>
      <c r="CA228" s="3">
        <v>1</v>
      </c>
      <c r="CB228" s="3">
        <v>0</v>
      </c>
      <c r="CC228" s="4" t="s">
        <v>122</v>
      </c>
      <c r="CD228" s="3">
        <v>0</v>
      </c>
      <c r="CE228" s="4" t="s">
        <v>122</v>
      </c>
      <c r="CF228" s="3">
        <v>1</v>
      </c>
      <c r="CG228" s="4" t="s">
        <v>122</v>
      </c>
      <c r="CH228" s="3">
        <v>2.7</v>
      </c>
      <c r="CI228" s="4" t="s">
        <v>122</v>
      </c>
      <c r="CJ228" s="4" t="s">
        <v>122</v>
      </c>
      <c r="CK228" s="4" t="s">
        <v>122</v>
      </c>
      <c r="CL228" s="4" t="s">
        <v>122</v>
      </c>
      <c r="CM228" s="4" t="s">
        <v>122</v>
      </c>
      <c r="CN228" s="4" t="s">
        <v>122</v>
      </c>
      <c r="CO228" s="4" t="s">
        <v>125</v>
      </c>
      <c r="CP228" s="4" t="s">
        <v>122</v>
      </c>
      <c r="CQ228" s="4" t="s">
        <v>122</v>
      </c>
      <c r="CR228" s="4" t="s">
        <v>122</v>
      </c>
      <c r="CS228" s="3">
        <v>4</v>
      </c>
      <c r="CT228" s="3">
        <v>-999</v>
      </c>
      <c r="CU228" s="42">
        <v>4</v>
      </c>
      <c r="CV228" cm="1">
        <f t="array" ref="CV228">_xlfn.IFS(CU228*1=2,1,CU228*1=4,1,TRUE,0)</f>
        <v>1</v>
      </c>
      <c r="CW228" cm="1">
        <f t="array" ref="CW228">_xlfn.IFS(CU228*1=1,1,CU228*1=2,1,TRUE,0)</f>
        <v>0</v>
      </c>
      <c r="CX228" s="3">
        <f t="shared" si="27"/>
        <v>0</v>
      </c>
      <c r="CY228" s="3">
        <f t="shared" si="28"/>
        <v>0</v>
      </c>
      <c r="CZ228" s="3" cm="1">
        <f t="array" ref="CZ228">_xlfn.IFS(BP228&lt;&gt;"", BP228, CV228=1,  AQ228, CV228=0,  AZ228)</f>
        <v>0</v>
      </c>
      <c r="DA228" s="36" cm="1">
        <f t="array" ref="DA228">_xlfn.IFS(BO228&lt;&gt;"", BO228, CV228=0,  AQ228, CV228=1,  AZ228)</f>
        <v>0</v>
      </c>
      <c r="DB228" s="36">
        <f t="shared" si="29"/>
        <v>0</v>
      </c>
      <c r="DC228" s="3">
        <f t="shared" si="30"/>
        <v>0</v>
      </c>
      <c r="DD228" s="3">
        <f t="shared" si="31"/>
        <v>0</v>
      </c>
      <c r="DE228" s="3">
        <f t="shared" si="32"/>
        <v>0</v>
      </c>
      <c r="DF228" s="3">
        <f t="shared" si="33"/>
        <v>0</v>
      </c>
      <c r="DG228" s="3">
        <f t="shared" si="34"/>
        <v>0</v>
      </c>
    </row>
    <row r="229" spans="1:111" x14ac:dyDescent="0.4">
      <c r="A229">
        <v>202511</v>
      </c>
      <c r="B229">
        <v>456</v>
      </c>
      <c r="C229" s="5">
        <v>45969.410324074073</v>
      </c>
      <c r="D229" s="5">
        <v>45969.415347222224</v>
      </c>
      <c r="E229" s="3">
        <v>0</v>
      </c>
      <c r="F229" s="4" t="s">
        <v>366</v>
      </c>
      <c r="G229" s="3">
        <v>100</v>
      </c>
      <c r="H229" s="3">
        <v>434</v>
      </c>
      <c r="I229" s="3">
        <v>1</v>
      </c>
      <c r="J229" s="5">
        <v>45969.415357488426</v>
      </c>
      <c r="K229" s="4" t="s">
        <v>365</v>
      </c>
      <c r="L229" s="4" t="s">
        <v>122</v>
      </c>
      <c r="M229" s="4" t="s">
        <v>122</v>
      </c>
      <c r="N229" s="4" t="s">
        <v>122</v>
      </c>
      <c r="O229" s="4" t="s">
        <v>122</v>
      </c>
      <c r="P229" s="3">
        <v>36.128999999999998</v>
      </c>
      <c r="Q229" s="3">
        <v>-115.2765</v>
      </c>
      <c r="R229" s="4" t="s">
        <v>129</v>
      </c>
      <c r="S229" s="4" t="s">
        <v>124</v>
      </c>
      <c r="T229" s="3">
        <v>4</v>
      </c>
      <c r="U229" s="3">
        <v>1</v>
      </c>
      <c r="V229" s="3">
        <v>2</v>
      </c>
      <c r="W229" s="3">
        <v>2</v>
      </c>
      <c r="X229" s="3">
        <v>1</v>
      </c>
      <c r="Y229" s="3">
        <v>2</v>
      </c>
      <c r="Z229" s="3">
        <v>2</v>
      </c>
      <c r="AA229" s="3">
        <v>3</v>
      </c>
      <c r="AB229" s="4" t="s">
        <v>122</v>
      </c>
      <c r="AC229" s="4" t="s">
        <v>122</v>
      </c>
      <c r="AD229" s="4" t="s">
        <v>122</v>
      </c>
      <c r="AE229" s="4" t="s">
        <v>122</v>
      </c>
      <c r="AF229" s="4" t="s">
        <v>122</v>
      </c>
      <c r="AG229" s="3">
        <v>5</v>
      </c>
      <c r="AH229" s="3">
        <v>5</v>
      </c>
      <c r="AI229" s="3">
        <v>2</v>
      </c>
      <c r="AJ229" s="3">
        <v>7</v>
      </c>
      <c r="AK229" s="3">
        <v>7</v>
      </c>
      <c r="AL229" s="3">
        <v>4</v>
      </c>
      <c r="AM229" s="3">
        <v>7</v>
      </c>
      <c r="AN229" s="3">
        <v>7</v>
      </c>
      <c r="AO229" s="3">
        <v>2</v>
      </c>
      <c r="AP229" s="3">
        <v>3</v>
      </c>
      <c r="AQ229" s="3">
        <v>4.5</v>
      </c>
      <c r="AR229" s="3">
        <v>2</v>
      </c>
      <c r="AS229" s="3">
        <v>6</v>
      </c>
      <c r="AT229" s="3">
        <v>4</v>
      </c>
      <c r="AU229" s="3">
        <v>6</v>
      </c>
      <c r="AV229" s="3">
        <v>6</v>
      </c>
      <c r="AW229" s="3">
        <v>4</v>
      </c>
      <c r="AX229" s="3">
        <v>1</v>
      </c>
      <c r="AY229" s="3">
        <v>2</v>
      </c>
      <c r="AZ229" s="3">
        <v>4</v>
      </c>
      <c r="BA229" s="3">
        <v>2</v>
      </c>
      <c r="BB229" s="3">
        <v>6</v>
      </c>
      <c r="BC229" s="3">
        <v>6</v>
      </c>
      <c r="BD229" s="3">
        <v>2</v>
      </c>
      <c r="BE229" s="4" t="s">
        <v>125</v>
      </c>
      <c r="BF229" s="4" t="s">
        <v>122</v>
      </c>
      <c r="BG229" s="4" t="s">
        <v>122</v>
      </c>
      <c r="BH229" s="4" t="s">
        <v>122</v>
      </c>
      <c r="BI229" s="4" t="s">
        <v>122</v>
      </c>
      <c r="BJ229" s="4" t="s">
        <v>122</v>
      </c>
      <c r="BK229" s="4" t="s">
        <v>122</v>
      </c>
      <c r="BL229" s="4" t="s">
        <v>122</v>
      </c>
      <c r="BM229" s="4" t="s">
        <v>122</v>
      </c>
      <c r="BN229" s="4" t="s">
        <v>122</v>
      </c>
      <c r="BO229" s="4" t="s">
        <v>122</v>
      </c>
      <c r="BP229" s="4" t="s">
        <v>122</v>
      </c>
      <c r="BQ229" s="4" t="s">
        <v>122</v>
      </c>
      <c r="BR229" s="4" t="s">
        <v>122</v>
      </c>
      <c r="BS229" s="4" t="s">
        <v>122</v>
      </c>
      <c r="BT229" s="4" t="s">
        <v>122</v>
      </c>
      <c r="BU229" s="4" t="s">
        <v>122</v>
      </c>
      <c r="BV229" s="4" t="s">
        <v>122</v>
      </c>
      <c r="BW229" s="4" t="s">
        <v>122</v>
      </c>
      <c r="BX229" s="4" t="s">
        <v>122</v>
      </c>
      <c r="BY229" s="4" t="s">
        <v>122</v>
      </c>
      <c r="BZ229" s="4" t="s">
        <v>122</v>
      </c>
      <c r="CA229" s="4" t="s">
        <v>122</v>
      </c>
      <c r="CB229" s="4" t="s">
        <v>122</v>
      </c>
      <c r="CC229" s="4" t="s">
        <v>122</v>
      </c>
      <c r="CD229" s="4" t="s">
        <v>122</v>
      </c>
      <c r="CE229" s="4" t="s">
        <v>122</v>
      </c>
      <c r="CF229" s="3">
        <v>1</v>
      </c>
      <c r="CG229" s="4" t="s">
        <v>122</v>
      </c>
      <c r="CH229" s="3">
        <v>3</v>
      </c>
      <c r="CI229" s="4" t="s">
        <v>122</v>
      </c>
      <c r="CJ229" s="4" t="s">
        <v>122</v>
      </c>
      <c r="CK229" s="4" t="s">
        <v>122</v>
      </c>
      <c r="CL229" s="4" t="s">
        <v>122</v>
      </c>
      <c r="CM229" s="4" t="s">
        <v>122</v>
      </c>
      <c r="CN229" s="4" t="s">
        <v>122</v>
      </c>
      <c r="CO229" s="4" t="s">
        <v>125</v>
      </c>
      <c r="CP229" s="4" t="s">
        <v>122</v>
      </c>
      <c r="CQ229" s="4" t="s">
        <v>122</v>
      </c>
      <c r="CR229" s="4" t="s">
        <v>122</v>
      </c>
      <c r="CS229" s="3">
        <v>4</v>
      </c>
      <c r="CT229" s="3">
        <v>6</v>
      </c>
      <c r="CU229" s="42">
        <v>2</v>
      </c>
      <c r="CV229" cm="1">
        <f t="array" ref="CV229">_xlfn.IFS(CU229*1=2,1,CU229*1=4,1,TRUE,0)</f>
        <v>1</v>
      </c>
      <c r="CW229" cm="1">
        <f t="array" ref="CW229">_xlfn.IFS(CU229*1=1,1,CU229*1=2,1,TRUE,0)</f>
        <v>1</v>
      </c>
      <c r="CX229" s="3">
        <f t="shared" si="27"/>
        <v>6</v>
      </c>
      <c r="CY229" s="3">
        <f t="shared" si="28"/>
        <v>6</v>
      </c>
      <c r="CZ229" s="3" cm="1">
        <f t="array" ref="CZ229">_xlfn.IFS(BP229&lt;&gt;"", BP229, CV229=1,  AQ229, CV229=0,  AZ229)</f>
        <v>4.5</v>
      </c>
      <c r="DA229" s="36" cm="1">
        <f t="array" ref="DA229">_xlfn.IFS(BO229&lt;&gt;"", BO229, CV229=0,  AQ229, CV229=1,  AZ229)</f>
        <v>4</v>
      </c>
      <c r="DB229" s="36">
        <f t="shared" si="29"/>
        <v>1</v>
      </c>
      <c r="DC229" s="3">
        <f t="shared" si="30"/>
        <v>1</v>
      </c>
      <c r="DD229" s="3">
        <f t="shared" si="31"/>
        <v>-0.5</v>
      </c>
      <c r="DE229" s="3">
        <f t="shared" si="32"/>
        <v>1</v>
      </c>
      <c r="DF229" s="3">
        <f t="shared" si="33"/>
        <v>-1</v>
      </c>
      <c r="DG229" s="3">
        <f t="shared" si="34"/>
        <v>1</v>
      </c>
    </row>
    <row r="230" spans="1:111" x14ac:dyDescent="0.4">
      <c r="A230">
        <v>202511</v>
      </c>
      <c r="B230">
        <v>123</v>
      </c>
      <c r="C230" s="1">
        <v>45969.410520833335</v>
      </c>
      <c r="D230" s="1">
        <v>45969.415185185186</v>
      </c>
      <c r="E230">
        <v>0</v>
      </c>
      <c r="F230" s="2" t="s">
        <v>148</v>
      </c>
      <c r="G230">
        <v>100</v>
      </c>
      <c r="H230">
        <v>402</v>
      </c>
      <c r="I230">
        <v>1</v>
      </c>
      <c r="J230" s="1">
        <v>45969.415198090275</v>
      </c>
      <c r="K230" s="2" t="s">
        <v>149</v>
      </c>
      <c r="L230" s="2" t="s">
        <v>122</v>
      </c>
      <c r="M230" s="2" t="s">
        <v>122</v>
      </c>
      <c r="N230" s="2" t="s">
        <v>122</v>
      </c>
      <c r="O230" s="2" t="s">
        <v>122</v>
      </c>
      <c r="P230">
        <v>36.172400000000003</v>
      </c>
      <c r="Q230">
        <v>-115.0677</v>
      </c>
      <c r="R230" s="2" t="s">
        <v>129</v>
      </c>
      <c r="S230" s="2" t="s">
        <v>124</v>
      </c>
      <c r="T230">
        <v>4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 s="2" t="s">
        <v>122</v>
      </c>
      <c r="AC230" s="2" t="s">
        <v>122</v>
      </c>
      <c r="AD230" s="2" t="s">
        <v>122</v>
      </c>
      <c r="AE230" s="2" t="s">
        <v>122</v>
      </c>
      <c r="AF230" s="2" t="s">
        <v>122</v>
      </c>
      <c r="AG230">
        <v>3</v>
      </c>
      <c r="AH230">
        <v>6</v>
      </c>
      <c r="AI230">
        <v>2</v>
      </c>
      <c r="AJ230">
        <v>5</v>
      </c>
      <c r="AK230">
        <v>5</v>
      </c>
      <c r="AL230">
        <v>5</v>
      </c>
      <c r="AM230">
        <v>6</v>
      </c>
      <c r="AN230">
        <v>6</v>
      </c>
      <c r="AO230">
        <v>2</v>
      </c>
      <c r="AP230">
        <v>2</v>
      </c>
      <c r="AQ230">
        <v>5</v>
      </c>
      <c r="AR230">
        <v>2</v>
      </c>
      <c r="AS230">
        <v>4</v>
      </c>
      <c r="AT230">
        <v>5</v>
      </c>
      <c r="AU230">
        <v>6</v>
      </c>
      <c r="AV230">
        <v>4</v>
      </c>
      <c r="AW230">
        <v>5</v>
      </c>
      <c r="AX230">
        <v>4</v>
      </c>
      <c r="AY230">
        <v>1</v>
      </c>
      <c r="AZ230">
        <v>0</v>
      </c>
      <c r="BA230" s="2" t="s">
        <v>122</v>
      </c>
      <c r="BB230">
        <v>0</v>
      </c>
      <c r="BC230">
        <v>0</v>
      </c>
      <c r="BD230">
        <v>3</v>
      </c>
      <c r="BE230" s="2" t="s">
        <v>122</v>
      </c>
      <c r="BF230" s="2" t="s">
        <v>122</v>
      </c>
      <c r="BG230" s="2" t="s">
        <v>122</v>
      </c>
      <c r="BH230" s="2" t="s">
        <v>122</v>
      </c>
      <c r="BI230" s="2" t="s">
        <v>122</v>
      </c>
      <c r="BJ230" s="2" t="s">
        <v>122</v>
      </c>
      <c r="BK230" s="2" t="s">
        <v>122</v>
      </c>
      <c r="BL230" s="2" t="s">
        <v>122</v>
      </c>
      <c r="BM230" s="2" t="s">
        <v>125</v>
      </c>
      <c r="BN230" s="2" t="s">
        <v>122</v>
      </c>
      <c r="BO230" s="2" t="s">
        <v>122</v>
      </c>
      <c r="BP230" s="2" t="s">
        <v>122</v>
      </c>
      <c r="BQ230" s="2" t="s">
        <v>122</v>
      </c>
      <c r="BR230" s="2" t="s">
        <v>122</v>
      </c>
      <c r="BS230" s="2" t="s">
        <v>122</v>
      </c>
      <c r="BT230" s="2" t="s">
        <v>122</v>
      </c>
      <c r="BU230" s="2" t="s">
        <v>122</v>
      </c>
      <c r="BV230" s="2" t="s">
        <v>122</v>
      </c>
      <c r="BW230" s="2" t="s">
        <v>122</v>
      </c>
      <c r="BX230" s="2" t="s">
        <v>122</v>
      </c>
      <c r="BY230" s="2" t="s">
        <v>122</v>
      </c>
      <c r="BZ230" s="2" t="s">
        <v>122</v>
      </c>
      <c r="CA230" s="2" t="s">
        <v>122</v>
      </c>
      <c r="CB230" s="2" t="s">
        <v>122</v>
      </c>
      <c r="CC230" s="2" t="s">
        <v>122</v>
      </c>
      <c r="CD230" s="2" t="s">
        <v>122</v>
      </c>
      <c r="CE230" s="2" t="s">
        <v>122</v>
      </c>
      <c r="CF230">
        <v>2</v>
      </c>
      <c r="CG230" s="2" t="s">
        <v>122</v>
      </c>
      <c r="CH230">
        <v>5</v>
      </c>
      <c r="CI230" s="2" t="s">
        <v>122</v>
      </c>
      <c r="CJ230" s="2" t="s">
        <v>122</v>
      </c>
      <c r="CK230" s="2" t="s">
        <v>122</v>
      </c>
      <c r="CL230" s="2" t="s">
        <v>122</v>
      </c>
      <c r="CM230" s="2" t="s">
        <v>122</v>
      </c>
      <c r="CN230" s="2" t="s">
        <v>122</v>
      </c>
      <c r="CO230" s="2" t="s">
        <v>125</v>
      </c>
      <c r="CP230" s="2" t="s">
        <v>122</v>
      </c>
      <c r="CQ230" s="2" t="s">
        <v>122</v>
      </c>
      <c r="CR230" s="2" t="s">
        <v>122</v>
      </c>
      <c r="CS230">
        <v>3</v>
      </c>
      <c r="CT230">
        <v>5</v>
      </c>
      <c r="CU230" s="43">
        <v>1</v>
      </c>
      <c r="CV230" cm="1">
        <f t="array" ref="CV230">_xlfn.IFS(CU230*1=2,1,CU230*1=4,1,TRUE,0)</f>
        <v>0</v>
      </c>
      <c r="CW230" cm="1">
        <f t="array" ref="CW230">_xlfn.IFS(CU230*1=1,1,CU230*1=2,1,TRUE,0)</f>
        <v>1</v>
      </c>
      <c r="CX230" s="3">
        <f t="shared" si="27"/>
        <v>0</v>
      </c>
      <c r="CY230" s="3">
        <f t="shared" si="28"/>
        <v>0</v>
      </c>
      <c r="CZ230" s="3" cm="1">
        <f t="array" ref="CZ230">_xlfn.IFS(BP230&lt;&gt;"", BP230, CV230=1,  AQ230, CV230=0,  AZ230)</f>
        <v>0</v>
      </c>
      <c r="DA230" s="36" cm="1">
        <f t="array" ref="DA230">_xlfn.IFS(BO230&lt;&gt;"", BO230, CV230=0,  AQ230, CV230=1,  AZ230)</f>
        <v>5</v>
      </c>
      <c r="DB230" s="36">
        <f t="shared" si="29"/>
        <v>-6</v>
      </c>
      <c r="DC230" s="3">
        <f t="shared" si="30"/>
        <v>-6</v>
      </c>
      <c r="DD230" s="3">
        <f t="shared" si="31"/>
        <v>-6</v>
      </c>
      <c r="DE230" s="3">
        <f t="shared" si="32"/>
        <v>-6</v>
      </c>
      <c r="DF230" s="3">
        <f t="shared" si="33"/>
        <v>-1</v>
      </c>
      <c r="DG230" s="3">
        <f t="shared" si="34"/>
        <v>-6</v>
      </c>
    </row>
    <row r="231" spans="1:111" x14ac:dyDescent="0.4">
      <c r="A231">
        <v>202511</v>
      </c>
      <c r="B231">
        <v>123</v>
      </c>
      <c r="C231" s="1">
        <v>45969.413206018522</v>
      </c>
      <c r="D231" s="1">
        <v>45969.417233796295</v>
      </c>
      <c r="E231">
        <v>0</v>
      </c>
      <c r="F231" s="2" t="s">
        <v>150</v>
      </c>
      <c r="G231">
        <v>100</v>
      </c>
      <c r="H231">
        <v>347</v>
      </c>
      <c r="I231">
        <v>1</v>
      </c>
      <c r="J231" s="1">
        <v>45969.417238969909</v>
      </c>
      <c r="K231" s="2" t="s">
        <v>151</v>
      </c>
      <c r="L231" s="2" t="s">
        <v>122</v>
      </c>
      <c r="M231" s="2" t="s">
        <v>122</v>
      </c>
      <c r="N231" s="2" t="s">
        <v>122</v>
      </c>
      <c r="O231" s="2" t="s">
        <v>122</v>
      </c>
      <c r="P231">
        <v>33.434199999999997</v>
      </c>
      <c r="Q231">
        <v>-111.8454</v>
      </c>
      <c r="R231" s="2" t="s">
        <v>129</v>
      </c>
      <c r="S231" s="2" t="s">
        <v>124</v>
      </c>
      <c r="T231">
        <v>4</v>
      </c>
      <c r="U231">
        <v>1</v>
      </c>
      <c r="V231">
        <v>5</v>
      </c>
      <c r="W231">
        <v>2</v>
      </c>
      <c r="X231">
        <v>1</v>
      </c>
      <c r="Y231">
        <v>4</v>
      </c>
      <c r="Z231">
        <v>4</v>
      </c>
      <c r="AA231">
        <v>3</v>
      </c>
      <c r="AB231" s="2" t="s">
        <v>122</v>
      </c>
      <c r="AC231" s="2" t="s">
        <v>122</v>
      </c>
      <c r="AD231" s="2" t="s">
        <v>122</v>
      </c>
      <c r="AE231" s="2" t="s">
        <v>122</v>
      </c>
      <c r="AF231" s="2" t="s">
        <v>122</v>
      </c>
      <c r="AG231">
        <v>2</v>
      </c>
      <c r="AH231">
        <v>6</v>
      </c>
      <c r="AI231">
        <v>2</v>
      </c>
      <c r="AJ231">
        <v>8</v>
      </c>
      <c r="AK231">
        <v>9</v>
      </c>
      <c r="AL231">
        <v>6</v>
      </c>
      <c r="AM231">
        <v>6</v>
      </c>
      <c r="AN231">
        <v>8</v>
      </c>
      <c r="AO231">
        <v>3</v>
      </c>
      <c r="AP231">
        <v>2</v>
      </c>
      <c r="AQ231" s="2" t="s">
        <v>122</v>
      </c>
      <c r="AR231" s="2" t="s">
        <v>122</v>
      </c>
      <c r="AS231">
        <v>9</v>
      </c>
      <c r="AT231">
        <v>9</v>
      </c>
      <c r="AU231">
        <v>8</v>
      </c>
      <c r="AV231">
        <v>9</v>
      </c>
      <c r="AW231">
        <v>9</v>
      </c>
      <c r="AX231">
        <v>2</v>
      </c>
      <c r="AY231">
        <v>3</v>
      </c>
      <c r="AZ231" s="2" t="s">
        <v>122</v>
      </c>
      <c r="BA231" s="2" t="s">
        <v>122</v>
      </c>
      <c r="BB231" s="2" t="s">
        <v>122</v>
      </c>
      <c r="BC231" s="2" t="s">
        <v>122</v>
      </c>
      <c r="BD231" s="2" t="s">
        <v>122</v>
      </c>
      <c r="BE231" s="2" t="s">
        <v>122</v>
      </c>
      <c r="BF231" s="2" t="s">
        <v>122</v>
      </c>
      <c r="BG231" s="2" t="s">
        <v>122</v>
      </c>
      <c r="BH231" s="2" t="s">
        <v>122</v>
      </c>
      <c r="BI231" s="2" t="s">
        <v>122</v>
      </c>
      <c r="BJ231" s="2" t="s">
        <v>122</v>
      </c>
      <c r="BK231" s="2" t="s">
        <v>122</v>
      </c>
      <c r="BL231" s="2" t="s">
        <v>122</v>
      </c>
      <c r="BM231" s="2" t="s">
        <v>122</v>
      </c>
      <c r="BN231" s="2" t="s">
        <v>122</v>
      </c>
      <c r="BO231">
        <v>6.5</v>
      </c>
      <c r="BP231">
        <v>5.5</v>
      </c>
      <c r="BQ231">
        <v>3</v>
      </c>
      <c r="BR231" s="2" t="s">
        <v>125</v>
      </c>
      <c r="BS231" s="2" t="s">
        <v>125</v>
      </c>
      <c r="BT231" s="2" t="s">
        <v>122</v>
      </c>
      <c r="BU231" s="2" t="s">
        <v>122</v>
      </c>
      <c r="BV231" s="2" t="s">
        <v>122</v>
      </c>
      <c r="BW231" s="2" t="s">
        <v>122</v>
      </c>
      <c r="BX231" s="2" t="s">
        <v>122</v>
      </c>
      <c r="BY231" s="2" t="s">
        <v>122</v>
      </c>
      <c r="BZ231" s="2" t="s">
        <v>122</v>
      </c>
      <c r="CA231">
        <v>2</v>
      </c>
      <c r="CB231">
        <v>6.5</v>
      </c>
      <c r="CC231">
        <v>3</v>
      </c>
      <c r="CD231">
        <v>7</v>
      </c>
      <c r="CE231">
        <v>3</v>
      </c>
      <c r="CF231">
        <v>2</v>
      </c>
      <c r="CG231" s="2" t="s">
        <v>122</v>
      </c>
      <c r="CH231">
        <v>2.2999999999999998</v>
      </c>
      <c r="CI231" s="2" t="s">
        <v>122</v>
      </c>
      <c r="CJ231" s="2" t="s">
        <v>122</v>
      </c>
      <c r="CK231" s="2" t="s">
        <v>122</v>
      </c>
      <c r="CL231" s="2" t="s">
        <v>125</v>
      </c>
      <c r="CM231" s="2" t="s">
        <v>122</v>
      </c>
      <c r="CN231" s="2" t="s">
        <v>122</v>
      </c>
      <c r="CO231" s="2" t="s">
        <v>125</v>
      </c>
      <c r="CP231" s="2" t="s">
        <v>122</v>
      </c>
      <c r="CQ231" s="2" t="s">
        <v>122</v>
      </c>
      <c r="CR231" s="2" t="s">
        <v>122</v>
      </c>
      <c r="CS231">
        <v>3</v>
      </c>
      <c r="CT231">
        <v>1</v>
      </c>
      <c r="CU231" s="43">
        <v>3</v>
      </c>
      <c r="CV231" cm="1">
        <f t="array" ref="CV231">_xlfn.IFS(CU231*1=2,1,CU231*1=4,1,TRUE,0)</f>
        <v>0</v>
      </c>
      <c r="CW231" cm="1">
        <f t="array" ref="CW231">_xlfn.IFS(CU231*1=1,1,CU231*1=2,1,TRUE,0)</f>
        <v>0</v>
      </c>
      <c r="CX231" s="3">
        <f t="shared" si="27"/>
        <v>6.5</v>
      </c>
      <c r="CY231" s="3">
        <f t="shared" si="28"/>
        <v>7</v>
      </c>
      <c r="CZ231" s="3" cm="1">
        <f t="array" ref="CZ231">_xlfn.IFS(BP231&lt;&gt;"", BP231, CV231=1,  AQ231, CV231=0,  AZ231)</f>
        <v>5.5</v>
      </c>
      <c r="DA231" s="36" cm="1">
        <f t="array" ref="DA231">_xlfn.IFS(BO231&lt;&gt;"", BO231, CV231=0,  AQ231, CV231=1,  AZ231)</f>
        <v>6.5</v>
      </c>
      <c r="DB231" s="36">
        <f t="shared" si="29"/>
        <v>1</v>
      </c>
      <c r="DC231" s="3">
        <f t="shared" si="30"/>
        <v>0.5</v>
      </c>
      <c r="DD231" s="3">
        <f t="shared" si="31"/>
        <v>1</v>
      </c>
      <c r="DE231" s="3">
        <f t="shared" si="32"/>
        <v>-0.5</v>
      </c>
      <c r="DF231" s="3">
        <f t="shared" si="33"/>
        <v>0.5</v>
      </c>
      <c r="DG231" s="3">
        <f t="shared" si="34"/>
        <v>0.5</v>
      </c>
    </row>
    <row r="232" spans="1:111" x14ac:dyDescent="0.4">
      <c r="A232">
        <v>202511</v>
      </c>
      <c r="B232">
        <v>456</v>
      </c>
      <c r="C232" s="5">
        <v>45969.413518518515</v>
      </c>
      <c r="D232" s="5">
        <v>45969.419745370367</v>
      </c>
      <c r="E232" s="3">
        <v>0</v>
      </c>
      <c r="F232" s="4" t="s">
        <v>320</v>
      </c>
      <c r="G232" s="3">
        <v>100</v>
      </c>
      <c r="H232" s="3">
        <v>538</v>
      </c>
      <c r="I232" s="3">
        <v>1</v>
      </c>
      <c r="J232" s="5">
        <v>45969.419755682873</v>
      </c>
      <c r="K232" s="4" t="s">
        <v>362</v>
      </c>
      <c r="L232" s="4" t="s">
        <v>122</v>
      </c>
      <c r="M232" s="4" t="s">
        <v>122</v>
      </c>
      <c r="N232" s="4" t="s">
        <v>122</v>
      </c>
      <c r="O232" s="4" t="s">
        <v>122</v>
      </c>
      <c r="P232" s="3">
        <v>32.250300000000003</v>
      </c>
      <c r="Q232" s="3">
        <v>-110.94499999999999</v>
      </c>
      <c r="R232" s="4" t="s">
        <v>129</v>
      </c>
      <c r="S232" s="4" t="s">
        <v>124</v>
      </c>
      <c r="T232" s="3">
        <v>4</v>
      </c>
      <c r="U232" s="3">
        <v>1</v>
      </c>
      <c r="V232" s="3">
        <v>5</v>
      </c>
      <c r="W232" s="3">
        <v>4</v>
      </c>
      <c r="X232" s="3">
        <v>2</v>
      </c>
      <c r="Y232" s="3">
        <v>3</v>
      </c>
      <c r="Z232" s="3">
        <v>2</v>
      </c>
      <c r="AA232" s="3">
        <v>3</v>
      </c>
      <c r="AB232" s="4" t="s">
        <v>122</v>
      </c>
      <c r="AC232" s="4" t="s">
        <v>125</v>
      </c>
      <c r="AD232" s="4" t="s">
        <v>125</v>
      </c>
      <c r="AE232" s="4" t="s">
        <v>122</v>
      </c>
      <c r="AF232" s="4" t="s">
        <v>122</v>
      </c>
      <c r="AG232" s="3">
        <v>3</v>
      </c>
      <c r="AH232" s="3">
        <v>5.5</v>
      </c>
      <c r="AI232" s="3">
        <v>2</v>
      </c>
      <c r="AJ232" s="3">
        <v>7</v>
      </c>
      <c r="AK232" s="3">
        <v>8</v>
      </c>
      <c r="AL232" s="3">
        <v>7</v>
      </c>
      <c r="AM232" s="3">
        <v>8</v>
      </c>
      <c r="AN232" s="3">
        <v>7</v>
      </c>
      <c r="AO232" s="3">
        <v>3</v>
      </c>
      <c r="AP232" s="3">
        <v>3</v>
      </c>
      <c r="AQ232" s="3">
        <v>5.5</v>
      </c>
      <c r="AR232" s="3">
        <v>2</v>
      </c>
      <c r="AS232" s="3">
        <v>6</v>
      </c>
      <c r="AT232" s="3">
        <v>8</v>
      </c>
      <c r="AU232" s="3">
        <v>4</v>
      </c>
      <c r="AV232" s="3">
        <v>6</v>
      </c>
      <c r="AW232" s="3">
        <v>7</v>
      </c>
      <c r="AX232" s="3">
        <v>2</v>
      </c>
      <c r="AY232" s="3">
        <v>2</v>
      </c>
      <c r="AZ232" s="3">
        <v>5.5</v>
      </c>
      <c r="BA232" s="3">
        <v>2</v>
      </c>
      <c r="BB232" s="3">
        <v>5.5</v>
      </c>
      <c r="BC232" s="3">
        <v>5.5</v>
      </c>
      <c r="BD232" s="3">
        <v>3</v>
      </c>
      <c r="BE232" s="4" t="s">
        <v>125</v>
      </c>
      <c r="BF232" s="4" t="s">
        <v>122</v>
      </c>
      <c r="BG232" s="4" t="s">
        <v>122</v>
      </c>
      <c r="BH232" s="4" t="s">
        <v>122</v>
      </c>
      <c r="BI232" s="4" t="s">
        <v>122</v>
      </c>
      <c r="BJ232" s="4" t="s">
        <v>122</v>
      </c>
      <c r="BK232" s="4" t="s">
        <v>125</v>
      </c>
      <c r="BL232" s="4" t="s">
        <v>125</v>
      </c>
      <c r="BM232" s="4" t="s">
        <v>122</v>
      </c>
      <c r="BN232" s="3">
        <v>1</v>
      </c>
      <c r="BO232" s="4" t="s">
        <v>122</v>
      </c>
      <c r="BP232" s="4" t="s">
        <v>122</v>
      </c>
      <c r="BQ232" s="4" t="s">
        <v>122</v>
      </c>
      <c r="BR232" s="4" t="s">
        <v>122</v>
      </c>
      <c r="BS232" s="4" t="s">
        <v>122</v>
      </c>
      <c r="BT232" s="4" t="s">
        <v>122</v>
      </c>
      <c r="BU232" s="4" t="s">
        <v>122</v>
      </c>
      <c r="BV232" s="4" t="s">
        <v>122</v>
      </c>
      <c r="BW232" s="4" t="s">
        <v>122</v>
      </c>
      <c r="BX232" s="4" t="s">
        <v>122</v>
      </c>
      <c r="BY232" s="4" t="s">
        <v>122</v>
      </c>
      <c r="BZ232" s="4" t="s">
        <v>122</v>
      </c>
      <c r="CA232" s="4" t="s">
        <v>122</v>
      </c>
      <c r="CB232" s="4" t="s">
        <v>122</v>
      </c>
      <c r="CC232" s="4" t="s">
        <v>122</v>
      </c>
      <c r="CD232" s="4" t="s">
        <v>122</v>
      </c>
      <c r="CE232" s="4" t="s">
        <v>122</v>
      </c>
      <c r="CF232" s="3">
        <v>1</v>
      </c>
      <c r="CG232" s="4" t="s">
        <v>122</v>
      </c>
      <c r="CH232" s="3">
        <v>3</v>
      </c>
      <c r="CI232" s="4" t="s">
        <v>122</v>
      </c>
      <c r="CJ232" s="4" t="s">
        <v>122</v>
      </c>
      <c r="CK232" s="4" t="s">
        <v>122</v>
      </c>
      <c r="CL232" s="4" t="s">
        <v>122</v>
      </c>
      <c r="CM232" s="4" t="s">
        <v>122</v>
      </c>
      <c r="CN232" s="4" t="s">
        <v>122</v>
      </c>
      <c r="CO232" s="4" t="s">
        <v>125</v>
      </c>
      <c r="CP232" s="4" t="s">
        <v>122</v>
      </c>
      <c r="CQ232" s="4" t="s">
        <v>122</v>
      </c>
      <c r="CR232" s="4" t="s">
        <v>122</v>
      </c>
      <c r="CS232" s="3">
        <v>3</v>
      </c>
      <c r="CT232" s="3">
        <v>3</v>
      </c>
      <c r="CU232" s="42">
        <v>2</v>
      </c>
      <c r="CV232" cm="1">
        <f t="array" ref="CV232">_xlfn.IFS(CU232*1=2,1,CU232*1=4,1,TRUE,0)</f>
        <v>1</v>
      </c>
      <c r="CW232" cm="1">
        <f t="array" ref="CW232">_xlfn.IFS(CU232*1=1,1,CU232*1=2,1,TRUE,0)</f>
        <v>1</v>
      </c>
      <c r="CX232" s="3">
        <f t="shared" si="27"/>
        <v>5.5</v>
      </c>
      <c r="CY232" s="3">
        <f t="shared" si="28"/>
        <v>5.5</v>
      </c>
      <c r="CZ232" s="3" cm="1">
        <f t="array" ref="CZ232">_xlfn.IFS(BP232&lt;&gt;"", BP232, CV232=1,  AQ232, CV232=0,  AZ232)</f>
        <v>5.5</v>
      </c>
      <c r="DA232" s="36" cm="1">
        <f t="array" ref="DA232">_xlfn.IFS(BO232&lt;&gt;"", BO232, CV232=0,  AQ232, CV232=1,  AZ232)</f>
        <v>5.5</v>
      </c>
      <c r="DB232" s="36">
        <f t="shared" si="29"/>
        <v>0</v>
      </c>
      <c r="DC232" s="3">
        <f t="shared" si="30"/>
        <v>0</v>
      </c>
      <c r="DD232" s="3">
        <f t="shared" si="31"/>
        <v>0</v>
      </c>
      <c r="DE232" s="3">
        <f t="shared" si="32"/>
        <v>0</v>
      </c>
      <c r="DF232" s="3">
        <f t="shared" si="33"/>
        <v>0</v>
      </c>
      <c r="DG232" s="3">
        <f t="shared" si="34"/>
        <v>0</v>
      </c>
    </row>
    <row r="233" spans="1:111" x14ac:dyDescent="0.4">
      <c r="A233">
        <v>202511</v>
      </c>
      <c r="B233">
        <v>456</v>
      </c>
      <c r="C233" s="5">
        <v>45969.413865740738</v>
      </c>
      <c r="D233" s="5">
        <v>45969.416724537034</v>
      </c>
      <c r="E233" s="3">
        <v>0</v>
      </c>
      <c r="F233" s="4" t="s">
        <v>364</v>
      </c>
      <c r="G233" s="3">
        <v>100</v>
      </c>
      <c r="H233" s="3">
        <v>247</v>
      </c>
      <c r="I233" s="3">
        <v>1</v>
      </c>
      <c r="J233" s="5">
        <v>45969.416740219909</v>
      </c>
      <c r="K233" s="4" t="s">
        <v>363</v>
      </c>
      <c r="L233" s="4" t="s">
        <v>122</v>
      </c>
      <c r="M233" s="4" t="s">
        <v>122</v>
      </c>
      <c r="N233" s="4" t="s">
        <v>122</v>
      </c>
      <c r="O233" s="4" t="s">
        <v>122</v>
      </c>
      <c r="P233" s="3">
        <v>35.148499999999999</v>
      </c>
      <c r="Q233" s="3">
        <v>-114.5732</v>
      </c>
      <c r="R233" s="4" t="s">
        <v>129</v>
      </c>
      <c r="S233" s="4" t="s">
        <v>124</v>
      </c>
      <c r="T233" s="3">
        <v>4</v>
      </c>
      <c r="U233" s="3">
        <v>1</v>
      </c>
      <c r="V233" s="3">
        <v>5</v>
      </c>
      <c r="W233" s="3">
        <v>3</v>
      </c>
      <c r="X233" s="3">
        <v>1</v>
      </c>
      <c r="Y233" s="3">
        <v>1</v>
      </c>
      <c r="Z233" s="3">
        <v>1</v>
      </c>
      <c r="AA233" s="3">
        <v>1</v>
      </c>
      <c r="AB233" s="4" t="s">
        <v>122</v>
      </c>
      <c r="AC233" s="4" t="s">
        <v>122</v>
      </c>
      <c r="AD233" s="4" t="s">
        <v>122</v>
      </c>
      <c r="AE233" s="4" t="s">
        <v>122</v>
      </c>
      <c r="AF233" s="4" t="s">
        <v>122</v>
      </c>
      <c r="AG233" s="3">
        <v>3</v>
      </c>
      <c r="AH233" s="3">
        <v>0</v>
      </c>
      <c r="AI233" s="4" t="s">
        <v>122</v>
      </c>
      <c r="AJ233" s="3">
        <v>7</v>
      </c>
      <c r="AK233" s="3">
        <v>7</v>
      </c>
      <c r="AL233" s="3">
        <v>6</v>
      </c>
      <c r="AM233" s="3">
        <v>6</v>
      </c>
      <c r="AN233" s="3">
        <v>8</v>
      </c>
      <c r="AO233" s="3">
        <v>3</v>
      </c>
      <c r="AP233" s="3">
        <v>3</v>
      </c>
      <c r="AQ233" s="4" t="s">
        <v>122</v>
      </c>
      <c r="AR233" s="4" t="s">
        <v>122</v>
      </c>
      <c r="AS233" s="3">
        <v>5</v>
      </c>
      <c r="AT233" s="3">
        <v>7</v>
      </c>
      <c r="AU233" s="3">
        <v>7</v>
      </c>
      <c r="AV233" s="3">
        <v>8</v>
      </c>
      <c r="AW233" s="3">
        <v>8</v>
      </c>
      <c r="AX233" s="3">
        <v>3</v>
      </c>
      <c r="AY233" s="3">
        <v>3</v>
      </c>
      <c r="AZ233" s="4" t="s">
        <v>122</v>
      </c>
      <c r="BA233" s="4" t="s">
        <v>122</v>
      </c>
      <c r="BB233" s="4" t="s">
        <v>122</v>
      </c>
      <c r="BC233" s="4" t="s">
        <v>122</v>
      </c>
      <c r="BD233" s="4" t="s">
        <v>122</v>
      </c>
      <c r="BE233" s="4" t="s">
        <v>122</v>
      </c>
      <c r="BF233" s="4" t="s">
        <v>122</v>
      </c>
      <c r="BG233" s="4" t="s">
        <v>122</v>
      </c>
      <c r="BH233" s="4" t="s">
        <v>122</v>
      </c>
      <c r="BI233" s="4" t="s">
        <v>122</v>
      </c>
      <c r="BJ233" s="4" t="s">
        <v>122</v>
      </c>
      <c r="BK233" s="4" t="s">
        <v>122</v>
      </c>
      <c r="BL233" s="4" t="s">
        <v>122</v>
      </c>
      <c r="BM233" s="4" t="s">
        <v>122</v>
      </c>
      <c r="BN233" s="4" t="s">
        <v>122</v>
      </c>
      <c r="BO233" s="3">
        <v>4</v>
      </c>
      <c r="BP233" s="3">
        <v>4</v>
      </c>
      <c r="BQ233" s="3">
        <v>2</v>
      </c>
      <c r="BR233" s="4" t="s">
        <v>125</v>
      </c>
      <c r="BS233" s="4" t="s">
        <v>122</v>
      </c>
      <c r="BT233" s="4" t="s">
        <v>122</v>
      </c>
      <c r="BU233" s="4" t="s">
        <v>122</v>
      </c>
      <c r="BV233" s="4" t="s">
        <v>122</v>
      </c>
      <c r="BW233" s="4" t="s">
        <v>122</v>
      </c>
      <c r="BX233" s="4" t="s">
        <v>122</v>
      </c>
      <c r="BY233" s="4" t="s">
        <v>122</v>
      </c>
      <c r="BZ233" s="4" t="s">
        <v>122</v>
      </c>
      <c r="CA233" s="3">
        <v>1</v>
      </c>
      <c r="CB233" s="3">
        <v>4</v>
      </c>
      <c r="CC233" s="3">
        <v>3</v>
      </c>
      <c r="CD233" s="3">
        <v>4</v>
      </c>
      <c r="CE233" s="3">
        <v>3</v>
      </c>
      <c r="CF233" s="3">
        <v>1</v>
      </c>
      <c r="CG233" s="4" t="s">
        <v>122</v>
      </c>
      <c r="CH233" s="3">
        <v>2.2999999999999998</v>
      </c>
      <c r="CI233" s="4" t="s">
        <v>122</v>
      </c>
      <c r="CJ233" s="4" t="s">
        <v>122</v>
      </c>
      <c r="CK233" s="4" t="s">
        <v>122</v>
      </c>
      <c r="CL233" s="4" t="s">
        <v>122</v>
      </c>
      <c r="CM233" s="4" t="s">
        <v>122</v>
      </c>
      <c r="CN233" s="4" t="s">
        <v>122</v>
      </c>
      <c r="CO233" s="4" t="s">
        <v>125</v>
      </c>
      <c r="CP233" s="4" t="s">
        <v>122</v>
      </c>
      <c r="CQ233" s="4" t="s">
        <v>122</v>
      </c>
      <c r="CR233" s="4" t="s">
        <v>122</v>
      </c>
      <c r="CS233" s="3">
        <v>3</v>
      </c>
      <c r="CT233" s="3">
        <v>1</v>
      </c>
      <c r="CU233" s="42">
        <v>4</v>
      </c>
      <c r="CV233" cm="1">
        <f t="array" ref="CV233">_xlfn.IFS(CU233*1=2,1,CU233*1=4,1,TRUE,0)</f>
        <v>1</v>
      </c>
      <c r="CW233" cm="1">
        <f t="array" ref="CW233">_xlfn.IFS(CU233*1=1,1,CU233*1=2,1,TRUE,0)</f>
        <v>0</v>
      </c>
      <c r="CX233" s="3">
        <f t="shared" si="27"/>
        <v>4</v>
      </c>
      <c r="CY233" s="3">
        <f t="shared" si="28"/>
        <v>4</v>
      </c>
      <c r="CZ233" s="3" cm="1">
        <f t="array" ref="CZ233">_xlfn.IFS(BP233&lt;&gt;"", BP233, CV233=1,  AQ233, CV233=0,  AZ233)</f>
        <v>4</v>
      </c>
      <c r="DA233" s="36" cm="1">
        <f t="array" ref="DA233">_xlfn.IFS(BO233&lt;&gt;"", BO233, CV233=0,  AQ233, CV233=1,  AZ233)</f>
        <v>4</v>
      </c>
      <c r="DB233" s="36">
        <f t="shared" si="29"/>
        <v>4</v>
      </c>
      <c r="DC233" s="3">
        <f t="shared" si="30"/>
        <v>4</v>
      </c>
      <c r="DD233" s="3">
        <f t="shared" si="31"/>
        <v>4</v>
      </c>
      <c r="DE233" s="3">
        <f t="shared" si="32"/>
        <v>4</v>
      </c>
      <c r="DF233" s="3">
        <f t="shared" si="33"/>
        <v>4</v>
      </c>
      <c r="DG233" s="3">
        <f t="shared" si="34"/>
        <v>4</v>
      </c>
    </row>
    <row r="234" spans="1:111" x14ac:dyDescent="0.4">
      <c r="A234">
        <v>202511</v>
      </c>
      <c r="B234">
        <v>123</v>
      </c>
      <c r="C234" s="1">
        <v>45969.415763888886</v>
      </c>
      <c r="D234" s="1">
        <v>45969.420775462961</v>
      </c>
      <c r="E234">
        <v>0</v>
      </c>
      <c r="F234" s="2" t="s">
        <v>152</v>
      </c>
      <c r="G234">
        <v>100</v>
      </c>
      <c r="H234">
        <v>432</v>
      </c>
      <c r="I234">
        <v>1</v>
      </c>
      <c r="J234" s="1">
        <v>45969.420782569447</v>
      </c>
      <c r="K234" s="2" t="s">
        <v>153</v>
      </c>
      <c r="L234" s="2" t="s">
        <v>122</v>
      </c>
      <c r="M234" s="2" t="s">
        <v>122</v>
      </c>
      <c r="N234" s="2" t="s">
        <v>122</v>
      </c>
      <c r="O234" s="2" t="s">
        <v>122</v>
      </c>
      <c r="P234">
        <v>36.203800000000001</v>
      </c>
      <c r="Q234">
        <v>-115.2255</v>
      </c>
      <c r="R234" s="2" t="s">
        <v>129</v>
      </c>
      <c r="S234" s="2" t="s">
        <v>124</v>
      </c>
      <c r="T234">
        <v>4</v>
      </c>
      <c r="U234">
        <v>1</v>
      </c>
      <c r="V234">
        <v>2</v>
      </c>
      <c r="W234">
        <v>2</v>
      </c>
      <c r="X234">
        <v>2</v>
      </c>
      <c r="Y234">
        <v>4</v>
      </c>
      <c r="Z234">
        <v>4</v>
      </c>
      <c r="AA234">
        <v>4</v>
      </c>
      <c r="AB234" s="2" t="s">
        <v>122</v>
      </c>
      <c r="AC234" s="2" t="s">
        <v>122</v>
      </c>
      <c r="AD234" s="2" t="s">
        <v>122</v>
      </c>
      <c r="AE234" s="2" t="s">
        <v>125</v>
      </c>
      <c r="AF234" s="2" t="s">
        <v>122</v>
      </c>
      <c r="AG234">
        <v>3</v>
      </c>
      <c r="AH234">
        <v>6</v>
      </c>
      <c r="AI234">
        <v>2</v>
      </c>
      <c r="AJ234">
        <v>7</v>
      </c>
      <c r="AK234">
        <v>8</v>
      </c>
      <c r="AL234">
        <v>6</v>
      </c>
      <c r="AM234">
        <v>6</v>
      </c>
      <c r="AN234">
        <v>6</v>
      </c>
      <c r="AO234">
        <v>2</v>
      </c>
      <c r="AP234">
        <v>3</v>
      </c>
      <c r="AQ234">
        <v>6</v>
      </c>
      <c r="AR234">
        <v>2</v>
      </c>
      <c r="AS234">
        <v>4</v>
      </c>
      <c r="AT234">
        <v>7</v>
      </c>
      <c r="AU234">
        <v>7</v>
      </c>
      <c r="AV234">
        <v>4</v>
      </c>
      <c r="AW234">
        <v>6</v>
      </c>
      <c r="AX234">
        <v>4</v>
      </c>
      <c r="AY234">
        <v>4</v>
      </c>
      <c r="AZ234">
        <v>4</v>
      </c>
      <c r="BA234">
        <v>3</v>
      </c>
      <c r="BB234">
        <v>6</v>
      </c>
      <c r="BC234">
        <v>4</v>
      </c>
      <c r="BD234">
        <v>2</v>
      </c>
      <c r="BE234" s="2" t="s">
        <v>125</v>
      </c>
      <c r="BF234" s="2" t="s">
        <v>122</v>
      </c>
      <c r="BG234" s="2" t="s">
        <v>122</v>
      </c>
      <c r="BH234" s="2" t="s">
        <v>122</v>
      </c>
      <c r="BI234" s="2" t="s">
        <v>122</v>
      </c>
      <c r="BJ234" s="2" t="s">
        <v>122</v>
      </c>
      <c r="BK234" s="2" t="s">
        <v>122</v>
      </c>
      <c r="BL234" s="2" t="s">
        <v>122</v>
      </c>
      <c r="BM234" s="2" t="s">
        <v>122</v>
      </c>
      <c r="BN234" s="2" t="s">
        <v>122</v>
      </c>
      <c r="BO234" s="2" t="s">
        <v>122</v>
      </c>
      <c r="BP234" s="2" t="s">
        <v>122</v>
      </c>
      <c r="BQ234" s="2" t="s">
        <v>122</v>
      </c>
      <c r="BR234" s="2" t="s">
        <v>122</v>
      </c>
      <c r="BS234" s="2" t="s">
        <v>122</v>
      </c>
      <c r="BT234" s="2" t="s">
        <v>122</v>
      </c>
      <c r="BU234" s="2" t="s">
        <v>122</v>
      </c>
      <c r="BV234" s="2" t="s">
        <v>122</v>
      </c>
      <c r="BW234" s="2" t="s">
        <v>122</v>
      </c>
      <c r="BX234" s="2" t="s">
        <v>122</v>
      </c>
      <c r="BY234" s="2" t="s">
        <v>122</v>
      </c>
      <c r="BZ234" s="2" t="s">
        <v>122</v>
      </c>
      <c r="CA234" s="2" t="s">
        <v>122</v>
      </c>
      <c r="CB234" s="2" t="s">
        <v>122</v>
      </c>
      <c r="CC234" s="2" t="s">
        <v>122</v>
      </c>
      <c r="CD234" s="2" t="s">
        <v>122</v>
      </c>
      <c r="CE234" s="2" t="s">
        <v>122</v>
      </c>
      <c r="CF234">
        <v>1</v>
      </c>
      <c r="CG234" s="2" t="s">
        <v>122</v>
      </c>
      <c r="CH234">
        <v>5</v>
      </c>
      <c r="CI234" s="2" t="s">
        <v>122</v>
      </c>
      <c r="CJ234" s="2" t="s">
        <v>122</v>
      </c>
      <c r="CK234" s="2" t="s">
        <v>122</v>
      </c>
      <c r="CL234" s="2" t="s">
        <v>122</v>
      </c>
      <c r="CM234" s="2" t="s">
        <v>122</v>
      </c>
      <c r="CN234" s="2" t="s">
        <v>122</v>
      </c>
      <c r="CO234" s="2" t="s">
        <v>125</v>
      </c>
      <c r="CP234" s="2" t="s">
        <v>122</v>
      </c>
      <c r="CQ234" s="2" t="s">
        <v>122</v>
      </c>
      <c r="CR234" s="2" t="s">
        <v>122</v>
      </c>
      <c r="CS234">
        <v>4</v>
      </c>
      <c r="CT234">
        <v>4</v>
      </c>
      <c r="CU234" s="43">
        <v>1</v>
      </c>
      <c r="CV234" cm="1">
        <f t="array" ref="CV234">_xlfn.IFS(CU234*1=2,1,CU234*1=4,1,TRUE,0)</f>
        <v>0</v>
      </c>
      <c r="CW234" cm="1">
        <f t="array" ref="CW234">_xlfn.IFS(CU234*1=1,1,CU234*1=2,1,TRUE,0)</f>
        <v>1</v>
      </c>
      <c r="CX234" s="3">
        <f t="shared" si="27"/>
        <v>6</v>
      </c>
      <c r="CY234" s="3">
        <f t="shared" si="28"/>
        <v>4</v>
      </c>
      <c r="CZ234" s="3" cm="1">
        <f t="array" ref="CZ234">_xlfn.IFS(BP234&lt;&gt;"", BP234, CV234=1,  AQ234, CV234=0,  AZ234)</f>
        <v>4</v>
      </c>
      <c r="DA234" s="36" cm="1">
        <f t="array" ref="DA234">_xlfn.IFS(BO234&lt;&gt;"", BO234, CV234=0,  AQ234, CV234=1,  AZ234)</f>
        <v>6</v>
      </c>
      <c r="DB234" s="36">
        <f t="shared" si="29"/>
        <v>-2</v>
      </c>
      <c r="DC234" s="3">
        <f t="shared" si="30"/>
        <v>0</v>
      </c>
      <c r="DD234" s="3">
        <f t="shared" si="31"/>
        <v>-2</v>
      </c>
      <c r="DE234" s="3">
        <f t="shared" si="32"/>
        <v>-2</v>
      </c>
      <c r="DF234" s="3">
        <f t="shared" si="33"/>
        <v>0</v>
      </c>
      <c r="DG234" s="3">
        <f t="shared" si="34"/>
        <v>0</v>
      </c>
    </row>
    <row r="235" spans="1:111" x14ac:dyDescent="0.4">
      <c r="A235">
        <v>202511</v>
      </c>
      <c r="B235">
        <v>456</v>
      </c>
      <c r="C235" s="5">
        <v>45969.417199074072</v>
      </c>
      <c r="D235" s="5">
        <v>45969.423009259262</v>
      </c>
      <c r="E235" s="3">
        <v>0</v>
      </c>
      <c r="F235" s="4" t="s">
        <v>359</v>
      </c>
      <c r="G235" s="3">
        <v>100</v>
      </c>
      <c r="H235" s="3">
        <v>502</v>
      </c>
      <c r="I235" s="3">
        <v>1</v>
      </c>
      <c r="J235" s="5">
        <v>45969.423014687498</v>
      </c>
      <c r="K235" s="4" t="s">
        <v>358</v>
      </c>
      <c r="L235" s="4" t="s">
        <v>122</v>
      </c>
      <c r="M235" s="4" t="s">
        <v>122</v>
      </c>
      <c r="N235" s="4" t="s">
        <v>122</v>
      </c>
      <c r="O235" s="4" t="s">
        <v>122</v>
      </c>
      <c r="P235" s="3">
        <v>36.122</v>
      </c>
      <c r="Q235" s="3">
        <v>-115.086</v>
      </c>
      <c r="R235" s="4" t="s">
        <v>129</v>
      </c>
      <c r="S235" s="4" t="s">
        <v>124</v>
      </c>
      <c r="T235" s="3">
        <v>4</v>
      </c>
      <c r="U235" s="3">
        <v>1</v>
      </c>
      <c r="V235" s="3">
        <v>3</v>
      </c>
      <c r="W235" s="3">
        <v>3</v>
      </c>
      <c r="X235" s="3">
        <v>1</v>
      </c>
      <c r="Y235" s="3">
        <v>1</v>
      </c>
      <c r="Z235" s="3">
        <v>2</v>
      </c>
      <c r="AA235" s="3">
        <v>1</v>
      </c>
      <c r="AB235" s="4" t="s">
        <v>122</v>
      </c>
      <c r="AC235" s="4" t="s">
        <v>122</v>
      </c>
      <c r="AD235" s="4" t="s">
        <v>122</v>
      </c>
      <c r="AE235" s="4" t="s">
        <v>122</v>
      </c>
      <c r="AF235" s="4" t="s">
        <v>122</v>
      </c>
      <c r="AG235" s="3">
        <v>2</v>
      </c>
      <c r="AH235" s="3">
        <v>6</v>
      </c>
      <c r="AI235" s="3">
        <v>2</v>
      </c>
      <c r="AJ235" s="3">
        <v>6</v>
      </c>
      <c r="AK235" s="3">
        <v>5</v>
      </c>
      <c r="AL235" s="3">
        <v>6</v>
      </c>
      <c r="AM235" s="3">
        <v>6</v>
      </c>
      <c r="AN235" s="3">
        <v>5</v>
      </c>
      <c r="AO235" s="3">
        <v>2</v>
      </c>
      <c r="AP235" s="3">
        <v>2</v>
      </c>
      <c r="AQ235" s="3">
        <v>5</v>
      </c>
      <c r="AR235" s="3">
        <v>2</v>
      </c>
      <c r="AS235" s="3">
        <v>5</v>
      </c>
      <c r="AT235" s="3">
        <v>5</v>
      </c>
      <c r="AU235" s="3">
        <v>5</v>
      </c>
      <c r="AV235" s="3">
        <v>4</v>
      </c>
      <c r="AW235" s="3">
        <v>5</v>
      </c>
      <c r="AX235" s="3">
        <v>3</v>
      </c>
      <c r="AY235" s="3">
        <v>2</v>
      </c>
      <c r="AZ235" s="3">
        <v>5</v>
      </c>
      <c r="BA235" s="3">
        <v>2</v>
      </c>
      <c r="BB235" s="3">
        <v>5</v>
      </c>
      <c r="BC235" s="3">
        <v>6</v>
      </c>
      <c r="BD235" s="3">
        <v>3</v>
      </c>
      <c r="BE235" s="4" t="s">
        <v>125</v>
      </c>
      <c r="BF235" s="4" t="s">
        <v>122</v>
      </c>
      <c r="BG235" s="4" t="s">
        <v>122</v>
      </c>
      <c r="BH235" s="4" t="s">
        <v>122</v>
      </c>
      <c r="BI235" s="4" t="s">
        <v>125</v>
      </c>
      <c r="BJ235" s="4" t="s">
        <v>122</v>
      </c>
      <c r="BK235" s="4" t="s">
        <v>122</v>
      </c>
      <c r="BL235" s="4" t="s">
        <v>122</v>
      </c>
      <c r="BM235" s="4" t="s">
        <v>122</v>
      </c>
      <c r="BN235" s="3">
        <v>1</v>
      </c>
      <c r="BO235" s="4" t="s">
        <v>122</v>
      </c>
      <c r="BP235" s="4" t="s">
        <v>122</v>
      </c>
      <c r="BQ235" s="4" t="s">
        <v>122</v>
      </c>
      <c r="BR235" s="4" t="s">
        <v>122</v>
      </c>
      <c r="BS235" s="4" t="s">
        <v>122</v>
      </c>
      <c r="BT235" s="4" t="s">
        <v>122</v>
      </c>
      <c r="BU235" s="4" t="s">
        <v>122</v>
      </c>
      <c r="BV235" s="4" t="s">
        <v>122</v>
      </c>
      <c r="BW235" s="4" t="s">
        <v>122</v>
      </c>
      <c r="BX235" s="4" t="s">
        <v>122</v>
      </c>
      <c r="BY235" s="4" t="s">
        <v>122</v>
      </c>
      <c r="BZ235" s="4" t="s">
        <v>122</v>
      </c>
      <c r="CA235" s="4" t="s">
        <v>122</v>
      </c>
      <c r="CB235" s="4" t="s">
        <v>122</v>
      </c>
      <c r="CC235" s="4" t="s">
        <v>122</v>
      </c>
      <c r="CD235" s="4" t="s">
        <v>122</v>
      </c>
      <c r="CE235" s="4" t="s">
        <v>122</v>
      </c>
      <c r="CF235" s="3">
        <v>1</v>
      </c>
      <c r="CG235" s="4" t="s">
        <v>122</v>
      </c>
      <c r="CH235" s="3">
        <v>2.2999999999999998</v>
      </c>
      <c r="CI235" s="4" t="s">
        <v>122</v>
      </c>
      <c r="CJ235" s="4" t="s">
        <v>122</v>
      </c>
      <c r="CK235" s="4" t="s">
        <v>122</v>
      </c>
      <c r="CL235" s="4" t="s">
        <v>122</v>
      </c>
      <c r="CM235" s="4" t="s">
        <v>122</v>
      </c>
      <c r="CN235" s="4" t="s">
        <v>122</v>
      </c>
      <c r="CO235" s="4" t="s">
        <v>125</v>
      </c>
      <c r="CP235" s="4" t="s">
        <v>122</v>
      </c>
      <c r="CQ235" s="4" t="s">
        <v>122</v>
      </c>
      <c r="CR235" s="4" t="s">
        <v>122</v>
      </c>
      <c r="CS235" s="3">
        <v>3</v>
      </c>
      <c r="CT235" s="3">
        <v>1</v>
      </c>
      <c r="CU235" s="42">
        <v>2</v>
      </c>
      <c r="CV235" cm="1">
        <f t="array" ref="CV235">_xlfn.IFS(CU235*1=2,1,CU235*1=4,1,TRUE,0)</f>
        <v>1</v>
      </c>
      <c r="CW235" cm="1">
        <f t="array" ref="CW235">_xlfn.IFS(CU235*1=1,1,CU235*1=2,1,TRUE,0)</f>
        <v>1</v>
      </c>
      <c r="CX235" s="3">
        <f t="shared" si="27"/>
        <v>5</v>
      </c>
      <c r="CY235" s="3">
        <f t="shared" si="28"/>
        <v>6</v>
      </c>
      <c r="CZ235" s="3" cm="1">
        <f t="array" ref="CZ235">_xlfn.IFS(BP235&lt;&gt;"", BP235, CV235=1,  AQ235, CV235=0,  AZ235)</f>
        <v>5</v>
      </c>
      <c r="DA235" s="36" cm="1">
        <f t="array" ref="DA235">_xlfn.IFS(BO235&lt;&gt;"", BO235, CV235=0,  AQ235, CV235=1,  AZ235)</f>
        <v>5</v>
      </c>
      <c r="DB235" s="36">
        <f t="shared" si="29"/>
        <v>0</v>
      </c>
      <c r="DC235" s="3">
        <f t="shared" si="30"/>
        <v>-1</v>
      </c>
      <c r="DD235" s="3">
        <f t="shared" si="31"/>
        <v>-1</v>
      </c>
      <c r="DE235" s="3">
        <f t="shared" si="32"/>
        <v>0</v>
      </c>
      <c r="DF235" s="3">
        <f t="shared" si="33"/>
        <v>-1</v>
      </c>
      <c r="DG235" s="3">
        <f t="shared" si="34"/>
        <v>-1</v>
      </c>
    </row>
    <row r="236" spans="1:111" x14ac:dyDescent="0.4">
      <c r="A236">
        <v>202511</v>
      </c>
      <c r="B236">
        <v>123</v>
      </c>
      <c r="C236" s="1">
        <v>45969.419016203705</v>
      </c>
      <c r="D236" s="1">
        <v>45969.422083333331</v>
      </c>
      <c r="E236">
        <v>0</v>
      </c>
      <c r="F236" s="2" t="s">
        <v>250</v>
      </c>
      <c r="G236">
        <v>98</v>
      </c>
      <c r="H236">
        <v>264</v>
      </c>
      <c r="I236">
        <v>0</v>
      </c>
      <c r="J236" s="1">
        <v>45971.528536585647</v>
      </c>
      <c r="K236" s="2" t="s">
        <v>251</v>
      </c>
      <c r="L236" s="2" t="s">
        <v>122</v>
      </c>
      <c r="M236" s="2" t="s">
        <v>122</v>
      </c>
      <c r="N236" s="2" t="s">
        <v>122</v>
      </c>
      <c r="O236" s="2" t="s">
        <v>122</v>
      </c>
      <c r="P236">
        <v>32.250300000000003</v>
      </c>
      <c r="Q236">
        <v>-110.94499999999999</v>
      </c>
      <c r="R236" s="2" t="s">
        <v>129</v>
      </c>
      <c r="S236" s="2" t="s">
        <v>124</v>
      </c>
      <c r="T236">
        <v>4</v>
      </c>
      <c r="U236">
        <v>1</v>
      </c>
      <c r="V236">
        <v>3</v>
      </c>
      <c r="W236">
        <v>2</v>
      </c>
      <c r="X236">
        <v>2</v>
      </c>
      <c r="Y236">
        <v>3</v>
      </c>
      <c r="Z236">
        <v>3</v>
      </c>
      <c r="AA236">
        <v>3</v>
      </c>
      <c r="AB236" s="2" t="s">
        <v>122</v>
      </c>
      <c r="AC236" s="2" t="s">
        <v>125</v>
      </c>
      <c r="AD236" s="2" t="s">
        <v>122</v>
      </c>
      <c r="AE236" s="2" t="s">
        <v>122</v>
      </c>
      <c r="AF236" s="2" t="s">
        <v>122</v>
      </c>
      <c r="AG236">
        <v>2</v>
      </c>
      <c r="AH236">
        <v>5</v>
      </c>
      <c r="AI236">
        <v>2</v>
      </c>
      <c r="AJ236">
        <v>9</v>
      </c>
      <c r="AK236">
        <v>9</v>
      </c>
      <c r="AL236">
        <v>9</v>
      </c>
      <c r="AM236">
        <v>9</v>
      </c>
      <c r="AN236">
        <v>9</v>
      </c>
      <c r="AO236">
        <v>3</v>
      </c>
      <c r="AP236">
        <v>3</v>
      </c>
      <c r="AQ236" s="2" t="s">
        <v>122</v>
      </c>
      <c r="AR236" s="2" t="s">
        <v>122</v>
      </c>
      <c r="AS236">
        <v>9</v>
      </c>
      <c r="AT236">
        <v>9</v>
      </c>
      <c r="AU236">
        <v>9</v>
      </c>
      <c r="AV236">
        <v>9</v>
      </c>
      <c r="AW236">
        <v>9</v>
      </c>
      <c r="AX236">
        <v>3</v>
      </c>
      <c r="AY236">
        <v>3</v>
      </c>
      <c r="AZ236" s="2" t="s">
        <v>122</v>
      </c>
      <c r="BA236" s="2" t="s">
        <v>122</v>
      </c>
      <c r="BB236" s="2" t="s">
        <v>122</v>
      </c>
      <c r="BC236" s="2" t="s">
        <v>122</v>
      </c>
      <c r="BD236" s="2" t="s">
        <v>122</v>
      </c>
      <c r="BE236" s="2" t="s">
        <v>122</v>
      </c>
      <c r="BF236" s="2" t="s">
        <v>122</v>
      </c>
      <c r="BG236" s="2" t="s">
        <v>122</v>
      </c>
      <c r="BH236" s="2" t="s">
        <v>122</v>
      </c>
      <c r="BI236" s="2" t="s">
        <v>122</v>
      </c>
      <c r="BJ236" s="2" t="s">
        <v>122</v>
      </c>
      <c r="BK236" s="2" t="s">
        <v>122</v>
      </c>
      <c r="BL236" s="2" t="s">
        <v>122</v>
      </c>
      <c r="BM236" s="2" t="s">
        <v>122</v>
      </c>
      <c r="BN236" s="2" t="s">
        <v>122</v>
      </c>
      <c r="BO236">
        <v>5.5</v>
      </c>
      <c r="BP236">
        <v>5.5</v>
      </c>
      <c r="BQ236">
        <v>2</v>
      </c>
      <c r="BR236" s="2" t="s">
        <v>125</v>
      </c>
      <c r="BS236" s="2" t="s">
        <v>122</v>
      </c>
      <c r="BT236" s="2" t="s">
        <v>122</v>
      </c>
      <c r="BU236" s="2" t="s">
        <v>122</v>
      </c>
      <c r="BV236" s="2" t="s">
        <v>125</v>
      </c>
      <c r="BW236" s="2" t="s">
        <v>122</v>
      </c>
      <c r="BX236" s="2" t="s">
        <v>122</v>
      </c>
      <c r="BY236" s="2" t="s">
        <v>122</v>
      </c>
      <c r="BZ236" s="2" t="s">
        <v>122</v>
      </c>
      <c r="CA236">
        <v>4</v>
      </c>
      <c r="CB236">
        <v>5</v>
      </c>
      <c r="CC236">
        <v>2</v>
      </c>
      <c r="CD236">
        <v>5</v>
      </c>
      <c r="CE236">
        <v>2</v>
      </c>
      <c r="CF236">
        <v>2</v>
      </c>
      <c r="CG236" s="2" t="s">
        <v>122</v>
      </c>
      <c r="CH236">
        <v>3</v>
      </c>
      <c r="CI236" s="2" t="s">
        <v>122</v>
      </c>
      <c r="CJ236" s="2" t="s">
        <v>122</v>
      </c>
      <c r="CK236" s="2" t="s">
        <v>122</v>
      </c>
      <c r="CL236" s="2" t="s">
        <v>122</v>
      </c>
      <c r="CM236" s="2" t="s">
        <v>122</v>
      </c>
      <c r="CN236" s="2" t="s">
        <v>122</v>
      </c>
      <c r="CO236" s="2" t="s">
        <v>125</v>
      </c>
      <c r="CP236" s="2" t="s">
        <v>122</v>
      </c>
      <c r="CQ236" s="2" t="s">
        <v>122</v>
      </c>
      <c r="CR236" s="2" t="s">
        <v>122</v>
      </c>
      <c r="CS236">
        <v>5</v>
      </c>
      <c r="CT236">
        <v>4</v>
      </c>
      <c r="CU236" s="43">
        <v>3</v>
      </c>
      <c r="CV236" cm="1">
        <f t="array" ref="CV236">_xlfn.IFS(CU236*1=2,1,CU236*1=4,1,TRUE,0)</f>
        <v>0</v>
      </c>
      <c r="CW236" cm="1">
        <f t="array" ref="CW236">_xlfn.IFS(CU236*1=1,1,CU236*1=2,1,TRUE,0)</f>
        <v>0</v>
      </c>
      <c r="CX236" s="3">
        <f t="shared" si="27"/>
        <v>5</v>
      </c>
      <c r="CY236" s="3">
        <f t="shared" si="28"/>
        <v>5</v>
      </c>
      <c r="CZ236" s="3" cm="1">
        <f t="array" ref="CZ236">_xlfn.IFS(BP236&lt;&gt;"", BP236, CV236=1,  AQ236, CV236=0,  AZ236)</f>
        <v>5.5</v>
      </c>
      <c r="DA236" s="36" cm="1">
        <f t="array" ref="DA236">_xlfn.IFS(BO236&lt;&gt;"", BO236, CV236=0,  AQ236, CV236=1,  AZ236)</f>
        <v>5.5</v>
      </c>
      <c r="DB236" s="36">
        <f t="shared" si="29"/>
        <v>0</v>
      </c>
      <c r="DC236" s="3">
        <f t="shared" si="30"/>
        <v>0</v>
      </c>
      <c r="DD236" s="3">
        <f t="shared" si="31"/>
        <v>0</v>
      </c>
      <c r="DE236" s="3">
        <f t="shared" si="32"/>
        <v>0.5</v>
      </c>
      <c r="DF236" s="3">
        <f t="shared" si="33"/>
        <v>0</v>
      </c>
      <c r="DG236" s="3">
        <f t="shared" si="34"/>
        <v>0.5</v>
      </c>
    </row>
    <row r="237" spans="1:111" x14ac:dyDescent="0.4">
      <c r="A237">
        <v>202511</v>
      </c>
      <c r="B237">
        <v>123</v>
      </c>
      <c r="C237" s="1">
        <v>45969.419861111113</v>
      </c>
      <c r="D237" s="1">
        <v>45969.424074074072</v>
      </c>
      <c r="E237">
        <v>0</v>
      </c>
      <c r="F237" s="2" t="s">
        <v>154</v>
      </c>
      <c r="G237">
        <v>100</v>
      </c>
      <c r="H237">
        <v>363</v>
      </c>
      <c r="I237">
        <v>1</v>
      </c>
      <c r="J237" s="1">
        <v>45969.424086921295</v>
      </c>
      <c r="K237" s="2" t="s">
        <v>155</v>
      </c>
      <c r="L237" s="2" t="s">
        <v>122</v>
      </c>
      <c r="M237" s="2" t="s">
        <v>122</v>
      </c>
      <c r="N237" s="2" t="s">
        <v>122</v>
      </c>
      <c r="O237" s="2" t="s">
        <v>122</v>
      </c>
      <c r="P237">
        <v>36.128999999999998</v>
      </c>
      <c r="Q237">
        <v>-115.2765</v>
      </c>
      <c r="R237" s="2" t="s">
        <v>129</v>
      </c>
      <c r="S237" s="2" t="s">
        <v>124</v>
      </c>
      <c r="T237">
        <v>4</v>
      </c>
      <c r="U237">
        <v>1</v>
      </c>
      <c r="V237">
        <v>5</v>
      </c>
      <c r="W237">
        <v>5</v>
      </c>
      <c r="X237">
        <v>2</v>
      </c>
      <c r="Y237">
        <v>1</v>
      </c>
      <c r="Z237">
        <v>1</v>
      </c>
      <c r="AA237">
        <v>1</v>
      </c>
      <c r="AB237" s="2" t="s">
        <v>122</v>
      </c>
      <c r="AC237" s="2" t="s">
        <v>125</v>
      </c>
      <c r="AD237" s="2" t="s">
        <v>122</v>
      </c>
      <c r="AE237" s="2" t="s">
        <v>122</v>
      </c>
      <c r="AF237" s="2" t="s">
        <v>122</v>
      </c>
      <c r="AG237">
        <v>2</v>
      </c>
      <c r="AH237">
        <v>0</v>
      </c>
      <c r="AI237" s="2" t="s">
        <v>122</v>
      </c>
      <c r="AJ237">
        <v>5</v>
      </c>
      <c r="AK237">
        <v>6</v>
      </c>
      <c r="AL237">
        <v>7</v>
      </c>
      <c r="AM237">
        <v>6</v>
      </c>
      <c r="AN237">
        <v>7</v>
      </c>
      <c r="AO237">
        <v>2</v>
      </c>
      <c r="AP237">
        <v>2</v>
      </c>
      <c r="AQ237">
        <v>2</v>
      </c>
      <c r="AR237">
        <v>3</v>
      </c>
      <c r="AS237">
        <v>2</v>
      </c>
      <c r="AT237">
        <v>5</v>
      </c>
      <c r="AU237">
        <v>3</v>
      </c>
      <c r="AV237">
        <v>2</v>
      </c>
      <c r="AW237">
        <v>4</v>
      </c>
      <c r="AX237">
        <v>2</v>
      </c>
      <c r="AY237">
        <v>2</v>
      </c>
      <c r="AZ237">
        <v>0</v>
      </c>
      <c r="BA237" s="2" t="s">
        <v>122</v>
      </c>
      <c r="BB237">
        <v>2</v>
      </c>
      <c r="BC237">
        <v>0</v>
      </c>
      <c r="BD237">
        <v>2</v>
      </c>
      <c r="BE237" s="2" t="s">
        <v>125</v>
      </c>
      <c r="BF237" s="2" t="s">
        <v>122</v>
      </c>
      <c r="BG237" s="2" t="s">
        <v>125</v>
      </c>
      <c r="BH237" s="2" t="s">
        <v>122</v>
      </c>
      <c r="BI237" s="2" t="s">
        <v>125</v>
      </c>
      <c r="BJ237" s="2" t="s">
        <v>122</v>
      </c>
      <c r="BK237" s="2" t="s">
        <v>122</v>
      </c>
      <c r="BL237" s="2" t="s">
        <v>122</v>
      </c>
      <c r="BM237" s="2" t="s">
        <v>122</v>
      </c>
      <c r="BN237">
        <v>1</v>
      </c>
      <c r="BO237" s="2" t="s">
        <v>122</v>
      </c>
      <c r="BP237" s="2" t="s">
        <v>122</v>
      </c>
      <c r="BQ237" s="2" t="s">
        <v>122</v>
      </c>
      <c r="BR237" s="2" t="s">
        <v>122</v>
      </c>
      <c r="BS237" s="2" t="s">
        <v>122</v>
      </c>
      <c r="BT237" s="2" t="s">
        <v>122</v>
      </c>
      <c r="BU237" s="2" t="s">
        <v>122</v>
      </c>
      <c r="BV237" s="2" t="s">
        <v>122</v>
      </c>
      <c r="BW237" s="2" t="s">
        <v>122</v>
      </c>
      <c r="BX237" s="2" t="s">
        <v>122</v>
      </c>
      <c r="BY237" s="2" t="s">
        <v>122</v>
      </c>
      <c r="BZ237" s="2" t="s">
        <v>122</v>
      </c>
      <c r="CA237" s="2" t="s">
        <v>122</v>
      </c>
      <c r="CB237" s="2" t="s">
        <v>122</v>
      </c>
      <c r="CC237" s="2" t="s">
        <v>122</v>
      </c>
      <c r="CD237" s="2" t="s">
        <v>122</v>
      </c>
      <c r="CE237" s="2" t="s">
        <v>122</v>
      </c>
      <c r="CF237">
        <v>1</v>
      </c>
      <c r="CG237" s="2" t="s">
        <v>122</v>
      </c>
      <c r="CH237">
        <v>2.2999999999999998</v>
      </c>
      <c r="CI237" s="2" t="s">
        <v>122</v>
      </c>
      <c r="CJ237" s="2" t="s">
        <v>122</v>
      </c>
      <c r="CK237" s="2" t="s">
        <v>122</v>
      </c>
      <c r="CL237" s="2" t="s">
        <v>122</v>
      </c>
      <c r="CM237" s="2" t="s">
        <v>122</v>
      </c>
      <c r="CN237" s="2" t="s">
        <v>122</v>
      </c>
      <c r="CO237" s="2" t="s">
        <v>125</v>
      </c>
      <c r="CP237" s="2" t="s">
        <v>122</v>
      </c>
      <c r="CQ237" s="2" t="s">
        <v>122</v>
      </c>
      <c r="CR237" s="2" t="s">
        <v>122</v>
      </c>
      <c r="CS237">
        <v>4</v>
      </c>
      <c r="CT237">
        <v>-999</v>
      </c>
      <c r="CU237" s="43">
        <v>1</v>
      </c>
      <c r="CV237" cm="1">
        <f t="array" ref="CV237">_xlfn.IFS(CU237*1=2,1,CU237*1=4,1,TRUE,0)</f>
        <v>0</v>
      </c>
      <c r="CW237" cm="1">
        <f t="array" ref="CW237">_xlfn.IFS(CU237*1=1,1,CU237*1=2,1,TRUE,0)</f>
        <v>1</v>
      </c>
      <c r="CX237" s="3">
        <f t="shared" si="27"/>
        <v>2</v>
      </c>
      <c r="CY237" s="3">
        <f t="shared" si="28"/>
        <v>0</v>
      </c>
      <c r="CZ237" s="3" cm="1">
        <f t="array" ref="CZ237">_xlfn.IFS(BP237&lt;&gt;"", BP237, CV237=1,  AQ237, CV237=0,  AZ237)</f>
        <v>0</v>
      </c>
      <c r="DA237" s="36" cm="1">
        <f t="array" ref="DA237">_xlfn.IFS(BO237&lt;&gt;"", BO237, CV237=0,  AQ237, CV237=1,  AZ237)</f>
        <v>2</v>
      </c>
      <c r="DB237" s="36">
        <f t="shared" si="29"/>
        <v>0</v>
      </c>
      <c r="DC237" s="3">
        <f t="shared" si="30"/>
        <v>2</v>
      </c>
      <c r="DD237" s="3">
        <f t="shared" si="31"/>
        <v>0</v>
      </c>
      <c r="DE237" s="3">
        <f t="shared" si="32"/>
        <v>0</v>
      </c>
      <c r="DF237" s="3">
        <f t="shared" si="33"/>
        <v>2</v>
      </c>
      <c r="DG237" s="3">
        <f t="shared" si="34"/>
        <v>2</v>
      </c>
    </row>
    <row r="238" spans="1:111" x14ac:dyDescent="0.4">
      <c r="A238">
        <v>202511</v>
      </c>
      <c r="B238">
        <v>456</v>
      </c>
      <c r="C238" s="5">
        <v>45969.419965277775</v>
      </c>
      <c r="D238" s="5">
        <v>45969.422731481478</v>
      </c>
      <c r="E238" s="3">
        <v>0</v>
      </c>
      <c r="F238" s="4" t="s">
        <v>361</v>
      </c>
      <c r="G238" s="3">
        <v>100</v>
      </c>
      <c r="H238" s="3">
        <v>239</v>
      </c>
      <c r="I238" s="3">
        <v>1</v>
      </c>
      <c r="J238" s="5">
        <v>45969.422747997683</v>
      </c>
      <c r="K238" s="4" t="s">
        <v>360</v>
      </c>
      <c r="L238" s="4" t="s">
        <v>122</v>
      </c>
      <c r="M238" s="4" t="s">
        <v>122</v>
      </c>
      <c r="N238" s="4" t="s">
        <v>122</v>
      </c>
      <c r="O238" s="4" t="s">
        <v>122</v>
      </c>
      <c r="P238" s="3">
        <v>36.168500000000002</v>
      </c>
      <c r="Q238" s="3">
        <v>-115.1164</v>
      </c>
      <c r="R238" s="4" t="s">
        <v>129</v>
      </c>
      <c r="S238" s="4" t="s">
        <v>124</v>
      </c>
      <c r="T238" s="3">
        <v>4</v>
      </c>
      <c r="U238" s="3">
        <v>1</v>
      </c>
      <c r="V238" s="3">
        <v>3</v>
      </c>
      <c r="W238" s="3">
        <v>5</v>
      </c>
      <c r="X238" s="3">
        <v>1</v>
      </c>
      <c r="Y238" s="3">
        <v>1</v>
      </c>
      <c r="Z238" s="3">
        <v>3</v>
      </c>
      <c r="AA238" s="3">
        <v>3</v>
      </c>
      <c r="AB238" s="4" t="s">
        <v>122</v>
      </c>
      <c r="AC238" s="4" t="s">
        <v>122</v>
      </c>
      <c r="AD238" s="4" t="s">
        <v>122</v>
      </c>
      <c r="AE238" s="4" t="s">
        <v>122</v>
      </c>
      <c r="AF238" s="4" t="s">
        <v>122</v>
      </c>
      <c r="AG238" s="3">
        <v>3</v>
      </c>
      <c r="AH238" s="3">
        <v>6</v>
      </c>
      <c r="AI238" s="3">
        <v>3</v>
      </c>
      <c r="AJ238" s="3">
        <v>6</v>
      </c>
      <c r="AK238" s="3">
        <v>6</v>
      </c>
      <c r="AL238" s="3">
        <v>8</v>
      </c>
      <c r="AM238" s="3">
        <v>7</v>
      </c>
      <c r="AN238" s="3">
        <v>6</v>
      </c>
      <c r="AO238" s="3">
        <v>2</v>
      </c>
      <c r="AP238" s="3">
        <v>3</v>
      </c>
      <c r="AQ238" s="4" t="s">
        <v>122</v>
      </c>
      <c r="AR238" s="4" t="s">
        <v>122</v>
      </c>
      <c r="AS238" s="3">
        <v>5</v>
      </c>
      <c r="AT238" s="3">
        <v>5</v>
      </c>
      <c r="AU238" s="3">
        <v>4</v>
      </c>
      <c r="AV238" s="3">
        <v>5</v>
      </c>
      <c r="AW238" s="3">
        <v>6</v>
      </c>
      <c r="AX238" s="3">
        <v>1</v>
      </c>
      <c r="AY238" s="3">
        <v>2</v>
      </c>
      <c r="AZ238" s="4" t="s">
        <v>122</v>
      </c>
      <c r="BA238" s="4" t="s">
        <v>122</v>
      </c>
      <c r="BB238" s="4" t="s">
        <v>122</v>
      </c>
      <c r="BC238" s="4" t="s">
        <v>122</v>
      </c>
      <c r="BD238" s="4" t="s">
        <v>122</v>
      </c>
      <c r="BE238" s="4" t="s">
        <v>122</v>
      </c>
      <c r="BF238" s="4" t="s">
        <v>122</v>
      </c>
      <c r="BG238" s="4" t="s">
        <v>122</v>
      </c>
      <c r="BH238" s="4" t="s">
        <v>122</v>
      </c>
      <c r="BI238" s="4" t="s">
        <v>122</v>
      </c>
      <c r="BJ238" s="4" t="s">
        <v>122</v>
      </c>
      <c r="BK238" s="4" t="s">
        <v>122</v>
      </c>
      <c r="BL238" s="4" t="s">
        <v>122</v>
      </c>
      <c r="BM238" s="4" t="s">
        <v>122</v>
      </c>
      <c r="BN238" s="4" t="s">
        <v>122</v>
      </c>
      <c r="BO238" s="3">
        <v>0</v>
      </c>
      <c r="BP238" s="3">
        <v>0</v>
      </c>
      <c r="BQ238" s="3">
        <v>3</v>
      </c>
      <c r="BR238" s="4" t="s">
        <v>122</v>
      </c>
      <c r="BS238" s="4" t="s">
        <v>122</v>
      </c>
      <c r="BT238" s="4" t="s">
        <v>122</v>
      </c>
      <c r="BU238" s="4" t="s">
        <v>122</v>
      </c>
      <c r="BV238" s="4" t="s">
        <v>122</v>
      </c>
      <c r="BW238" s="4" t="s">
        <v>122</v>
      </c>
      <c r="BX238" s="4" t="s">
        <v>122</v>
      </c>
      <c r="BY238" s="4" t="s">
        <v>122</v>
      </c>
      <c r="BZ238" s="4" t="s">
        <v>125</v>
      </c>
      <c r="CA238" s="4" t="s">
        <v>122</v>
      </c>
      <c r="CB238" s="3">
        <v>0</v>
      </c>
      <c r="CC238" s="4" t="s">
        <v>122</v>
      </c>
      <c r="CD238" s="3">
        <v>0</v>
      </c>
      <c r="CE238" s="4" t="s">
        <v>122</v>
      </c>
      <c r="CF238" s="3">
        <v>1</v>
      </c>
      <c r="CG238" s="4" t="s">
        <v>122</v>
      </c>
      <c r="CH238" s="3">
        <v>2.7</v>
      </c>
      <c r="CI238" s="4" t="s">
        <v>122</v>
      </c>
      <c r="CJ238" s="4" t="s">
        <v>122</v>
      </c>
      <c r="CK238" s="4" t="s">
        <v>122</v>
      </c>
      <c r="CL238" s="4" t="s">
        <v>125</v>
      </c>
      <c r="CM238" s="4" t="s">
        <v>122</v>
      </c>
      <c r="CN238" s="4" t="s">
        <v>122</v>
      </c>
      <c r="CO238" s="4" t="s">
        <v>122</v>
      </c>
      <c r="CP238" s="4" t="s">
        <v>122</v>
      </c>
      <c r="CQ238" s="4" t="s">
        <v>122</v>
      </c>
      <c r="CR238" s="4" t="s">
        <v>122</v>
      </c>
      <c r="CS238" s="3">
        <v>4</v>
      </c>
      <c r="CT238" s="3">
        <v>4</v>
      </c>
      <c r="CU238" s="42">
        <v>4</v>
      </c>
      <c r="CV238" cm="1">
        <f t="array" ref="CV238">_xlfn.IFS(CU238*1=2,1,CU238*1=4,1,TRUE,0)</f>
        <v>1</v>
      </c>
      <c r="CW238" cm="1">
        <f t="array" ref="CW238">_xlfn.IFS(CU238*1=1,1,CU238*1=2,1,TRUE,0)</f>
        <v>0</v>
      </c>
      <c r="CX238" s="3">
        <f t="shared" si="27"/>
        <v>0</v>
      </c>
      <c r="CY238" s="3">
        <f t="shared" si="28"/>
        <v>0</v>
      </c>
      <c r="CZ238" s="3" cm="1">
        <f t="array" ref="CZ238">_xlfn.IFS(BP238&lt;&gt;"", BP238, CV238=1,  AQ238, CV238=0,  AZ238)</f>
        <v>0</v>
      </c>
      <c r="DA238" s="36" cm="1">
        <f t="array" ref="DA238">_xlfn.IFS(BO238&lt;&gt;"", BO238, CV238=0,  AQ238, CV238=1,  AZ238)</f>
        <v>0</v>
      </c>
      <c r="DB238" s="36">
        <f t="shared" si="29"/>
        <v>-6</v>
      </c>
      <c r="DC238" s="3">
        <f t="shared" si="30"/>
        <v>-6</v>
      </c>
      <c r="DD238" s="3">
        <f t="shared" si="31"/>
        <v>-6</v>
      </c>
      <c r="DE238" s="3">
        <f t="shared" si="32"/>
        <v>-6</v>
      </c>
      <c r="DF238" s="3">
        <f t="shared" si="33"/>
        <v>-6</v>
      </c>
      <c r="DG238" s="3">
        <f t="shared" si="34"/>
        <v>-6</v>
      </c>
    </row>
    <row r="239" spans="1:111" x14ac:dyDescent="0.4">
      <c r="A239">
        <v>202511</v>
      </c>
      <c r="B239">
        <v>456</v>
      </c>
      <c r="C239" s="5">
        <v>45969.423206018517</v>
      </c>
      <c r="D239" s="5">
        <v>45969.428842592592</v>
      </c>
      <c r="E239" s="3">
        <v>0</v>
      </c>
      <c r="F239" s="4" t="s">
        <v>355</v>
      </c>
      <c r="G239" s="3">
        <v>100</v>
      </c>
      <c r="H239" s="3">
        <v>487</v>
      </c>
      <c r="I239" s="3">
        <v>1</v>
      </c>
      <c r="J239" s="5">
        <v>45969.428852569443</v>
      </c>
      <c r="K239" s="4" t="s">
        <v>354</v>
      </c>
      <c r="L239" s="4" t="s">
        <v>122</v>
      </c>
      <c r="M239" s="4" t="s">
        <v>122</v>
      </c>
      <c r="N239" s="4" t="s">
        <v>122</v>
      </c>
      <c r="O239" s="4" t="s">
        <v>122</v>
      </c>
      <c r="P239" s="3">
        <v>32.145299999999999</v>
      </c>
      <c r="Q239" s="3">
        <v>-110.9456</v>
      </c>
      <c r="R239" s="4" t="s">
        <v>129</v>
      </c>
      <c r="S239" s="4" t="s">
        <v>124</v>
      </c>
      <c r="T239" s="3">
        <v>4</v>
      </c>
      <c r="U239" s="3">
        <v>1</v>
      </c>
      <c r="V239" s="3">
        <v>5</v>
      </c>
      <c r="W239" s="3">
        <v>5</v>
      </c>
      <c r="X239" s="3">
        <v>2</v>
      </c>
      <c r="Y239" s="3">
        <v>1</v>
      </c>
      <c r="Z239" s="3">
        <v>1</v>
      </c>
      <c r="AA239" s="3">
        <v>2</v>
      </c>
      <c r="AB239" s="4" t="s">
        <v>122</v>
      </c>
      <c r="AC239" s="4" t="s">
        <v>125</v>
      </c>
      <c r="AD239" s="4" t="s">
        <v>122</v>
      </c>
      <c r="AE239" s="4" t="s">
        <v>122</v>
      </c>
      <c r="AF239" s="4" t="s">
        <v>122</v>
      </c>
      <c r="AG239" s="3">
        <v>2</v>
      </c>
      <c r="AH239" s="3">
        <v>8</v>
      </c>
      <c r="AI239" s="3">
        <v>2</v>
      </c>
      <c r="AJ239" s="3">
        <v>8</v>
      </c>
      <c r="AK239" s="3">
        <v>8</v>
      </c>
      <c r="AL239" s="3">
        <v>7</v>
      </c>
      <c r="AM239" s="3">
        <v>7</v>
      </c>
      <c r="AN239" s="3">
        <v>8</v>
      </c>
      <c r="AO239" s="3">
        <v>3</v>
      </c>
      <c r="AP239" s="3">
        <v>3</v>
      </c>
      <c r="AQ239" s="4" t="s">
        <v>122</v>
      </c>
      <c r="AR239" s="4" t="s">
        <v>122</v>
      </c>
      <c r="AS239" s="3">
        <v>7</v>
      </c>
      <c r="AT239" s="3">
        <v>5</v>
      </c>
      <c r="AU239" s="3">
        <v>5</v>
      </c>
      <c r="AV239" s="3">
        <v>5</v>
      </c>
      <c r="AW239" s="3">
        <v>5</v>
      </c>
      <c r="AX239" s="3">
        <v>2</v>
      </c>
      <c r="AY239" s="3">
        <v>2</v>
      </c>
      <c r="AZ239" s="4" t="s">
        <v>122</v>
      </c>
      <c r="BA239" s="4" t="s">
        <v>122</v>
      </c>
      <c r="BB239" s="4" t="s">
        <v>122</v>
      </c>
      <c r="BC239" s="4" t="s">
        <v>122</v>
      </c>
      <c r="BD239" s="4" t="s">
        <v>122</v>
      </c>
      <c r="BE239" s="4" t="s">
        <v>122</v>
      </c>
      <c r="BF239" s="4" t="s">
        <v>122</v>
      </c>
      <c r="BG239" s="4" t="s">
        <v>122</v>
      </c>
      <c r="BH239" s="4" t="s">
        <v>122</v>
      </c>
      <c r="BI239" s="4" t="s">
        <v>122</v>
      </c>
      <c r="BJ239" s="4" t="s">
        <v>122</v>
      </c>
      <c r="BK239" s="4" t="s">
        <v>122</v>
      </c>
      <c r="BL239" s="4" t="s">
        <v>122</v>
      </c>
      <c r="BM239" s="4" t="s">
        <v>122</v>
      </c>
      <c r="BN239" s="4" t="s">
        <v>122</v>
      </c>
      <c r="BO239" s="4" t="s">
        <v>122</v>
      </c>
      <c r="BP239" s="3">
        <v>8</v>
      </c>
      <c r="BQ239" s="3">
        <v>2</v>
      </c>
      <c r="BR239" s="4" t="s">
        <v>122</v>
      </c>
      <c r="BS239" s="4" t="s">
        <v>122</v>
      </c>
      <c r="BT239" s="4" t="s">
        <v>122</v>
      </c>
      <c r="BU239" s="4" t="s">
        <v>122</v>
      </c>
      <c r="BV239" s="4" t="s">
        <v>122</v>
      </c>
      <c r="BW239" s="4" t="s">
        <v>122</v>
      </c>
      <c r="BX239" s="4" t="s">
        <v>122</v>
      </c>
      <c r="BY239" s="4" t="s">
        <v>122</v>
      </c>
      <c r="BZ239" s="4" t="s">
        <v>125</v>
      </c>
      <c r="CA239" s="4" t="s">
        <v>122</v>
      </c>
      <c r="CB239" s="3">
        <v>6.5</v>
      </c>
      <c r="CC239" s="3">
        <v>2</v>
      </c>
      <c r="CD239" s="3">
        <v>6.5</v>
      </c>
      <c r="CE239" s="3">
        <v>2</v>
      </c>
      <c r="CF239" s="3">
        <v>1</v>
      </c>
      <c r="CG239" s="4" t="s">
        <v>122</v>
      </c>
      <c r="CH239" s="3">
        <v>5</v>
      </c>
      <c r="CI239" s="4" t="s">
        <v>122</v>
      </c>
      <c r="CJ239" s="4" t="s">
        <v>122</v>
      </c>
      <c r="CK239" s="4" t="s">
        <v>122</v>
      </c>
      <c r="CL239" s="4" t="s">
        <v>122</v>
      </c>
      <c r="CM239" s="4" t="s">
        <v>122</v>
      </c>
      <c r="CN239" s="4" t="s">
        <v>122</v>
      </c>
      <c r="CO239" s="4" t="s">
        <v>125</v>
      </c>
      <c r="CP239" s="4" t="s">
        <v>122</v>
      </c>
      <c r="CQ239" s="4" t="s">
        <v>122</v>
      </c>
      <c r="CR239" s="4" t="s">
        <v>122</v>
      </c>
      <c r="CS239" s="3">
        <v>3</v>
      </c>
      <c r="CT239" s="3">
        <v>5</v>
      </c>
      <c r="CU239" s="42">
        <v>4</v>
      </c>
      <c r="CV239" cm="1">
        <f t="array" ref="CV239">_xlfn.IFS(CU239*1=2,1,CU239*1=4,1,TRUE,0)</f>
        <v>1</v>
      </c>
      <c r="CW239" cm="1">
        <f t="array" ref="CW239">_xlfn.IFS(CU239*1=1,1,CU239*1=2,1,TRUE,0)</f>
        <v>0</v>
      </c>
      <c r="CX239" s="3">
        <f t="shared" si="27"/>
        <v>6.5</v>
      </c>
      <c r="CY239" s="3">
        <f t="shared" si="28"/>
        <v>6.5</v>
      </c>
      <c r="CZ239" s="3" cm="1">
        <f t="array" ref="CZ239">_xlfn.IFS(BP239&lt;&gt;"", BP239, CV239=1,  AQ239, CV239=0,  AZ239)</f>
        <v>8</v>
      </c>
      <c r="DA239" s="36" t="str" cm="1">
        <f t="array" ref="DA239">_xlfn.IFS(BO239&lt;&gt;"", BO239, CV239=0,  AQ239, CV239=1,  AZ239)</f>
        <v/>
      </c>
      <c r="DB239" s="36">
        <f t="shared" si="29"/>
        <v>-1.5</v>
      </c>
      <c r="DC239" s="3">
        <f t="shared" si="30"/>
        <v>-1.5</v>
      </c>
      <c r="DD239" s="3">
        <f t="shared" si="31"/>
        <v>-1.5</v>
      </c>
      <c r="DE239" s="3">
        <f t="shared" si="32"/>
        <v>0</v>
      </c>
      <c r="DF239" s="3">
        <f t="shared" si="33"/>
        <v>-1.5</v>
      </c>
      <c r="DG239" s="60"/>
    </row>
    <row r="240" spans="1:111" x14ac:dyDescent="0.4">
      <c r="A240">
        <v>202511</v>
      </c>
      <c r="B240">
        <v>123</v>
      </c>
      <c r="C240" s="1">
        <v>45969.423333333332</v>
      </c>
      <c r="D240" s="1">
        <v>45969.428217592591</v>
      </c>
      <c r="E240">
        <v>0</v>
      </c>
      <c r="F240" s="2" t="s">
        <v>158</v>
      </c>
      <c r="G240">
        <v>100</v>
      </c>
      <c r="H240">
        <v>422</v>
      </c>
      <c r="I240">
        <v>1</v>
      </c>
      <c r="J240" s="1">
        <v>45969.428231423612</v>
      </c>
      <c r="K240" s="2" t="s">
        <v>159</v>
      </c>
      <c r="L240" s="2" t="s">
        <v>122</v>
      </c>
      <c r="M240" s="2" t="s">
        <v>122</v>
      </c>
      <c r="N240" s="2" t="s">
        <v>122</v>
      </c>
      <c r="O240" s="2" t="s">
        <v>122</v>
      </c>
      <c r="P240">
        <v>32.216299999999997</v>
      </c>
      <c r="Q240">
        <v>-110.9241</v>
      </c>
      <c r="R240" s="2" t="s">
        <v>129</v>
      </c>
      <c r="S240" s="2" t="s">
        <v>124</v>
      </c>
      <c r="T240">
        <v>4</v>
      </c>
      <c r="U240">
        <v>1</v>
      </c>
      <c r="V240">
        <v>2</v>
      </c>
      <c r="W240">
        <v>1</v>
      </c>
      <c r="X240">
        <v>1</v>
      </c>
      <c r="Y240">
        <v>1</v>
      </c>
      <c r="Z240">
        <v>1</v>
      </c>
      <c r="AA240">
        <v>1</v>
      </c>
      <c r="AB240" s="2" t="s">
        <v>122</v>
      </c>
      <c r="AC240" s="2" t="s">
        <v>122</v>
      </c>
      <c r="AD240" s="2" t="s">
        <v>122</v>
      </c>
      <c r="AE240" s="2" t="s">
        <v>122</v>
      </c>
      <c r="AF240" s="2" t="s">
        <v>122</v>
      </c>
      <c r="AG240">
        <v>2</v>
      </c>
      <c r="AH240">
        <v>4</v>
      </c>
      <c r="AI240">
        <v>2</v>
      </c>
      <c r="AJ240">
        <v>1</v>
      </c>
      <c r="AK240">
        <v>6</v>
      </c>
      <c r="AL240">
        <v>6</v>
      </c>
      <c r="AM240">
        <v>1</v>
      </c>
      <c r="AN240">
        <v>1</v>
      </c>
      <c r="AO240">
        <v>5</v>
      </c>
      <c r="AP240">
        <v>5</v>
      </c>
      <c r="AQ240" s="2" t="s">
        <v>122</v>
      </c>
      <c r="AR240" s="2" t="s">
        <v>122</v>
      </c>
      <c r="AS240">
        <v>6</v>
      </c>
      <c r="AT240">
        <v>6</v>
      </c>
      <c r="AU240">
        <v>6</v>
      </c>
      <c r="AV240">
        <v>6</v>
      </c>
      <c r="AW240">
        <v>6</v>
      </c>
      <c r="AX240">
        <v>3</v>
      </c>
      <c r="AY240">
        <v>3</v>
      </c>
      <c r="AZ240" s="2" t="s">
        <v>122</v>
      </c>
      <c r="BA240" s="2" t="s">
        <v>122</v>
      </c>
      <c r="BB240" s="2" t="s">
        <v>122</v>
      </c>
      <c r="BC240" s="2" t="s">
        <v>122</v>
      </c>
      <c r="BD240" s="2" t="s">
        <v>122</v>
      </c>
      <c r="BE240" s="2" t="s">
        <v>122</v>
      </c>
      <c r="BF240" s="2" t="s">
        <v>122</v>
      </c>
      <c r="BG240" s="2" t="s">
        <v>122</v>
      </c>
      <c r="BH240" s="2" t="s">
        <v>122</v>
      </c>
      <c r="BI240" s="2" t="s">
        <v>122</v>
      </c>
      <c r="BJ240" s="2" t="s">
        <v>122</v>
      </c>
      <c r="BK240" s="2" t="s">
        <v>122</v>
      </c>
      <c r="BL240" s="2" t="s">
        <v>122</v>
      </c>
      <c r="BM240" s="2" t="s">
        <v>122</v>
      </c>
      <c r="BN240" s="2" t="s">
        <v>122</v>
      </c>
      <c r="BO240">
        <v>0</v>
      </c>
      <c r="BP240">
        <v>2</v>
      </c>
      <c r="BQ240">
        <v>2</v>
      </c>
      <c r="BR240" s="2" t="s">
        <v>122</v>
      </c>
      <c r="BS240" s="2" t="s">
        <v>122</v>
      </c>
      <c r="BT240" s="2" t="s">
        <v>122</v>
      </c>
      <c r="BU240" s="2" t="s">
        <v>122</v>
      </c>
      <c r="BV240" s="2" t="s">
        <v>122</v>
      </c>
      <c r="BW240" s="2" t="s">
        <v>122</v>
      </c>
      <c r="BX240" s="2" t="s">
        <v>122</v>
      </c>
      <c r="BY240" s="2" t="s">
        <v>122</v>
      </c>
      <c r="BZ240" s="2" t="s">
        <v>125</v>
      </c>
      <c r="CA240" s="2" t="s">
        <v>122</v>
      </c>
      <c r="CB240">
        <v>4</v>
      </c>
      <c r="CC240">
        <v>2</v>
      </c>
      <c r="CD240">
        <v>4</v>
      </c>
      <c r="CE240">
        <v>2</v>
      </c>
      <c r="CF240">
        <v>2</v>
      </c>
      <c r="CG240" s="2" t="s">
        <v>122</v>
      </c>
      <c r="CH240">
        <v>5</v>
      </c>
      <c r="CI240" s="2" t="s">
        <v>125</v>
      </c>
      <c r="CJ240" s="2" t="s">
        <v>122</v>
      </c>
      <c r="CK240" s="2" t="s">
        <v>122</v>
      </c>
      <c r="CL240" s="2" t="s">
        <v>122</v>
      </c>
      <c r="CM240" s="2" t="s">
        <v>122</v>
      </c>
      <c r="CN240" s="2" t="s">
        <v>122</v>
      </c>
      <c r="CO240" s="2" t="s">
        <v>122</v>
      </c>
      <c r="CP240" s="2" t="s">
        <v>122</v>
      </c>
      <c r="CQ240" s="2" t="s">
        <v>122</v>
      </c>
      <c r="CR240" s="2" t="s">
        <v>122</v>
      </c>
      <c r="CS240">
        <v>5</v>
      </c>
      <c r="CT240">
        <v>-999</v>
      </c>
      <c r="CU240" s="43">
        <v>3</v>
      </c>
      <c r="CV240" cm="1">
        <f t="array" ref="CV240">_xlfn.IFS(CU240*1=2,1,CU240*1=4,1,TRUE,0)</f>
        <v>0</v>
      </c>
      <c r="CW240" cm="1">
        <f t="array" ref="CW240">_xlfn.IFS(CU240*1=1,1,CU240*1=2,1,TRUE,0)</f>
        <v>0</v>
      </c>
      <c r="CX240" s="3">
        <f t="shared" si="27"/>
        <v>4</v>
      </c>
      <c r="CY240" s="3">
        <f t="shared" si="28"/>
        <v>4</v>
      </c>
      <c r="CZ240" s="3" cm="1">
        <f t="array" ref="CZ240">_xlfn.IFS(BP240&lt;&gt;"", BP240, CV240=1,  AQ240, CV240=0,  AZ240)</f>
        <v>2</v>
      </c>
      <c r="DA240" s="36" cm="1">
        <f t="array" ref="DA240">_xlfn.IFS(BO240&lt;&gt;"", BO240, CV240=0,  AQ240, CV240=1,  AZ240)</f>
        <v>0</v>
      </c>
      <c r="DB240" s="36">
        <f t="shared" si="29"/>
        <v>0</v>
      </c>
      <c r="DC240" s="3">
        <f t="shared" si="30"/>
        <v>0</v>
      </c>
      <c r="DD240" s="3">
        <f t="shared" si="31"/>
        <v>0</v>
      </c>
      <c r="DE240" s="3">
        <f t="shared" si="32"/>
        <v>-2</v>
      </c>
      <c r="DF240" s="3">
        <f t="shared" si="33"/>
        <v>0</v>
      </c>
      <c r="DG240" s="3">
        <f t="shared" si="34"/>
        <v>-4</v>
      </c>
    </row>
    <row r="241" spans="1:111" x14ac:dyDescent="0.4">
      <c r="A241">
        <v>202511</v>
      </c>
      <c r="B241">
        <v>123</v>
      </c>
      <c r="C241" s="1">
        <v>45969.42465277778</v>
      </c>
      <c r="D241" s="1">
        <v>45969.427824074075</v>
      </c>
      <c r="E241">
        <v>0</v>
      </c>
      <c r="F241" s="2" t="s">
        <v>156</v>
      </c>
      <c r="G241">
        <v>100</v>
      </c>
      <c r="H241">
        <v>273</v>
      </c>
      <c r="I241">
        <v>1</v>
      </c>
      <c r="J241" s="1">
        <v>45969.42783197917</v>
      </c>
      <c r="K241" s="2" t="s">
        <v>157</v>
      </c>
      <c r="L241" s="2" t="s">
        <v>122</v>
      </c>
      <c r="M241" s="2" t="s">
        <v>122</v>
      </c>
      <c r="N241" s="2" t="s">
        <v>122</v>
      </c>
      <c r="O241" s="2" t="s">
        <v>122</v>
      </c>
      <c r="P241">
        <v>33.434199999999997</v>
      </c>
      <c r="Q241">
        <v>-111.8454</v>
      </c>
      <c r="R241" s="2" t="s">
        <v>129</v>
      </c>
      <c r="S241" s="2" t="s">
        <v>124</v>
      </c>
      <c r="T241">
        <v>4</v>
      </c>
      <c r="U241">
        <v>1</v>
      </c>
      <c r="V241">
        <v>2</v>
      </c>
      <c r="W241">
        <v>2</v>
      </c>
      <c r="X241">
        <v>2</v>
      </c>
      <c r="Y241">
        <v>1</v>
      </c>
      <c r="Z241">
        <v>1</v>
      </c>
      <c r="AA241">
        <v>1</v>
      </c>
      <c r="AB241" s="2" t="s">
        <v>122</v>
      </c>
      <c r="AC241" s="2" t="s">
        <v>122</v>
      </c>
      <c r="AD241" s="2" t="s">
        <v>125</v>
      </c>
      <c r="AE241" s="2" t="s">
        <v>122</v>
      </c>
      <c r="AF241" s="2" t="s">
        <v>122</v>
      </c>
      <c r="AG241">
        <v>2</v>
      </c>
      <c r="AH241">
        <v>5</v>
      </c>
      <c r="AI241">
        <v>3</v>
      </c>
      <c r="AJ241">
        <v>7</v>
      </c>
      <c r="AK241">
        <v>6</v>
      </c>
      <c r="AL241">
        <v>6</v>
      </c>
      <c r="AM241">
        <v>7</v>
      </c>
      <c r="AN241">
        <v>7</v>
      </c>
      <c r="AO241">
        <v>3</v>
      </c>
      <c r="AP241">
        <v>3</v>
      </c>
      <c r="AQ241">
        <v>5</v>
      </c>
      <c r="AR241">
        <v>3</v>
      </c>
      <c r="AS241">
        <v>6</v>
      </c>
      <c r="AT241">
        <v>6</v>
      </c>
      <c r="AU241">
        <v>6</v>
      </c>
      <c r="AV241">
        <v>6</v>
      </c>
      <c r="AW241">
        <v>6</v>
      </c>
      <c r="AX241">
        <v>3</v>
      </c>
      <c r="AY241">
        <v>3</v>
      </c>
      <c r="AZ241">
        <v>6</v>
      </c>
      <c r="BA241">
        <v>3</v>
      </c>
      <c r="BB241">
        <v>6</v>
      </c>
      <c r="BC241">
        <v>6</v>
      </c>
      <c r="BD241">
        <v>3</v>
      </c>
      <c r="BE241" s="2" t="s">
        <v>125</v>
      </c>
      <c r="BF241" s="2" t="s">
        <v>122</v>
      </c>
      <c r="BG241" s="2" t="s">
        <v>122</v>
      </c>
      <c r="BH241" s="2" t="s">
        <v>122</v>
      </c>
      <c r="BI241" s="2" t="s">
        <v>125</v>
      </c>
      <c r="BJ241" s="2" t="s">
        <v>122</v>
      </c>
      <c r="BK241" s="2" t="s">
        <v>122</v>
      </c>
      <c r="BL241" s="2" t="s">
        <v>122</v>
      </c>
      <c r="BM241" s="2" t="s">
        <v>122</v>
      </c>
      <c r="BN241">
        <v>1</v>
      </c>
      <c r="BO241" s="2" t="s">
        <v>122</v>
      </c>
      <c r="BP241" s="2" t="s">
        <v>122</v>
      </c>
      <c r="BQ241" s="2" t="s">
        <v>122</v>
      </c>
      <c r="BR241" s="2" t="s">
        <v>122</v>
      </c>
      <c r="BS241" s="2" t="s">
        <v>122</v>
      </c>
      <c r="BT241" s="2" t="s">
        <v>122</v>
      </c>
      <c r="BU241" s="2" t="s">
        <v>122</v>
      </c>
      <c r="BV241" s="2" t="s">
        <v>122</v>
      </c>
      <c r="BW241" s="2" t="s">
        <v>122</v>
      </c>
      <c r="BX241" s="2" t="s">
        <v>122</v>
      </c>
      <c r="BY241" s="2" t="s">
        <v>122</v>
      </c>
      <c r="BZ241" s="2" t="s">
        <v>122</v>
      </c>
      <c r="CA241" s="2" t="s">
        <v>122</v>
      </c>
      <c r="CB241" s="2" t="s">
        <v>122</v>
      </c>
      <c r="CC241" s="2" t="s">
        <v>122</v>
      </c>
      <c r="CD241" s="2" t="s">
        <v>122</v>
      </c>
      <c r="CE241" s="2" t="s">
        <v>122</v>
      </c>
      <c r="CF241">
        <v>1</v>
      </c>
      <c r="CG241" s="2" t="s">
        <v>122</v>
      </c>
      <c r="CH241">
        <v>2.7</v>
      </c>
      <c r="CI241" s="2" t="s">
        <v>122</v>
      </c>
      <c r="CJ241" s="2" t="s">
        <v>122</v>
      </c>
      <c r="CK241" s="2" t="s">
        <v>125</v>
      </c>
      <c r="CL241" s="2" t="s">
        <v>122</v>
      </c>
      <c r="CM241" s="2" t="s">
        <v>122</v>
      </c>
      <c r="CN241" s="2" t="s">
        <v>122</v>
      </c>
      <c r="CO241" s="2" t="s">
        <v>122</v>
      </c>
      <c r="CP241" s="2" t="s">
        <v>122</v>
      </c>
      <c r="CQ241" s="2" t="s">
        <v>122</v>
      </c>
      <c r="CR241" s="2" t="s">
        <v>122</v>
      </c>
      <c r="CS241">
        <v>5</v>
      </c>
      <c r="CT241">
        <v>4</v>
      </c>
      <c r="CU241" s="43">
        <v>1</v>
      </c>
      <c r="CV241" cm="1">
        <f t="array" ref="CV241">_xlfn.IFS(CU241*1=2,1,CU241*1=4,1,TRUE,0)</f>
        <v>0</v>
      </c>
      <c r="CW241" cm="1">
        <f t="array" ref="CW241">_xlfn.IFS(CU241*1=1,1,CU241*1=2,1,TRUE,0)</f>
        <v>1</v>
      </c>
      <c r="CX241" s="3">
        <f t="shared" si="27"/>
        <v>6</v>
      </c>
      <c r="CY241" s="3">
        <f t="shared" si="28"/>
        <v>6</v>
      </c>
      <c r="CZ241" s="3" cm="1">
        <f t="array" ref="CZ241">_xlfn.IFS(BP241&lt;&gt;"", BP241, CV241=1,  AQ241, CV241=0,  AZ241)</f>
        <v>6</v>
      </c>
      <c r="DA241" s="36" cm="1">
        <f t="array" ref="DA241">_xlfn.IFS(BO241&lt;&gt;"", BO241, CV241=0,  AQ241, CV241=1,  AZ241)</f>
        <v>5</v>
      </c>
      <c r="DB241" s="36">
        <f t="shared" si="29"/>
        <v>1</v>
      </c>
      <c r="DC241" s="3">
        <f t="shared" si="30"/>
        <v>1</v>
      </c>
      <c r="DD241" s="3">
        <f t="shared" si="31"/>
        <v>1</v>
      </c>
      <c r="DE241" s="3">
        <f t="shared" si="32"/>
        <v>1</v>
      </c>
      <c r="DF241" s="3">
        <f t="shared" si="33"/>
        <v>0</v>
      </c>
      <c r="DG241" s="3">
        <f t="shared" si="34"/>
        <v>1</v>
      </c>
    </row>
    <row r="242" spans="1:111" x14ac:dyDescent="0.4">
      <c r="A242">
        <v>202511</v>
      </c>
      <c r="B242">
        <v>123</v>
      </c>
      <c r="C242" s="1">
        <v>45969.42465277778</v>
      </c>
      <c r="D242" s="1">
        <v>45969.42827546296</v>
      </c>
      <c r="E242">
        <v>0</v>
      </c>
      <c r="F242" s="2" t="s">
        <v>160</v>
      </c>
      <c r="G242">
        <v>100</v>
      </c>
      <c r="H242">
        <v>312</v>
      </c>
      <c r="I242">
        <v>1</v>
      </c>
      <c r="J242" s="1">
        <v>45969.428290694443</v>
      </c>
      <c r="K242" s="2" t="s">
        <v>161</v>
      </c>
      <c r="L242" s="2" t="s">
        <v>122</v>
      </c>
      <c r="M242" s="2" t="s">
        <v>122</v>
      </c>
      <c r="N242" s="2" t="s">
        <v>122</v>
      </c>
      <c r="O242" s="2" t="s">
        <v>122</v>
      </c>
      <c r="P242">
        <v>33.434199999999997</v>
      </c>
      <c r="Q242">
        <v>-111.8454</v>
      </c>
      <c r="R242" s="2" t="s">
        <v>129</v>
      </c>
      <c r="S242" s="2" t="s">
        <v>124</v>
      </c>
      <c r="T242">
        <v>4</v>
      </c>
      <c r="U242">
        <v>1</v>
      </c>
      <c r="V242">
        <v>1</v>
      </c>
      <c r="W242">
        <v>1</v>
      </c>
      <c r="X242">
        <v>1</v>
      </c>
      <c r="Y242">
        <v>2</v>
      </c>
      <c r="Z242">
        <v>1</v>
      </c>
      <c r="AA242">
        <v>1</v>
      </c>
      <c r="AB242" s="2" t="s">
        <v>122</v>
      </c>
      <c r="AC242" s="2" t="s">
        <v>122</v>
      </c>
      <c r="AD242" s="2" t="s">
        <v>122</v>
      </c>
      <c r="AE242" s="2" t="s">
        <v>122</v>
      </c>
      <c r="AF242" s="2" t="s">
        <v>122</v>
      </c>
      <c r="AG242">
        <v>3</v>
      </c>
      <c r="AH242">
        <v>8.5</v>
      </c>
      <c r="AI242">
        <v>3</v>
      </c>
      <c r="AJ242">
        <v>6</v>
      </c>
      <c r="AK242">
        <v>8</v>
      </c>
      <c r="AL242">
        <v>9</v>
      </c>
      <c r="AM242">
        <v>7</v>
      </c>
      <c r="AN242">
        <v>7</v>
      </c>
      <c r="AO242">
        <v>3</v>
      </c>
      <c r="AP242">
        <v>3</v>
      </c>
      <c r="AQ242">
        <v>8.5</v>
      </c>
      <c r="AR242">
        <v>3</v>
      </c>
      <c r="AS242">
        <v>5</v>
      </c>
      <c r="AT242">
        <v>8</v>
      </c>
      <c r="AU242">
        <v>8</v>
      </c>
      <c r="AV242">
        <v>8</v>
      </c>
      <c r="AW242">
        <v>8</v>
      </c>
      <c r="AX242">
        <v>4</v>
      </c>
      <c r="AY242">
        <v>4</v>
      </c>
      <c r="AZ242">
        <v>8.5</v>
      </c>
      <c r="BA242">
        <v>3</v>
      </c>
      <c r="BB242">
        <v>8</v>
      </c>
      <c r="BC242">
        <v>8</v>
      </c>
      <c r="BD242">
        <v>3</v>
      </c>
      <c r="BE242" s="2" t="s">
        <v>125</v>
      </c>
      <c r="BF242" s="2" t="s">
        <v>122</v>
      </c>
      <c r="BG242" s="2" t="s">
        <v>122</v>
      </c>
      <c r="BH242" s="2" t="s">
        <v>122</v>
      </c>
      <c r="BI242" s="2" t="s">
        <v>122</v>
      </c>
      <c r="BJ242" s="2" t="s">
        <v>122</v>
      </c>
      <c r="BK242" s="2" t="s">
        <v>122</v>
      </c>
      <c r="BL242" s="2" t="s">
        <v>125</v>
      </c>
      <c r="BM242" s="2" t="s">
        <v>122</v>
      </c>
      <c r="BN242">
        <v>7</v>
      </c>
      <c r="BO242" s="2" t="s">
        <v>122</v>
      </c>
      <c r="BP242" s="2" t="s">
        <v>122</v>
      </c>
      <c r="BQ242" s="2" t="s">
        <v>122</v>
      </c>
      <c r="BR242" s="2" t="s">
        <v>122</v>
      </c>
      <c r="BS242" s="2" t="s">
        <v>122</v>
      </c>
      <c r="BT242" s="2" t="s">
        <v>122</v>
      </c>
      <c r="BU242" s="2" t="s">
        <v>122</v>
      </c>
      <c r="BV242" s="2" t="s">
        <v>122</v>
      </c>
      <c r="BW242" s="2" t="s">
        <v>122</v>
      </c>
      <c r="BX242" s="2" t="s">
        <v>122</v>
      </c>
      <c r="BY242" s="2" t="s">
        <v>122</v>
      </c>
      <c r="BZ242" s="2" t="s">
        <v>122</v>
      </c>
      <c r="CA242" s="2" t="s">
        <v>122</v>
      </c>
      <c r="CB242" s="2" t="s">
        <v>122</v>
      </c>
      <c r="CC242" s="2" t="s">
        <v>122</v>
      </c>
      <c r="CD242" s="2" t="s">
        <v>122</v>
      </c>
      <c r="CE242" s="2" t="s">
        <v>122</v>
      </c>
      <c r="CF242">
        <v>2</v>
      </c>
      <c r="CG242" s="2" t="s">
        <v>122</v>
      </c>
      <c r="CH242">
        <v>2.7</v>
      </c>
      <c r="CI242" s="2" t="s">
        <v>122</v>
      </c>
      <c r="CJ242" s="2" t="s">
        <v>122</v>
      </c>
      <c r="CK242" s="2" t="s">
        <v>122</v>
      </c>
      <c r="CL242" s="2" t="s">
        <v>125</v>
      </c>
      <c r="CM242" s="2" t="s">
        <v>122</v>
      </c>
      <c r="CN242" s="2" t="s">
        <v>122</v>
      </c>
      <c r="CO242" s="2" t="s">
        <v>122</v>
      </c>
      <c r="CP242" s="2" t="s">
        <v>122</v>
      </c>
      <c r="CQ242" s="2" t="s">
        <v>122</v>
      </c>
      <c r="CR242" s="2" t="s">
        <v>122</v>
      </c>
      <c r="CS242">
        <v>5</v>
      </c>
      <c r="CT242">
        <v>4</v>
      </c>
      <c r="CU242" s="43">
        <v>1</v>
      </c>
      <c r="CV242" cm="1">
        <f t="array" ref="CV242">_xlfn.IFS(CU242*1=2,1,CU242*1=4,1,TRUE,0)</f>
        <v>0</v>
      </c>
      <c r="CW242" cm="1">
        <f t="array" ref="CW242">_xlfn.IFS(CU242*1=1,1,CU242*1=2,1,TRUE,0)</f>
        <v>1</v>
      </c>
      <c r="CX242" s="3">
        <f t="shared" si="27"/>
        <v>8</v>
      </c>
      <c r="CY242" s="3">
        <f t="shared" si="28"/>
        <v>8</v>
      </c>
      <c r="CZ242" s="3" cm="1">
        <f t="array" ref="CZ242">_xlfn.IFS(BP242&lt;&gt;"", BP242, CV242=1,  AQ242, CV242=0,  AZ242)</f>
        <v>8.5</v>
      </c>
      <c r="DA242" s="36" cm="1">
        <f t="array" ref="DA242">_xlfn.IFS(BO242&lt;&gt;"", BO242, CV242=0,  AQ242, CV242=1,  AZ242)</f>
        <v>8.5</v>
      </c>
      <c r="DB242" s="36">
        <f t="shared" si="29"/>
        <v>-0.5</v>
      </c>
      <c r="DC242" s="3">
        <f t="shared" si="30"/>
        <v>-0.5</v>
      </c>
      <c r="DD242" s="3">
        <f t="shared" si="31"/>
        <v>0</v>
      </c>
      <c r="DE242" s="3">
        <f t="shared" si="32"/>
        <v>-0.5</v>
      </c>
      <c r="DF242" s="3">
        <f t="shared" si="33"/>
        <v>0</v>
      </c>
      <c r="DG242" s="3">
        <f t="shared" si="34"/>
        <v>-0.5</v>
      </c>
    </row>
    <row r="243" spans="1:111" x14ac:dyDescent="0.4">
      <c r="A243">
        <v>202511</v>
      </c>
      <c r="B243">
        <v>456</v>
      </c>
      <c r="C243" s="5">
        <v>45969.425636574073</v>
      </c>
      <c r="D243" s="5">
        <v>45969.428333333337</v>
      </c>
      <c r="E243" s="3">
        <v>0</v>
      </c>
      <c r="F243" s="4" t="s">
        <v>357</v>
      </c>
      <c r="G243" s="3">
        <v>100</v>
      </c>
      <c r="H243" s="3">
        <v>232</v>
      </c>
      <c r="I243" s="3">
        <v>1</v>
      </c>
      <c r="J243" s="5">
        <v>45969.428337777776</v>
      </c>
      <c r="K243" s="4" t="s">
        <v>356</v>
      </c>
      <c r="L243" s="4" t="s">
        <v>122</v>
      </c>
      <c r="M243" s="4" t="s">
        <v>122</v>
      </c>
      <c r="N243" s="4" t="s">
        <v>122</v>
      </c>
      <c r="O243" s="4" t="s">
        <v>122</v>
      </c>
      <c r="P243" s="3">
        <v>33.434199999999997</v>
      </c>
      <c r="Q243" s="3">
        <v>-111.8454</v>
      </c>
      <c r="R243" s="4" t="s">
        <v>129</v>
      </c>
      <c r="S243" s="4" t="s">
        <v>124</v>
      </c>
      <c r="T243" s="3">
        <v>4</v>
      </c>
      <c r="U243" s="3">
        <v>1</v>
      </c>
      <c r="V243" s="3">
        <v>4</v>
      </c>
      <c r="W243" s="3">
        <v>4</v>
      </c>
      <c r="X243" s="3">
        <v>1</v>
      </c>
      <c r="Y243" s="3">
        <v>1</v>
      </c>
      <c r="Z243" s="3">
        <v>1</v>
      </c>
      <c r="AA243" s="3">
        <v>1</v>
      </c>
      <c r="AB243" s="4" t="s">
        <v>122</v>
      </c>
      <c r="AC243" s="4" t="s">
        <v>122</v>
      </c>
      <c r="AD243" s="4" t="s">
        <v>122</v>
      </c>
      <c r="AE243" s="4" t="s">
        <v>122</v>
      </c>
      <c r="AF243" s="4" t="s">
        <v>122</v>
      </c>
      <c r="AG243" s="3">
        <v>3</v>
      </c>
      <c r="AH243" s="3">
        <v>7</v>
      </c>
      <c r="AI243" s="3">
        <v>3</v>
      </c>
      <c r="AJ243" s="3">
        <v>5</v>
      </c>
      <c r="AK243" s="3">
        <v>6</v>
      </c>
      <c r="AL243" s="3">
        <v>5</v>
      </c>
      <c r="AM243" s="3">
        <v>4</v>
      </c>
      <c r="AN243" s="3">
        <v>4</v>
      </c>
      <c r="AO243" s="3">
        <v>2</v>
      </c>
      <c r="AP243" s="3">
        <v>1</v>
      </c>
      <c r="AQ243" s="3">
        <v>4</v>
      </c>
      <c r="AR243" s="3">
        <v>2</v>
      </c>
      <c r="AS243" s="3">
        <v>5</v>
      </c>
      <c r="AT243" s="3">
        <v>6</v>
      </c>
      <c r="AU243" s="3">
        <v>5</v>
      </c>
      <c r="AV243" s="3">
        <v>4</v>
      </c>
      <c r="AW243" s="3">
        <v>3</v>
      </c>
      <c r="AX243" s="3">
        <v>1</v>
      </c>
      <c r="AY243" s="3">
        <v>2</v>
      </c>
      <c r="AZ243" s="3">
        <v>4</v>
      </c>
      <c r="BA243" s="3">
        <v>2</v>
      </c>
      <c r="BB243" s="3">
        <v>0</v>
      </c>
      <c r="BC243" s="3">
        <v>0</v>
      </c>
      <c r="BD243" s="3">
        <v>3</v>
      </c>
      <c r="BE243" s="4" t="s">
        <v>125</v>
      </c>
      <c r="BF243" s="4" t="s">
        <v>122</v>
      </c>
      <c r="BG243" s="4" t="s">
        <v>122</v>
      </c>
      <c r="BH243" s="4" t="s">
        <v>122</v>
      </c>
      <c r="BI243" s="4" t="s">
        <v>122</v>
      </c>
      <c r="BJ243" s="4" t="s">
        <v>122</v>
      </c>
      <c r="BK243" s="4" t="s">
        <v>122</v>
      </c>
      <c r="BL243" s="4" t="s">
        <v>122</v>
      </c>
      <c r="BM243" s="4" t="s">
        <v>122</v>
      </c>
      <c r="BN243" s="4" t="s">
        <v>122</v>
      </c>
      <c r="BO243" s="4" t="s">
        <v>122</v>
      </c>
      <c r="BP243" s="4" t="s">
        <v>122</v>
      </c>
      <c r="BQ243" s="4" t="s">
        <v>122</v>
      </c>
      <c r="BR243" s="4" t="s">
        <v>122</v>
      </c>
      <c r="BS243" s="4" t="s">
        <v>122</v>
      </c>
      <c r="BT243" s="4" t="s">
        <v>122</v>
      </c>
      <c r="BU243" s="4" t="s">
        <v>122</v>
      </c>
      <c r="BV243" s="4" t="s">
        <v>122</v>
      </c>
      <c r="BW243" s="4" t="s">
        <v>122</v>
      </c>
      <c r="BX243" s="4" t="s">
        <v>122</v>
      </c>
      <c r="BY243" s="4" t="s">
        <v>122</v>
      </c>
      <c r="BZ243" s="4" t="s">
        <v>122</v>
      </c>
      <c r="CA243" s="4" t="s">
        <v>122</v>
      </c>
      <c r="CB243" s="4" t="s">
        <v>122</v>
      </c>
      <c r="CC243" s="4" t="s">
        <v>122</v>
      </c>
      <c r="CD243" s="4" t="s">
        <v>122</v>
      </c>
      <c r="CE243" s="4" t="s">
        <v>122</v>
      </c>
      <c r="CF243" s="3">
        <v>1</v>
      </c>
      <c r="CG243" s="4" t="s">
        <v>122</v>
      </c>
      <c r="CH243" s="3">
        <v>2.2999999999999998</v>
      </c>
      <c r="CI243" s="4" t="s">
        <v>122</v>
      </c>
      <c r="CJ243" s="4" t="s">
        <v>122</v>
      </c>
      <c r="CK243" s="4" t="s">
        <v>122</v>
      </c>
      <c r="CL243" s="4" t="s">
        <v>122</v>
      </c>
      <c r="CM243" s="4" t="s">
        <v>122</v>
      </c>
      <c r="CN243" s="4" t="s">
        <v>122</v>
      </c>
      <c r="CO243" s="4" t="s">
        <v>125</v>
      </c>
      <c r="CP243" s="4" t="s">
        <v>122</v>
      </c>
      <c r="CQ243" s="4" t="s">
        <v>122</v>
      </c>
      <c r="CR243" s="4" t="s">
        <v>122</v>
      </c>
      <c r="CS243" s="3">
        <v>4</v>
      </c>
      <c r="CT243" s="3">
        <v>4</v>
      </c>
      <c r="CU243" s="42">
        <v>2</v>
      </c>
      <c r="CV243" cm="1">
        <f t="array" ref="CV243">_xlfn.IFS(CU243*1=2,1,CU243*1=4,1,TRUE,0)</f>
        <v>1</v>
      </c>
      <c r="CW243" cm="1">
        <f t="array" ref="CW243">_xlfn.IFS(CU243*1=1,1,CU243*1=2,1,TRUE,0)</f>
        <v>1</v>
      </c>
      <c r="CX243" s="3">
        <f t="shared" si="27"/>
        <v>0</v>
      </c>
      <c r="CY243" s="3">
        <f t="shared" si="28"/>
        <v>0</v>
      </c>
      <c r="CZ243" s="3" cm="1">
        <f t="array" ref="CZ243">_xlfn.IFS(BP243&lt;&gt;"", BP243, CV243=1,  AQ243, CV243=0,  AZ243)</f>
        <v>4</v>
      </c>
      <c r="DA243" s="36" cm="1">
        <f t="array" ref="DA243">_xlfn.IFS(BO243&lt;&gt;"", BO243, CV243=0,  AQ243, CV243=1,  AZ243)</f>
        <v>4</v>
      </c>
      <c r="DB243" s="36">
        <f t="shared" si="29"/>
        <v>-7</v>
      </c>
      <c r="DC243" s="3">
        <f t="shared" si="30"/>
        <v>-7</v>
      </c>
      <c r="DD243" s="3">
        <f t="shared" si="31"/>
        <v>-3</v>
      </c>
      <c r="DE243" s="3">
        <f t="shared" si="32"/>
        <v>-7</v>
      </c>
      <c r="DF243" s="3">
        <f t="shared" si="33"/>
        <v>-3</v>
      </c>
      <c r="DG243" s="3">
        <f t="shared" si="34"/>
        <v>-7</v>
      </c>
    </row>
    <row r="244" spans="1:111" x14ac:dyDescent="0.4">
      <c r="A244">
        <v>202511</v>
      </c>
      <c r="B244">
        <v>456</v>
      </c>
      <c r="C244" s="5">
        <v>45969.425682870373</v>
      </c>
      <c r="D244" s="5">
        <v>45969.429386574076</v>
      </c>
      <c r="E244" s="3">
        <v>0</v>
      </c>
      <c r="F244" s="4" t="s">
        <v>353</v>
      </c>
      <c r="G244" s="3">
        <v>100</v>
      </c>
      <c r="H244" s="3">
        <v>319</v>
      </c>
      <c r="I244" s="3">
        <v>1</v>
      </c>
      <c r="J244" s="5">
        <v>45969.429391747683</v>
      </c>
      <c r="K244" s="4" t="s">
        <v>352</v>
      </c>
      <c r="L244" s="4" t="s">
        <v>122</v>
      </c>
      <c r="M244" s="4" t="s">
        <v>122</v>
      </c>
      <c r="N244" s="4" t="s">
        <v>122</v>
      </c>
      <c r="O244" s="4" t="s">
        <v>122</v>
      </c>
      <c r="P244" s="3">
        <v>33.453200000000002</v>
      </c>
      <c r="Q244" s="3">
        <v>-112.0748</v>
      </c>
      <c r="R244" s="4" t="s">
        <v>129</v>
      </c>
      <c r="S244" s="4" t="s">
        <v>124</v>
      </c>
      <c r="T244" s="3">
        <v>4</v>
      </c>
      <c r="U244" s="3">
        <v>1</v>
      </c>
      <c r="V244" s="3">
        <v>3</v>
      </c>
      <c r="W244" s="3">
        <v>3</v>
      </c>
      <c r="X244" s="3">
        <v>1</v>
      </c>
      <c r="Y244" s="3">
        <v>1</v>
      </c>
      <c r="Z244" s="3">
        <v>1</v>
      </c>
      <c r="AA244" s="3">
        <v>1</v>
      </c>
      <c r="AB244" s="4" t="s">
        <v>122</v>
      </c>
      <c r="AC244" s="4" t="s">
        <v>122</v>
      </c>
      <c r="AD244" s="4" t="s">
        <v>122</v>
      </c>
      <c r="AE244" s="4" t="s">
        <v>122</v>
      </c>
      <c r="AF244" s="4" t="s">
        <v>122</v>
      </c>
      <c r="AG244" s="3">
        <v>2</v>
      </c>
      <c r="AH244" s="3">
        <v>0</v>
      </c>
      <c r="AI244" s="4" t="s">
        <v>122</v>
      </c>
      <c r="AJ244" s="3">
        <v>7</v>
      </c>
      <c r="AK244" s="3">
        <v>7</v>
      </c>
      <c r="AL244" s="3">
        <v>6</v>
      </c>
      <c r="AM244" s="3">
        <v>7</v>
      </c>
      <c r="AN244" s="3">
        <v>5</v>
      </c>
      <c r="AO244" s="3">
        <v>3</v>
      </c>
      <c r="AP244" s="3">
        <v>3</v>
      </c>
      <c r="AQ244" s="3">
        <v>5</v>
      </c>
      <c r="AR244" s="3">
        <v>2</v>
      </c>
      <c r="AS244" s="3">
        <v>7</v>
      </c>
      <c r="AT244" s="3">
        <v>7</v>
      </c>
      <c r="AU244" s="3">
        <v>6</v>
      </c>
      <c r="AV244" s="3">
        <v>7</v>
      </c>
      <c r="AW244" s="3">
        <v>6</v>
      </c>
      <c r="AX244" s="3">
        <v>3</v>
      </c>
      <c r="AY244" s="3">
        <v>3</v>
      </c>
      <c r="AZ244" s="3">
        <v>5</v>
      </c>
      <c r="BA244" s="3">
        <v>2</v>
      </c>
      <c r="BB244" s="3">
        <v>5</v>
      </c>
      <c r="BC244" s="3">
        <v>5</v>
      </c>
      <c r="BD244" s="3">
        <v>2</v>
      </c>
      <c r="BE244" s="4" t="s">
        <v>122</v>
      </c>
      <c r="BF244" s="4" t="s">
        <v>122</v>
      </c>
      <c r="BG244" s="4" t="s">
        <v>122</v>
      </c>
      <c r="BH244" s="4" t="s">
        <v>122</v>
      </c>
      <c r="BI244" s="4" t="s">
        <v>122</v>
      </c>
      <c r="BJ244" s="4" t="s">
        <v>122</v>
      </c>
      <c r="BK244" s="4" t="s">
        <v>122</v>
      </c>
      <c r="BL244" s="4" t="s">
        <v>122</v>
      </c>
      <c r="BM244" s="4" t="s">
        <v>125</v>
      </c>
      <c r="BN244" s="4" t="s">
        <v>122</v>
      </c>
      <c r="BO244" s="4" t="s">
        <v>122</v>
      </c>
      <c r="BP244" s="4" t="s">
        <v>122</v>
      </c>
      <c r="BQ244" s="4" t="s">
        <v>122</v>
      </c>
      <c r="BR244" s="4" t="s">
        <v>122</v>
      </c>
      <c r="BS244" s="4" t="s">
        <v>122</v>
      </c>
      <c r="BT244" s="4" t="s">
        <v>122</v>
      </c>
      <c r="BU244" s="4" t="s">
        <v>122</v>
      </c>
      <c r="BV244" s="4" t="s">
        <v>122</v>
      </c>
      <c r="BW244" s="4" t="s">
        <v>122</v>
      </c>
      <c r="BX244" s="4" t="s">
        <v>122</v>
      </c>
      <c r="BY244" s="4" t="s">
        <v>122</v>
      </c>
      <c r="BZ244" s="4" t="s">
        <v>122</v>
      </c>
      <c r="CA244" s="4" t="s">
        <v>122</v>
      </c>
      <c r="CB244" s="4" t="s">
        <v>122</v>
      </c>
      <c r="CC244" s="4" t="s">
        <v>122</v>
      </c>
      <c r="CD244" s="4" t="s">
        <v>122</v>
      </c>
      <c r="CE244" s="4" t="s">
        <v>122</v>
      </c>
      <c r="CF244" s="3">
        <v>1</v>
      </c>
      <c r="CG244" s="4" t="s">
        <v>122</v>
      </c>
      <c r="CH244" s="3">
        <v>4</v>
      </c>
      <c r="CI244" s="4" t="s">
        <v>122</v>
      </c>
      <c r="CJ244" s="4" t="s">
        <v>122</v>
      </c>
      <c r="CK244" s="4" t="s">
        <v>122</v>
      </c>
      <c r="CL244" s="4" t="s">
        <v>122</v>
      </c>
      <c r="CM244" s="4" t="s">
        <v>122</v>
      </c>
      <c r="CN244" s="4" t="s">
        <v>122</v>
      </c>
      <c r="CO244" s="4" t="s">
        <v>125</v>
      </c>
      <c r="CP244" s="4" t="s">
        <v>122</v>
      </c>
      <c r="CQ244" s="4" t="s">
        <v>122</v>
      </c>
      <c r="CR244" s="4" t="s">
        <v>122</v>
      </c>
      <c r="CS244" s="3">
        <v>5</v>
      </c>
      <c r="CT244" s="3">
        <v>6</v>
      </c>
      <c r="CU244" s="42">
        <v>2</v>
      </c>
      <c r="CV244" cm="1">
        <f t="array" ref="CV244">_xlfn.IFS(CU244*1=2,1,CU244*1=4,1,TRUE,0)</f>
        <v>1</v>
      </c>
      <c r="CW244" cm="1">
        <f t="array" ref="CW244">_xlfn.IFS(CU244*1=1,1,CU244*1=2,1,TRUE,0)</f>
        <v>1</v>
      </c>
      <c r="CX244" s="3">
        <f t="shared" si="27"/>
        <v>5</v>
      </c>
      <c r="CY244" s="3">
        <f t="shared" si="28"/>
        <v>5</v>
      </c>
      <c r="CZ244" s="3" cm="1">
        <f t="array" ref="CZ244">_xlfn.IFS(BP244&lt;&gt;"", BP244, CV244=1,  AQ244, CV244=0,  AZ244)</f>
        <v>5</v>
      </c>
      <c r="DA244" s="36" cm="1">
        <f t="array" ref="DA244">_xlfn.IFS(BO244&lt;&gt;"", BO244, CV244=0,  AQ244, CV244=1,  AZ244)</f>
        <v>5</v>
      </c>
      <c r="DB244" s="36">
        <f t="shared" si="29"/>
        <v>5</v>
      </c>
      <c r="DC244" s="3">
        <f t="shared" si="30"/>
        <v>5</v>
      </c>
      <c r="DD244" s="3">
        <f t="shared" si="31"/>
        <v>5</v>
      </c>
      <c r="DE244" s="3">
        <f t="shared" si="32"/>
        <v>5</v>
      </c>
      <c r="DF244" s="3">
        <f t="shared" si="33"/>
        <v>5</v>
      </c>
      <c r="DG244" s="3">
        <f t="shared" si="34"/>
        <v>5</v>
      </c>
    </row>
    <row r="245" spans="1:111" x14ac:dyDescent="0.4">
      <c r="A245">
        <v>202511</v>
      </c>
      <c r="B245">
        <v>123</v>
      </c>
      <c r="C245" s="1">
        <v>45969.42869212963</v>
      </c>
      <c r="D245" s="1">
        <v>45969.434756944444</v>
      </c>
      <c r="E245">
        <v>0</v>
      </c>
      <c r="F245" s="2" t="s">
        <v>166</v>
      </c>
      <c r="G245">
        <v>100</v>
      </c>
      <c r="H245">
        <v>523</v>
      </c>
      <c r="I245">
        <v>1</v>
      </c>
      <c r="J245" s="1">
        <v>45969.434767939812</v>
      </c>
      <c r="K245" s="2" t="s">
        <v>167</v>
      </c>
      <c r="L245" s="2" t="s">
        <v>122</v>
      </c>
      <c r="M245" s="2" t="s">
        <v>122</v>
      </c>
      <c r="N245" s="2" t="s">
        <v>122</v>
      </c>
      <c r="O245" s="2" t="s">
        <v>122</v>
      </c>
      <c r="P245">
        <v>33.508000000000003</v>
      </c>
      <c r="Q245">
        <v>-112.09950000000001</v>
      </c>
      <c r="R245" s="2" t="s">
        <v>129</v>
      </c>
      <c r="S245" s="2" t="s">
        <v>124</v>
      </c>
      <c r="T245">
        <v>4</v>
      </c>
      <c r="U245">
        <v>1</v>
      </c>
      <c r="V245">
        <v>3</v>
      </c>
      <c r="W245">
        <v>2</v>
      </c>
      <c r="X245">
        <v>1</v>
      </c>
      <c r="Y245">
        <v>2</v>
      </c>
      <c r="Z245">
        <v>2</v>
      </c>
      <c r="AA245">
        <v>2</v>
      </c>
      <c r="AB245" s="2" t="s">
        <v>122</v>
      </c>
      <c r="AC245" s="2" t="s">
        <v>122</v>
      </c>
      <c r="AD245" s="2" t="s">
        <v>122</v>
      </c>
      <c r="AE245" s="2" t="s">
        <v>122</v>
      </c>
      <c r="AF245" s="2" t="s">
        <v>122</v>
      </c>
      <c r="AG245">
        <v>2</v>
      </c>
      <c r="AH245">
        <v>4.5</v>
      </c>
      <c r="AI245">
        <v>2</v>
      </c>
      <c r="AJ245">
        <v>7</v>
      </c>
      <c r="AK245">
        <v>7</v>
      </c>
      <c r="AL245">
        <v>8</v>
      </c>
      <c r="AM245">
        <v>7</v>
      </c>
      <c r="AN245">
        <v>7</v>
      </c>
      <c r="AO245">
        <v>3</v>
      </c>
      <c r="AP245">
        <v>3</v>
      </c>
      <c r="AQ245" s="2" t="s">
        <v>122</v>
      </c>
      <c r="AR245" s="2" t="s">
        <v>122</v>
      </c>
      <c r="AS245">
        <v>4</v>
      </c>
      <c r="AT245">
        <v>4</v>
      </c>
      <c r="AU245">
        <v>6</v>
      </c>
      <c r="AV245">
        <v>4</v>
      </c>
      <c r="AW245">
        <v>7</v>
      </c>
      <c r="AX245">
        <v>4</v>
      </c>
      <c r="AY245">
        <v>3</v>
      </c>
      <c r="AZ245" s="2" t="s">
        <v>122</v>
      </c>
      <c r="BA245" s="2" t="s">
        <v>122</v>
      </c>
      <c r="BB245" s="2" t="s">
        <v>122</v>
      </c>
      <c r="BC245" s="2" t="s">
        <v>122</v>
      </c>
      <c r="BD245" s="2" t="s">
        <v>122</v>
      </c>
      <c r="BE245" s="2" t="s">
        <v>122</v>
      </c>
      <c r="BF245" s="2" t="s">
        <v>122</v>
      </c>
      <c r="BG245" s="2" t="s">
        <v>122</v>
      </c>
      <c r="BH245" s="2" t="s">
        <v>122</v>
      </c>
      <c r="BI245" s="2" t="s">
        <v>122</v>
      </c>
      <c r="BJ245" s="2" t="s">
        <v>122</v>
      </c>
      <c r="BK245" s="2" t="s">
        <v>122</v>
      </c>
      <c r="BL245" s="2" t="s">
        <v>122</v>
      </c>
      <c r="BM245" s="2" t="s">
        <v>122</v>
      </c>
      <c r="BN245" s="2" t="s">
        <v>122</v>
      </c>
      <c r="BO245">
        <v>4.5</v>
      </c>
      <c r="BP245">
        <v>4.5</v>
      </c>
      <c r="BQ245">
        <v>3</v>
      </c>
      <c r="BR245" s="2" t="s">
        <v>125</v>
      </c>
      <c r="BS245" s="2" t="s">
        <v>125</v>
      </c>
      <c r="BT245" s="2" t="s">
        <v>122</v>
      </c>
      <c r="BU245" s="2" t="s">
        <v>122</v>
      </c>
      <c r="BV245" s="2" t="s">
        <v>122</v>
      </c>
      <c r="BW245" s="2" t="s">
        <v>122</v>
      </c>
      <c r="BX245" s="2" t="s">
        <v>122</v>
      </c>
      <c r="BY245" s="2" t="s">
        <v>122</v>
      </c>
      <c r="BZ245" s="2" t="s">
        <v>122</v>
      </c>
      <c r="CA245">
        <v>1</v>
      </c>
      <c r="CB245">
        <v>4</v>
      </c>
      <c r="CC245">
        <v>2</v>
      </c>
      <c r="CD245">
        <v>4.5</v>
      </c>
      <c r="CE245">
        <v>2</v>
      </c>
      <c r="CF245">
        <v>2</v>
      </c>
      <c r="CG245" s="2" t="s">
        <v>122</v>
      </c>
      <c r="CH245">
        <v>6</v>
      </c>
      <c r="CI245" s="2" t="s">
        <v>122</v>
      </c>
      <c r="CJ245" s="2" t="s">
        <v>122</v>
      </c>
      <c r="CK245" s="2" t="s">
        <v>122</v>
      </c>
      <c r="CL245" s="2" t="s">
        <v>122</v>
      </c>
      <c r="CM245" s="2" t="s">
        <v>122</v>
      </c>
      <c r="CN245" s="2" t="s">
        <v>122</v>
      </c>
      <c r="CO245" s="2" t="s">
        <v>125</v>
      </c>
      <c r="CP245" s="2" t="s">
        <v>122</v>
      </c>
      <c r="CQ245" s="2" t="s">
        <v>122</v>
      </c>
      <c r="CR245" s="2" t="s">
        <v>122</v>
      </c>
      <c r="CS245">
        <v>5</v>
      </c>
      <c r="CT245">
        <v>5</v>
      </c>
      <c r="CU245" s="43">
        <v>3</v>
      </c>
      <c r="CV245" cm="1">
        <f t="array" ref="CV245">_xlfn.IFS(CU245*1=2,1,CU245*1=4,1,TRUE,0)</f>
        <v>0</v>
      </c>
      <c r="CW245" cm="1">
        <f t="array" ref="CW245">_xlfn.IFS(CU245*1=1,1,CU245*1=2,1,TRUE,0)</f>
        <v>0</v>
      </c>
      <c r="CX245" s="3">
        <f t="shared" si="27"/>
        <v>4</v>
      </c>
      <c r="CY245" s="3">
        <f t="shared" si="28"/>
        <v>4.5</v>
      </c>
      <c r="CZ245" s="3" cm="1">
        <f t="array" ref="CZ245">_xlfn.IFS(BP245&lt;&gt;"", BP245, CV245=1,  AQ245, CV245=0,  AZ245)</f>
        <v>4.5</v>
      </c>
      <c r="DA245" s="36" cm="1">
        <f t="array" ref="DA245">_xlfn.IFS(BO245&lt;&gt;"", BO245, CV245=0,  AQ245, CV245=1,  AZ245)</f>
        <v>4.5</v>
      </c>
      <c r="DB245" s="36">
        <f t="shared" si="29"/>
        <v>0</v>
      </c>
      <c r="DC245" s="3">
        <f t="shared" si="30"/>
        <v>-0.5</v>
      </c>
      <c r="DD245" s="3">
        <f t="shared" si="31"/>
        <v>0</v>
      </c>
      <c r="DE245" s="3">
        <f t="shared" si="32"/>
        <v>0</v>
      </c>
      <c r="DF245" s="3">
        <f t="shared" si="33"/>
        <v>-0.5</v>
      </c>
      <c r="DG245" s="3">
        <f t="shared" si="34"/>
        <v>0</v>
      </c>
    </row>
    <row r="246" spans="1:111" x14ac:dyDescent="0.4">
      <c r="A246">
        <v>202511</v>
      </c>
      <c r="B246">
        <v>123</v>
      </c>
      <c r="C246" s="1">
        <v>45969.428703703707</v>
      </c>
      <c r="D246" s="1">
        <v>45969.434421296297</v>
      </c>
      <c r="E246">
        <v>0</v>
      </c>
      <c r="F246" s="2" t="s">
        <v>164</v>
      </c>
      <c r="G246">
        <v>100</v>
      </c>
      <c r="H246">
        <v>493</v>
      </c>
      <c r="I246">
        <v>1</v>
      </c>
      <c r="J246" s="1">
        <v>45969.434435960648</v>
      </c>
      <c r="K246" s="2" t="s">
        <v>165</v>
      </c>
      <c r="L246" s="2" t="s">
        <v>122</v>
      </c>
      <c r="M246" s="2" t="s">
        <v>122</v>
      </c>
      <c r="N246" s="2" t="s">
        <v>122</v>
      </c>
      <c r="O246" s="2" t="s">
        <v>122</v>
      </c>
      <c r="P246">
        <v>33.434199999999997</v>
      </c>
      <c r="Q246">
        <v>-111.8454</v>
      </c>
      <c r="R246" s="2" t="s">
        <v>129</v>
      </c>
      <c r="S246" s="2" t="s">
        <v>124</v>
      </c>
      <c r="T246">
        <v>4</v>
      </c>
      <c r="U246">
        <v>1</v>
      </c>
      <c r="V246">
        <v>3</v>
      </c>
      <c r="W246">
        <v>1</v>
      </c>
      <c r="X246">
        <v>1</v>
      </c>
      <c r="Y246">
        <v>2</v>
      </c>
      <c r="Z246">
        <v>1</v>
      </c>
      <c r="AA246">
        <v>1</v>
      </c>
      <c r="AB246" s="2" t="s">
        <v>122</v>
      </c>
      <c r="AC246" s="2" t="s">
        <v>122</v>
      </c>
      <c r="AD246" s="2" t="s">
        <v>122</v>
      </c>
      <c r="AE246" s="2" t="s">
        <v>122</v>
      </c>
      <c r="AF246" s="2" t="s">
        <v>122</v>
      </c>
      <c r="AG246">
        <v>3</v>
      </c>
      <c r="AH246">
        <v>6</v>
      </c>
      <c r="AI246">
        <v>2</v>
      </c>
      <c r="AJ246">
        <v>5</v>
      </c>
      <c r="AK246">
        <v>8</v>
      </c>
      <c r="AL246">
        <v>4</v>
      </c>
      <c r="AM246">
        <v>7</v>
      </c>
      <c r="AN246">
        <v>6</v>
      </c>
      <c r="AO246">
        <v>3</v>
      </c>
      <c r="AP246">
        <v>3</v>
      </c>
      <c r="AQ246" s="2" t="s">
        <v>122</v>
      </c>
      <c r="AR246" s="2" t="s">
        <v>122</v>
      </c>
      <c r="AS246">
        <v>3</v>
      </c>
      <c r="AT246">
        <v>7</v>
      </c>
      <c r="AU246">
        <v>9</v>
      </c>
      <c r="AV246">
        <v>3</v>
      </c>
      <c r="AW246">
        <v>5</v>
      </c>
      <c r="AX246">
        <v>3</v>
      </c>
      <c r="AY246">
        <v>4</v>
      </c>
      <c r="AZ246" s="2" t="s">
        <v>122</v>
      </c>
      <c r="BA246" s="2" t="s">
        <v>122</v>
      </c>
      <c r="BB246" s="2" t="s">
        <v>122</v>
      </c>
      <c r="BC246" s="2" t="s">
        <v>122</v>
      </c>
      <c r="BD246" s="2" t="s">
        <v>122</v>
      </c>
      <c r="BE246" s="2" t="s">
        <v>122</v>
      </c>
      <c r="BF246" s="2" t="s">
        <v>122</v>
      </c>
      <c r="BG246" s="2" t="s">
        <v>122</v>
      </c>
      <c r="BH246" s="2" t="s">
        <v>122</v>
      </c>
      <c r="BI246" s="2" t="s">
        <v>122</v>
      </c>
      <c r="BJ246" s="2" t="s">
        <v>122</v>
      </c>
      <c r="BK246" s="2" t="s">
        <v>122</v>
      </c>
      <c r="BL246" s="2" t="s">
        <v>122</v>
      </c>
      <c r="BM246" s="2" t="s">
        <v>122</v>
      </c>
      <c r="BN246" s="2" t="s">
        <v>122</v>
      </c>
      <c r="BO246">
        <v>2</v>
      </c>
      <c r="BP246">
        <v>5</v>
      </c>
      <c r="BQ246">
        <v>2</v>
      </c>
      <c r="BR246" s="2" t="s">
        <v>125</v>
      </c>
      <c r="BS246" s="2" t="s">
        <v>125</v>
      </c>
      <c r="BT246" s="2" t="s">
        <v>122</v>
      </c>
      <c r="BU246" s="2" t="s">
        <v>122</v>
      </c>
      <c r="BV246" s="2" t="s">
        <v>125</v>
      </c>
      <c r="BW246" s="2" t="s">
        <v>122</v>
      </c>
      <c r="BX246" s="2" t="s">
        <v>122</v>
      </c>
      <c r="BY246" s="2" t="s">
        <v>125</v>
      </c>
      <c r="BZ246" s="2" t="s">
        <v>122</v>
      </c>
      <c r="CA246">
        <v>1</v>
      </c>
      <c r="CB246">
        <v>2</v>
      </c>
      <c r="CC246">
        <v>3</v>
      </c>
      <c r="CD246">
        <v>5</v>
      </c>
      <c r="CE246">
        <v>2</v>
      </c>
      <c r="CF246">
        <v>1</v>
      </c>
      <c r="CG246" s="2" t="s">
        <v>122</v>
      </c>
      <c r="CH246">
        <v>3</v>
      </c>
      <c r="CI246" s="2" t="s">
        <v>122</v>
      </c>
      <c r="CJ246" s="2" t="s">
        <v>122</v>
      </c>
      <c r="CK246" s="2" t="s">
        <v>122</v>
      </c>
      <c r="CL246" s="2" t="s">
        <v>122</v>
      </c>
      <c r="CM246" s="2" t="s">
        <v>122</v>
      </c>
      <c r="CN246" s="2" t="s">
        <v>122</v>
      </c>
      <c r="CO246" s="2" t="s">
        <v>125</v>
      </c>
      <c r="CP246" s="2" t="s">
        <v>122</v>
      </c>
      <c r="CQ246" s="2" t="s">
        <v>122</v>
      </c>
      <c r="CR246" s="2" t="s">
        <v>122</v>
      </c>
      <c r="CS246">
        <v>4</v>
      </c>
      <c r="CT246">
        <v>3</v>
      </c>
      <c r="CU246" s="43">
        <v>3</v>
      </c>
      <c r="CV246" cm="1">
        <f t="array" ref="CV246">_xlfn.IFS(CU246*1=2,1,CU246*1=4,1,TRUE,0)</f>
        <v>0</v>
      </c>
      <c r="CW246" cm="1">
        <f t="array" ref="CW246">_xlfn.IFS(CU246*1=1,1,CU246*1=2,1,TRUE,0)</f>
        <v>0</v>
      </c>
      <c r="CX246" s="3">
        <f t="shared" si="27"/>
        <v>2</v>
      </c>
      <c r="CY246" s="3">
        <f t="shared" si="28"/>
        <v>5</v>
      </c>
      <c r="CZ246" s="3" cm="1">
        <f t="array" ref="CZ246">_xlfn.IFS(BP246&lt;&gt;"", BP246, CV246=1,  AQ246, CV246=0,  AZ246)</f>
        <v>5</v>
      </c>
      <c r="DA246" s="36" cm="1">
        <f t="array" ref="DA246">_xlfn.IFS(BO246&lt;&gt;"", BO246, CV246=0,  AQ246, CV246=1,  AZ246)</f>
        <v>2</v>
      </c>
      <c r="DB246" s="36">
        <f t="shared" si="29"/>
        <v>-1</v>
      </c>
      <c r="DC246" s="3">
        <f t="shared" si="30"/>
        <v>-4</v>
      </c>
      <c r="DD246" s="3">
        <f t="shared" si="31"/>
        <v>-1</v>
      </c>
      <c r="DE246" s="3">
        <f t="shared" si="32"/>
        <v>-1</v>
      </c>
      <c r="DF246" s="3">
        <f t="shared" si="33"/>
        <v>-4</v>
      </c>
      <c r="DG246" s="3">
        <f t="shared" si="34"/>
        <v>-4</v>
      </c>
    </row>
    <row r="247" spans="1:111" x14ac:dyDescent="0.4">
      <c r="A247">
        <v>202511</v>
      </c>
      <c r="B247">
        <v>123</v>
      </c>
      <c r="C247" s="1">
        <v>45969.428784722222</v>
      </c>
      <c r="D247" s="1">
        <v>45969.432453703703</v>
      </c>
      <c r="E247">
        <v>0</v>
      </c>
      <c r="F247" s="2" t="s">
        <v>162</v>
      </c>
      <c r="G247">
        <v>100</v>
      </c>
      <c r="H247">
        <v>317</v>
      </c>
      <c r="I247">
        <v>1</v>
      </c>
      <c r="J247" s="1">
        <v>45969.432469756946</v>
      </c>
      <c r="K247" s="2" t="s">
        <v>163</v>
      </c>
      <c r="L247" s="2" t="s">
        <v>122</v>
      </c>
      <c r="M247" s="2" t="s">
        <v>122</v>
      </c>
      <c r="N247" s="2" t="s">
        <v>122</v>
      </c>
      <c r="O247" s="2" t="s">
        <v>122</v>
      </c>
      <c r="P247">
        <v>32.250300000000003</v>
      </c>
      <c r="Q247">
        <v>-110.94499999999999</v>
      </c>
      <c r="R247" s="2" t="s">
        <v>129</v>
      </c>
      <c r="S247" s="2" t="s">
        <v>124</v>
      </c>
      <c r="T247">
        <v>4</v>
      </c>
      <c r="U247">
        <v>1</v>
      </c>
      <c r="V247">
        <v>3</v>
      </c>
      <c r="W247">
        <v>3</v>
      </c>
      <c r="X247">
        <v>1</v>
      </c>
      <c r="Y247">
        <v>1</v>
      </c>
      <c r="Z247">
        <v>1</v>
      </c>
      <c r="AA247">
        <v>2</v>
      </c>
      <c r="AB247" s="2" t="s">
        <v>122</v>
      </c>
      <c r="AC247" s="2" t="s">
        <v>122</v>
      </c>
      <c r="AD247" s="2" t="s">
        <v>122</v>
      </c>
      <c r="AE247" s="2" t="s">
        <v>122</v>
      </c>
      <c r="AF247" s="2" t="s">
        <v>122</v>
      </c>
      <c r="AG247">
        <v>2</v>
      </c>
      <c r="AH247">
        <v>4</v>
      </c>
      <c r="AI247">
        <v>3</v>
      </c>
      <c r="AJ247">
        <v>6</v>
      </c>
      <c r="AK247">
        <v>7</v>
      </c>
      <c r="AL247">
        <v>6</v>
      </c>
      <c r="AM247">
        <v>6</v>
      </c>
      <c r="AN247">
        <v>6</v>
      </c>
      <c r="AO247">
        <v>2</v>
      </c>
      <c r="AP247">
        <v>2</v>
      </c>
      <c r="AQ247">
        <v>6</v>
      </c>
      <c r="AR247">
        <v>2</v>
      </c>
      <c r="AS247">
        <v>4</v>
      </c>
      <c r="AT247">
        <v>7</v>
      </c>
      <c r="AU247">
        <v>4</v>
      </c>
      <c r="AV247">
        <v>2</v>
      </c>
      <c r="AW247">
        <v>4</v>
      </c>
      <c r="AX247">
        <v>2</v>
      </c>
      <c r="AY247">
        <v>1</v>
      </c>
      <c r="AZ247">
        <v>5.5</v>
      </c>
      <c r="BA247">
        <v>2</v>
      </c>
      <c r="BB247">
        <v>5</v>
      </c>
      <c r="BC247">
        <v>6.5</v>
      </c>
      <c r="BD247">
        <v>3</v>
      </c>
      <c r="BE247" s="2" t="s">
        <v>125</v>
      </c>
      <c r="BF247" s="2" t="s">
        <v>122</v>
      </c>
      <c r="BG247" s="2" t="s">
        <v>125</v>
      </c>
      <c r="BH247" s="2" t="s">
        <v>125</v>
      </c>
      <c r="BI247" s="2" t="s">
        <v>125</v>
      </c>
      <c r="BJ247" s="2" t="s">
        <v>125</v>
      </c>
      <c r="BK247" s="2" t="s">
        <v>125</v>
      </c>
      <c r="BL247" s="2" t="s">
        <v>122</v>
      </c>
      <c r="BM247" s="2" t="s">
        <v>122</v>
      </c>
      <c r="BN247">
        <v>4</v>
      </c>
      <c r="BO247" s="2" t="s">
        <v>122</v>
      </c>
      <c r="BP247" s="2" t="s">
        <v>122</v>
      </c>
      <c r="BQ247" s="2" t="s">
        <v>122</v>
      </c>
      <c r="BR247" s="2" t="s">
        <v>122</v>
      </c>
      <c r="BS247" s="2" t="s">
        <v>122</v>
      </c>
      <c r="BT247" s="2" t="s">
        <v>122</v>
      </c>
      <c r="BU247" s="2" t="s">
        <v>122</v>
      </c>
      <c r="BV247" s="2" t="s">
        <v>122</v>
      </c>
      <c r="BW247" s="2" t="s">
        <v>122</v>
      </c>
      <c r="BX247" s="2" t="s">
        <v>122</v>
      </c>
      <c r="BY247" s="2" t="s">
        <v>122</v>
      </c>
      <c r="BZ247" s="2" t="s">
        <v>122</v>
      </c>
      <c r="CA247" s="2" t="s">
        <v>122</v>
      </c>
      <c r="CB247" s="2" t="s">
        <v>122</v>
      </c>
      <c r="CC247" s="2" t="s">
        <v>122</v>
      </c>
      <c r="CD247" s="2" t="s">
        <v>122</v>
      </c>
      <c r="CE247" s="2" t="s">
        <v>122</v>
      </c>
      <c r="CF247">
        <v>1</v>
      </c>
      <c r="CG247" s="2" t="s">
        <v>122</v>
      </c>
      <c r="CH247">
        <v>2.2999999999999998</v>
      </c>
      <c r="CI247" s="2" t="s">
        <v>122</v>
      </c>
      <c r="CJ247" s="2" t="s">
        <v>122</v>
      </c>
      <c r="CK247" s="2" t="s">
        <v>122</v>
      </c>
      <c r="CL247" s="2" t="s">
        <v>122</v>
      </c>
      <c r="CM247" s="2" t="s">
        <v>122</v>
      </c>
      <c r="CN247" s="2" t="s">
        <v>122</v>
      </c>
      <c r="CO247" s="2" t="s">
        <v>125</v>
      </c>
      <c r="CP247" s="2" t="s">
        <v>122</v>
      </c>
      <c r="CQ247" s="2" t="s">
        <v>122</v>
      </c>
      <c r="CR247" s="2" t="s">
        <v>122</v>
      </c>
      <c r="CS247">
        <v>3</v>
      </c>
      <c r="CT247">
        <v>2</v>
      </c>
      <c r="CU247" s="43">
        <v>1</v>
      </c>
      <c r="CV247" cm="1">
        <f t="array" ref="CV247">_xlfn.IFS(CU247*1=2,1,CU247*1=4,1,TRUE,0)</f>
        <v>0</v>
      </c>
      <c r="CW247" cm="1">
        <f t="array" ref="CW247">_xlfn.IFS(CU247*1=1,1,CU247*1=2,1,TRUE,0)</f>
        <v>1</v>
      </c>
      <c r="CX247" s="3">
        <f t="shared" si="27"/>
        <v>5</v>
      </c>
      <c r="CY247" s="3">
        <f t="shared" si="28"/>
        <v>6.5</v>
      </c>
      <c r="CZ247" s="3" cm="1">
        <f t="array" ref="CZ247">_xlfn.IFS(BP247&lt;&gt;"", BP247, CV247=1,  AQ247, CV247=0,  AZ247)</f>
        <v>5.5</v>
      </c>
      <c r="DA247" s="36" cm="1">
        <f t="array" ref="DA247">_xlfn.IFS(BO247&lt;&gt;"", BO247, CV247=0,  AQ247, CV247=1,  AZ247)</f>
        <v>6</v>
      </c>
      <c r="DB247" s="36">
        <f t="shared" si="29"/>
        <v>2.5</v>
      </c>
      <c r="DC247" s="3">
        <f t="shared" si="30"/>
        <v>1</v>
      </c>
      <c r="DD247" s="3">
        <f t="shared" si="31"/>
        <v>1.5</v>
      </c>
      <c r="DE247" s="3">
        <f t="shared" si="32"/>
        <v>2.5</v>
      </c>
      <c r="DF247" s="3">
        <f t="shared" si="33"/>
        <v>2</v>
      </c>
      <c r="DG247" s="3">
        <f t="shared" si="34"/>
        <v>1</v>
      </c>
    </row>
    <row r="248" spans="1:111" x14ac:dyDescent="0.4">
      <c r="A248">
        <v>202511</v>
      </c>
      <c r="B248">
        <v>456</v>
      </c>
      <c r="C248" s="5">
        <v>45969.430497685185</v>
      </c>
      <c r="D248" s="5">
        <v>45969.43409722222</v>
      </c>
      <c r="E248" s="3">
        <v>0</v>
      </c>
      <c r="F248" s="4" t="s">
        <v>351</v>
      </c>
      <c r="G248" s="3">
        <v>100</v>
      </c>
      <c r="H248" s="3">
        <v>311</v>
      </c>
      <c r="I248" s="3">
        <v>1</v>
      </c>
      <c r="J248" s="5">
        <v>45969.434109467591</v>
      </c>
      <c r="K248" s="4" t="s">
        <v>350</v>
      </c>
      <c r="L248" s="4" t="s">
        <v>122</v>
      </c>
      <c r="M248" s="4" t="s">
        <v>122</v>
      </c>
      <c r="N248" s="4" t="s">
        <v>122</v>
      </c>
      <c r="O248" s="4" t="s">
        <v>122</v>
      </c>
      <c r="P248" s="3">
        <v>33.7209</v>
      </c>
      <c r="Q248" s="3">
        <v>-116.21720000000001</v>
      </c>
      <c r="R248" s="4" t="s">
        <v>129</v>
      </c>
      <c r="S248" s="4" t="s">
        <v>124</v>
      </c>
      <c r="T248" s="3">
        <v>4</v>
      </c>
      <c r="U248" s="3">
        <v>1</v>
      </c>
      <c r="V248" s="3">
        <v>2</v>
      </c>
      <c r="W248" s="3">
        <v>2</v>
      </c>
      <c r="X248" s="3">
        <v>1</v>
      </c>
      <c r="Y248" s="3">
        <v>1</v>
      </c>
      <c r="Z248" s="3">
        <v>1</v>
      </c>
      <c r="AA248" s="3">
        <v>1</v>
      </c>
      <c r="AB248" s="4" t="s">
        <v>122</v>
      </c>
      <c r="AC248" s="4" t="s">
        <v>122</v>
      </c>
      <c r="AD248" s="4" t="s">
        <v>122</v>
      </c>
      <c r="AE248" s="4" t="s">
        <v>122</v>
      </c>
      <c r="AF248" s="4" t="s">
        <v>122</v>
      </c>
      <c r="AG248" s="3">
        <v>3</v>
      </c>
      <c r="AH248" s="3">
        <v>4.5</v>
      </c>
      <c r="AI248" s="3">
        <v>2</v>
      </c>
      <c r="AJ248" s="3">
        <v>7</v>
      </c>
      <c r="AK248" s="3">
        <v>7</v>
      </c>
      <c r="AL248" s="3">
        <v>7</v>
      </c>
      <c r="AM248" s="3">
        <v>7</v>
      </c>
      <c r="AN248" s="3">
        <v>7</v>
      </c>
      <c r="AO248" s="3">
        <v>3</v>
      </c>
      <c r="AP248" s="3">
        <v>3</v>
      </c>
      <c r="AQ248" s="4" t="s">
        <v>122</v>
      </c>
      <c r="AR248" s="4" t="s">
        <v>122</v>
      </c>
      <c r="AS248" s="3">
        <v>5</v>
      </c>
      <c r="AT248" s="3">
        <v>4</v>
      </c>
      <c r="AU248" s="3">
        <v>6</v>
      </c>
      <c r="AV248" s="3">
        <v>5</v>
      </c>
      <c r="AW248" s="3">
        <v>6</v>
      </c>
      <c r="AX248" s="3">
        <v>3</v>
      </c>
      <c r="AY248" s="3">
        <v>2</v>
      </c>
      <c r="AZ248" s="4" t="s">
        <v>122</v>
      </c>
      <c r="BA248" s="4" t="s">
        <v>122</v>
      </c>
      <c r="BB248" s="4" t="s">
        <v>122</v>
      </c>
      <c r="BC248" s="4" t="s">
        <v>122</v>
      </c>
      <c r="BD248" s="4" t="s">
        <v>122</v>
      </c>
      <c r="BE248" s="4" t="s">
        <v>122</v>
      </c>
      <c r="BF248" s="4" t="s">
        <v>122</v>
      </c>
      <c r="BG248" s="4" t="s">
        <v>122</v>
      </c>
      <c r="BH248" s="4" t="s">
        <v>122</v>
      </c>
      <c r="BI248" s="4" t="s">
        <v>122</v>
      </c>
      <c r="BJ248" s="4" t="s">
        <v>122</v>
      </c>
      <c r="BK248" s="4" t="s">
        <v>122</v>
      </c>
      <c r="BL248" s="4" t="s">
        <v>122</v>
      </c>
      <c r="BM248" s="4" t="s">
        <v>122</v>
      </c>
      <c r="BN248" s="4" t="s">
        <v>122</v>
      </c>
      <c r="BO248" s="3">
        <v>5</v>
      </c>
      <c r="BP248" s="3">
        <v>4.5</v>
      </c>
      <c r="BQ248" s="3">
        <v>3</v>
      </c>
      <c r="BR248" s="4" t="s">
        <v>125</v>
      </c>
      <c r="BS248" s="4" t="s">
        <v>122</v>
      </c>
      <c r="BT248" s="4" t="s">
        <v>122</v>
      </c>
      <c r="BU248" s="4" t="s">
        <v>122</v>
      </c>
      <c r="BV248" s="4" t="s">
        <v>122</v>
      </c>
      <c r="BW248" s="4" t="s">
        <v>122</v>
      </c>
      <c r="BX248" s="4" t="s">
        <v>122</v>
      </c>
      <c r="BY248" s="4" t="s">
        <v>122</v>
      </c>
      <c r="BZ248" s="4" t="s">
        <v>122</v>
      </c>
      <c r="CA248" s="3">
        <v>1</v>
      </c>
      <c r="CB248" s="3">
        <v>4</v>
      </c>
      <c r="CC248" s="3">
        <v>2</v>
      </c>
      <c r="CD248" s="3">
        <v>5</v>
      </c>
      <c r="CE248" s="3">
        <v>3</v>
      </c>
      <c r="CF248" s="3">
        <v>2</v>
      </c>
      <c r="CG248" s="4" t="s">
        <v>122</v>
      </c>
      <c r="CH248" s="3">
        <v>2.2999999999999998</v>
      </c>
      <c r="CI248" s="4" t="s">
        <v>122</v>
      </c>
      <c r="CJ248" s="4" t="s">
        <v>122</v>
      </c>
      <c r="CK248" s="4" t="s">
        <v>122</v>
      </c>
      <c r="CL248" s="4" t="s">
        <v>122</v>
      </c>
      <c r="CM248" s="4" t="s">
        <v>122</v>
      </c>
      <c r="CN248" s="4" t="s">
        <v>122</v>
      </c>
      <c r="CO248" s="4" t="s">
        <v>125</v>
      </c>
      <c r="CP248" s="4" t="s">
        <v>122</v>
      </c>
      <c r="CQ248" s="4" t="s">
        <v>122</v>
      </c>
      <c r="CR248" s="4" t="s">
        <v>122</v>
      </c>
      <c r="CS248" s="3">
        <v>3</v>
      </c>
      <c r="CT248" s="3">
        <v>1</v>
      </c>
      <c r="CU248" s="42">
        <v>4</v>
      </c>
      <c r="CV248" cm="1">
        <f t="array" ref="CV248">_xlfn.IFS(CU248*1=2,1,CU248*1=4,1,TRUE,0)</f>
        <v>1</v>
      </c>
      <c r="CW248" cm="1">
        <f t="array" ref="CW248">_xlfn.IFS(CU248*1=1,1,CU248*1=2,1,TRUE,0)</f>
        <v>0</v>
      </c>
      <c r="CX248" s="3">
        <f t="shared" si="27"/>
        <v>4</v>
      </c>
      <c r="CY248" s="3">
        <f t="shared" si="28"/>
        <v>5</v>
      </c>
      <c r="CZ248" s="3" cm="1">
        <f t="array" ref="CZ248">_xlfn.IFS(BP248&lt;&gt;"", BP248, CV248=1,  AQ248, CV248=0,  AZ248)</f>
        <v>4.5</v>
      </c>
      <c r="DA248" s="36" cm="1">
        <f t="array" ref="DA248">_xlfn.IFS(BO248&lt;&gt;"", BO248, CV248=0,  AQ248, CV248=1,  AZ248)</f>
        <v>5</v>
      </c>
      <c r="DB248" s="36">
        <f t="shared" si="29"/>
        <v>0.5</v>
      </c>
      <c r="DC248" s="3">
        <f t="shared" si="30"/>
        <v>-0.5</v>
      </c>
      <c r="DD248" s="3">
        <f t="shared" si="31"/>
        <v>0.5</v>
      </c>
      <c r="DE248" s="3">
        <f t="shared" si="32"/>
        <v>0</v>
      </c>
      <c r="DF248" s="3">
        <f t="shared" si="33"/>
        <v>-0.5</v>
      </c>
      <c r="DG248" s="3">
        <f t="shared" si="34"/>
        <v>0.5</v>
      </c>
    </row>
    <row r="249" spans="1:111" x14ac:dyDescent="0.4">
      <c r="A249">
        <v>202511</v>
      </c>
      <c r="B249">
        <v>456</v>
      </c>
      <c r="C249" s="5">
        <v>45969.430868055555</v>
      </c>
      <c r="D249" s="5">
        <v>45969.434328703705</v>
      </c>
      <c r="E249" s="3">
        <v>0</v>
      </c>
      <c r="F249" s="4" t="s">
        <v>349</v>
      </c>
      <c r="G249" s="3">
        <v>100</v>
      </c>
      <c r="H249" s="3">
        <v>298</v>
      </c>
      <c r="I249" s="3">
        <v>1</v>
      </c>
      <c r="J249" s="5">
        <v>45969.434334537036</v>
      </c>
      <c r="K249" s="4" t="s">
        <v>348</v>
      </c>
      <c r="L249" s="4" t="s">
        <v>122</v>
      </c>
      <c r="M249" s="4" t="s">
        <v>122</v>
      </c>
      <c r="N249" s="4" t="s">
        <v>122</v>
      </c>
      <c r="O249" s="4" t="s">
        <v>122</v>
      </c>
      <c r="P249" s="3">
        <v>36.128999999999998</v>
      </c>
      <c r="Q249" s="3">
        <v>-115.2765</v>
      </c>
      <c r="R249" s="4" t="s">
        <v>129</v>
      </c>
      <c r="S249" s="4" t="s">
        <v>124</v>
      </c>
      <c r="T249" s="3">
        <v>4</v>
      </c>
      <c r="U249" s="3">
        <v>1</v>
      </c>
      <c r="V249" s="3">
        <v>4</v>
      </c>
      <c r="W249" s="3">
        <v>2</v>
      </c>
      <c r="X249" s="3">
        <v>2</v>
      </c>
      <c r="Y249" s="3">
        <v>5</v>
      </c>
      <c r="Z249" s="3">
        <v>5</v>
      </c>
      <c r="AA249" s="3">
        <v>5</v>
      </c>
      <c r="AB249" s="4" t="s">
        <v>122</v>
      </c>
      <c r="AC249" s="4" t="s">
        <v>125</v>
      </c>
      <c r="AD249" s="4" t="s">
        <v>122</v>
      </c>
      <c r="AE249" s="4" t="s">
        <v>122</v>
      </c>
      <c r="AF249" s="4" t="s">
        <v>122</v>
      </c>
      <c r="AG249" s="3">
        <v>2</v>
      </c>
      <c r="AH249" s="3">
        <v>8</v>
      </c>
      <c r="AI249" s="3">
        <v>3</v>
      </c>
      <c r="AJ249" s="3">
        <v>9</v>
      </c>
      <c r="AK249" s="3">
        <v>9</v>
      </c>
      <c r="AL249" s="3">
        <v>9</v>
      </c>
      <c r="AM249" s="3">
        <v>9</v>
      </c>
      <c r="AN249" s="3">
        <v>9</v>
      </c>
      <c r="AO249" s="3">
        <v>2</v>
      </c>
      <c r="AP249" s="3">
        <v>3</v>
      </c>
      <c r="AQ249" s="3">
        <v>8</v>
      </c>
      <c r="AR249" s="3">
        <v>3</v>
      </c>
      <c r="AS249" s="3">
        <v>9</v>
      </c>
      <c r="AT249" s="3">
        <v>9</v>
      </c>
      <c r="AU249" s="3">
        <v>9</v>
      </c>
      <c r="AV249" s="3">
        <v>9</v>
      </c>
      <c r="AW249" s="3">
        <v>9</v>
      </c>
      <c r="AX249" s="3">
        <v>3</v>
      </c>
      <c r="AY249" s="3">
        <v>3</v>
      </c>
      <c r="AZ249" s="3">
        <v>8</v>
      </c>
      <c r="BA249" s="3">
        <v>1</v>
      </c>
      <c r="BB249" s="3">
        <v>6</v>
      </c>
      <c r="BC249" s="3">
        <v>6</v>
      </c>
      <c r="BD249" s="3">
        <v>3</v>
      </c>
      <c r="BE249" s="4" t="s">
        <v>125</v>
      </c>
      <c r="BF249" s="4" t="s">
        <v>122</v>
      </c>
      <c r="BG249" s="4" t="s">
        <v>122</v>
      </c>
      <c r="BH249" s="4" t="s">
        <v>122</v>
      </c>
      <c r="BI249" s="4" t="s">
        <v>122</v>
      </c>
      <c r="BJ249" s="4" t="s">
        <v>122</v>
      </c>
      <c r="BK249" s="4" t="s">
        <v>122</v>
      </c>
      <c r="BL249" s="4" t="s">
        <v>122</v>
      </c>
      <c r="BM249" s="4" t="s">
        <v>122</v>
      </c>
      <c r="BN249" s="4" t="s">
        <v>122</v>
      </c>
      <c r="BO249" s="4" t="s">
        <v>122</v>
      </c>
      <c r="BP249" s="4" t="s">
        <v>122</v>
      </c>
      <c r="BQ249" s="4" t="s">
        <v>122</v>
      </c>
      <c r="BR249" s="4" t="s">
        <v>122</v>
      </c>
      <c r="BS249" s="4" t="s">
        <v>122</v>
      </c>
      <c r="BT249" s="4" t="s">
        <v>122</v>
      </c>
      <c r="BU249" s="4" t="s">
        <v>122</v>
      </c>
      <c r="BV249" s="4" t="s">
        <v>122</v>
      </c>
      <c r="BW249" s="4" t="s">
        <v>122</v>
      </c>
      <c r="BX249" s="4" t="s">
        <v>122</v>
      </c>
      <c r="BY249" s="4" t="s">
        <v>122</v>
      </c>
      <c r="BZ249" s="4" t="s">
        <v>122</v>
      </c>
      <c r="CA249" s="4" t="s">
        <v>122</v>
      </c>
      <c r="CB249" s="4" t="s">
        <v>122</v>
      </c>
      <c r="CC249" s="4" t="s">
        <v>122</v>
      </c>
      <c r="CD249" s="4" t="s">
        <v>122</v>
      </c>
      <c r="CE249" s="4" t="s">
        <v>122</v>
      </c>
      <c r="CF249" s="3">
        <v>2</v>
      </c>
      <c r="CG249" s="4" t="s">
        <v>122</v>
      </c>
      <c r="CH249" s="3">
        <v>3</v>
      </c>
      <c r="CI249" s="4" t="s">
        <v>122</v>
      </c>
      <c r="CJ249" s="4" t="s">
        <v>122</v>
      </c>
      <c r="CK249" s="4" t="s">
        <v>122</v>
      </c>
      <c r="CL249" s="4" t="s">
        <v>125</v>
      </c>
      <c r="CM249" s="4" t="s">
        <v>122</v>
      </c>
      <c r="CN249" s="4" t="s">
        <v>122</v>
      </c>
      <c r="CO249" s="4" t="s">
        <v>122</v>
      </c>
      <c r="CP249" s="4" t="s">
        <v>122</v>
      </c>
      <c r="CQ249" s="4" t="s">
        <v>122</v>
      </c>
      <c r="CR249" s="4" t="s">
        <v>122</v>
      </c>
      <c r="CS249" s="3">
        <v>4</v>
      </c>
      <c r="CT249" s="3">
        <v>5</v>
      </c>
      <c r="CU249" s="42">
        <v>2</v>
      </c>
      <c r="CV249" cm="1">
        <f t="array" ref="CV249">_xlfn.IFS(CU249*1=2,1,CU249*1=4,1,TRUE,0)</f>
        <v>1</v>
      </c>
      <c r="CW249" cm="1">
        <f t="array" ref="CW249">_xlfn.IFS(CU249*1=1,1,CU249*1=2,1,TRUE,0)</f>
        <v>1</v>
      </c>
      <c r="CX249" s="3">
        <f t="shared" si="27"/>
        <v>6</v>
      </c>
      <c r="CY249" s="3">
        <f t="shared" si="28"/>
        <v>6</v>
      </c>
      <c r="CZ249" s="3" cm="1">
        <f t="array" ref="CZ249">_xlfn.IFS(BP249&lt;&gt;"", BP249, CV249=1,  AQ249, CV249=0,  AZ249)</f>
        <v>8</v>
      </c>
      <c r="DA249" s="36" cm="1">
        <f t="array" ref="DA249">_xlfn.IFS(BO249&lt;&gt;"", BO249, CV249=0,  AQ249, CV249=1,  AZ249)</f>
        <v>8</v>
      </c>
      <c r="DB249" s="36">
        <f t="shared" si="29"/>
        <v>-2</v>
      </c>
      <c r="DC249" s="3">
        <f t="shared" si="30"/>
        <v>-2</v>
      </c>
      <c r="DD249" s="3">
        <f t="shared" si="31"/>
        <v>0</v>
      </c>
      <c r="DE249" s="3">
        <f t="shared" si="32"/>
        <v>-2</v>
      </c>
      <c r="DF249" s="3">
        <f t="shared" si="33"/>
        <v>0</v>
      </c>
      <c r="DG249" s="3">
        <f t="shared" si="34"/>
        <v>-2</v>
      </c>
    </row>
    <row r="250" spans="1:111" x14ac:dyDescent="0.4">
      <c r="A250">
        <v>202511</v>
      </c>
      <c r="B250">
        <v>456</v>
      </c>
      <c r="C250" s="5">
        <v>45969.430949074071</v>
      </c>
      <c r="D250" s="5">
        <v>45969.435555555552</v>
      </c>
      <c r="E250" s="3">
        <v>0</v>
      </c>
      <c r="F250" s="4" t="s">
        <v>347</v>
      </c>
      <c r="G250" s="3">
        <v>100</v>
      </c>
      <c r="H250" s="3">
        <v>397</v>
      </c>
      <c r="I250" s="3">
        <v>1</v>
      </c>
      <c r="J250" s="5">
        <v>45969.435568020832</v>
      </c>
      <c r="K250" s="4" t="s">
        <v>346</v>
      </c>
      <c r="L250" s="4" t="s">
        <v>122</v>
      </c>
      <c r="M250" s="4" t="s">
        <v>122</v>
      </c>
      <c r="N250" s="4" t="s">
        <v>122</v>
      </c>
      <c r="O250" s="4" t="s">
        <v>122</v>
      </c>
      <c r="P250" s="3">
        <v>32.250300000000003</v>
      </c>
      <c r="Q250" s="3">
        <v>-110.94499999999999</v>
      </c>
      <c r="R250" s="4" t="s">
        <v>129</v>
      </c>
      <c r="S250" s="4" t="s">
        <v>124</v>
      </c>
      <c r="T250" s="3">
        <v>4</v>
      </c>
      <c r="U250" s="3">
        <v>1</v>
      </c>
      <c r="V250" s="3">
        <v>2</v>
      </c>
      <c r="W250" s="3">
        <v>2</v>
      </c>
      <c r="X250" s="3">
        <v>1</v>
      </c>
      <c r="Y250" s="3">
        <v>1</v>
      </c>
      <c r="Z250" s="3">
        <v>1</v>
      </c>
      <c r="AA250" s="3">
        <v>1</v>
      </c>
      <c r="AB250" s="4" t="s">
        <v>122</v>
      </c>
      <c r="AC250" s="4" t="s">
        <v>122</v>
      </c>
      <c r="AD250" s="4" t="s">
        <v>122</v>
      </c>
      <c r="AE250" s="4" t="s">
        <v>122</v>
      </c>
      <c r="AF250" s="4" t="s">
        <v>122</v>
      </c>
      <c r="AG250" s="3">
        <v>2</v>
      </c>
      <c r="AH250" s="3">
        <v>0</v>
      </c>
      <c r="AI250" s="4" t="s">
        <v>122</v>
      </c>
      <c r="AJ250" s="3">
        <v>6</v>
      </c>
      <c r="AK250" s="3">
        <v>7</v>
      </c>
      <c r="AL250" s="3">
        <v>8</v>
      </c>
      <c r="AM250" s="3">
        <v>6</v>
      </c>
      <c r="AN250" s="3">
        <v>8</v>
      </c>
      <c r="AO250" s="3">
        <v>4</v>
      </c>
      <c r="AP250" s="3">
        <v>3</v>
      </c>
      <c r="AQ250" s="4" t="s">
        <v>122</v>
      </c>
      <c r="AR250" s="4" t="s">
        <v>122</v>
      </c>
      <c r="AS250" s="3">
        <v>7</v>
      </c>
      <c r="AT250" s="3">
        <v>7</v>
      </c>
      <c r="AU250" s="3">
        <v>6</v>
      </c>
      <c r="AV250" s="3">
        <v>6</v>
      </c>
      <c r="AW250" s="3">
        <v>6</v>
      </c>
      <c r="AX250" s="3">
        <v>3</v>
      </c>
      <c r="AY250" s="3">
        <v>2</v>
      </c>
      <c r="AZ250" s="4" t="s">
        <v>122</v>
      </c>
      <c r="BA250" s="4" t="s">
        <v>122</v>
      </c>
      <c r="BB250" s="4" t="s">
        <v>122</v>
      </c>
      <c r="BC250" s="4" t="s">
        <v>122</v>
      </c>
      <c r="BD250" s="4" t="s">
        <v>122</v>
      </c>
      <c r="BE250" s="4" t="s">
        <v>122</v>
      </c>
      <c r="BF250" s="4" t="s">
        <v>122</v>
      </c>
      <c r="BG250" s="4" t="s">
        <v>122</v>
      </c>
      <c r="BH250" s="4" t="s">
        <v>122</v>
      </c>
      <c r="BI250" s="4" t="s">
        <v>122</v>
      </c>
      <c r="BJ250" s="4" t="s">
        <v>122</v>
      </c>
      <c r="BK250" s="4" t="s">
        <v>122</v>
      </c>
      <c r="BL250" s="4" t="s">
        <v>122</v>
      </c>
      <c r="BM250" s="4" t="s">
        <v>122</v>
      </c>
      <c r="BN250" s="4" t="s">
        <v>122</v>
      </c>
      <c r="BO250" s="3">
        <v>7.5</v>
      </c>
      <c r="BP250" s="3">
        <v>7</v>
      </c>
      <c r="BQ250" s="3">
        <v>2</v>
      </c>
      <c r="BR250" s="4" t="s">
        <v>125</v>
      </c>
      <c r="BS250" s="4" t="s">
        <v>122</v>
      </c>
      <c r="BT250" s="4" t="s">
        <v>122</v>
      </c>
      <c r="BU250" s="4" t="s">
        <v>122</v>
      </c>
      <c r="BV250" s="4" t="s">
        <v>122</v>
      </c>
      <c r="BW250" s="4" t="s">
        <v>122</v>
      </c>
      <c r="BX250" s="4" t="s">
        <v>122</v>
      </c>
      <c r="BY250" s="4" t="s">
        <v>122</v>
      </c>
      <c r="BZ250" s="4" t="s">
        <v>122</v>
      </c>
      <c r="CA250" s="3">
        <v>1</v>
      </c>
      <c r="CB250" s="3">
        <v>7</v>
      </c>
      <c r="CC250" s="3">
        <v>2</v>
      </c>
      <c r="CD250" s="3">
        <v>7</v>
      </c>
      <c r="CE250" s="3">
        <v>2</v>
      </c>
      <c r="CF250" s="3">
        <v>2</v>
      </c>
      <c r="CG250" s="4" t="s">
        <v>122</v>
      </c>
      <c r="CH250" s="3">
        <v>2.7</v>
      </c>
      <c r="CI250" s="4" t="s">
        <v>122</v>
      </c>
      <c r="CJ250" s="4" t="s">
        <v>122</v>
      </c>
      <c r="CK250" s="4" t="s">
        <v>122</v>
      </c>
      <c r="CL250" s="4" t="s">
        <v>125</v>
      </c>
      <c r="CM250" s="4" t="s">
        <v>122</v>
      </c>
      <c r="CN250" s="4" t="s">
        <v>122</v>
      </c>
      <c r="CO250" s="4" t="s">
        <v>125</v>
      </c>
      <c r="CP250" s="4" t="s">
        <v>122</v>
      </c>
      <c r="CQ250" s="4" t="s">
        <v>122</v>
      </c>
      <c r="CR250" s="4" t="s">
        <v>122</v>
      </c>
      <c r="CS250" s="3">
        <v>5</v>
      </c>
      <c r="CT250" s="3">
        <v>6</v>
      </c>
      <c r="CU250" s="42">
        <v>4</v>
      </c>
      <c r="CV250" cm="1">
        <f t="array" ref="CV250">_xlfn.IFS(CU250*1=2,1,CU250*1=4,1,TRUE,0)</f>
        <v>1</v>
      </c>
      <c r="CW250" cm="1">
        <f t="array" ref="CW250">_xlfn.IFS(CU250*1=1,1,CU250*1=2,1,TRUE,0)</f>
        <v>0</v>
      </c>
      <c r="CX250" s="3">
        <f t="shared" si="27"/>
        <v>7</v>
      </c>
      <c r="CY250" s="3">
        <f t="shared" si="28"/>
        <v>7</v>
      </c>
      <c r="CZ250" s="3" cm="1">
        <f t="array" ref="CZ250">_xlfn.IFS(BP250&lt;&gt;"", BP250, CV250=1,  AQ250, CV250=0,  AZ250)</f>
        <v>7</v>
      </c>
      <c r="DA250" s="36" cm="1">
        <f t="array" ref="DA250">_xlfn.IFS(BO250&lt;&gt;"", BO250, CV250=0,  AQ250, CV250=1,  AZ250)</f>
        <v>7.5</v>
      </c>
      <c r="DB250" s="36">
        <f t="shared" si="29"/>
        <v>7</v>
      </c>
      <c r="DC250" s="3">
        <f t="shared" si="30"/>
        <v>7</v>
      </c>
      <c r="DD250" s="3">
        <f t="shared" si="31"/>
        <v>7</v>
      </c>
      <c r="DE250" s="3">
        <f t="shared" si="32"/>
        <v>7</v>
      </c>
      <c r="DF250" s="3">
        <f t="shared" si="33"/>
        <v>7</v>
      </c>
      <c r="DG250" s="3">
        <f t="shared" si="34"/>
        <v>7.5</v>
      </c>
    </row>
    <row r="251" spans="1:111" x14ac:dyDescent="0.4">
      <c r="A251">
        <v>202511</v>
      </c>
      <c r="B251">
        <v>123</v>
      </c>
      <c r="C251" s="1">
        <v>45969.433206018519</v>
      </c>
      <c r="D251" s="1">
        <v>45969.438900462963</v>
      </c>
      <c r="E251">
        <v>0</v>
      </c>
      <c r="F251" s="2" t="s">
        <v>168</v>
      </c>
      <c r="G251">
        <v>100</v>
      </c>
      <c r="H251">
        <v>491</v>
      </c>
      <c r="I251">
        <v>1</v>
      </c>
      <c r="J251" s="1">
        <v>45969.43891070602</v>
      </c>
      <c r="K251" s="2" t="s">
        <v>169</v>
      </c>
      <c r="L251" s="2" t="s">
        <v>122</v>
      </c>
      <c r="M251" s="2" t="s">
        <v>122</v>
      </c>
      <c r="N251" s="2" t="s">
        <v>122</v>
      </c>
      <c r="O251" s="2" t="s">
        <v>122</v>
      </c>
      <c r="P251">
        <v>33.434199999999997</v>
      </c>
      <c r="Q251">
        <v>-111.8454</v>
      </c>
      <c r="R251" s="2" t="s">
        <v>129</v>
      </c>
      <c r="S251" s="2" t="s">
        <v>124</v>
      </c>
      <c r="T251">
        <v>4</v>
      </c>
      <c r="U251">
        <v>1</v>
      </c>
      <c r="V251">
        <v>2</v>
      </c>
      <c r="W251">
        <v>1</v>
      </c>
      <c r="X251">
        <v>2</v>
      </c>
      <c r="Y251">
        <v>4</v>
      </c>
      <c r="Z251">
        <v>4</v>
      </c>
      <c r="AA251">
        <v>3</v>
      </c>
      <c r="AB251" s="2" t="s">
        <v>122</v>
      </c>
      <c r="AC251" s="2" t="s">
        <v>122</v>
      </c>
      <c r="AD251" s="2" t="s">
        <v>122</v>
      </c>
      <c r="AE251" s="2" t="s">
        <v>122</v>
      </c>
      <c r="AF251" s="2" t="s">
        <v>125</v>
      </c>
      <c r="AG251">
        <v>3</v>
      </c>
      <c r="AH251">
        <v>5</v>
      </c>
      <c r="AI251">
        <v>3</v>
      </c>
      <c r="AJ251">
        <v>8</v>
      </c>
      <c r="AK251">
        <v>5</v>
      </c>
      <c r="AL251">
        <v>5</v>
      </c>
      <c r="AM251">
        <v>8</v>
      </c>
      <c r="AN251">
        <v>8</v>
      </c>
      <c r="AO251">
        <v>1</v>
      </c>
      <c r="AP251">
        <v>2</v>
      </c>
      <c r="AQ251" s="2" t="s">
        <v>122</v>
      </c>
      <c r="AR251" s="2" t="s">
        <v>122</v>
      </c>
      <c r="AS251">
        <v>6</v>
      </c>
      <c r="AT251">
        <v>5</v>
      </c>
      <c r="AU251">
        <v>5</v>
      </c>
      <c r="AV251">
        <v>7</v>
      </c>
      <c r="AW251">
        <v>5</v>
      </c>
      <c r="AX251">
        <v>2</v>
      </c>
      <c r="AY251">
        <v>3</v>
      </c>
      <c r="AZ251" s="2" t="s">
        <v>122</v>
      </c>
      <c r="BA251" s="2" t="s">
        <v>122</v>
      </c>
      <c r="BB251" s="2" t="s">
        <v>122</v>
      </c>
      <c r="BC251" s="2" t="s">
        <v>122</v>
      </c>
      <c r="BD251" s="2" t="s">
        <v>122</v>
      </c>
      <c r="BE251" s="2" t="s">
        <v>122</v>
      </c>
      <c r="BF251" s="2" t="s">
        <v>122</v>
      </c>
      <c r="BG251" s="2" t="s">
        <v>122</v>
      </c>
      <c r="BH251" s="2" t="s">
        <v>122</v>
      </c>
      <c r="BI251" s="2" t="s">
        <v>122</v>
      </c>
      <c r="BJ251" s="2" t="s">
        <v>122</v>
      </c>
      <c r="BK251" s="2" t="s">
        <v>122</v>
      </c>
      <c r="BL251" s="2" t="s">
        <v>122</v>
      </c>
      <c r="BM251" s="2" t="s">
        <v>122</v>
      </c>
      <c r="BN251" s="2" t="s">
        <v>122</v>
      </c>
      <c r="BO251">
        <v>6</v>
      </c>
      <c r="BP251">
        <v>6</v>
      </c>
      <c r="BQ251">
        <v>3</v>
      </c>
      <c r="BR251" s="2" t="s">
        <v>122</v>
      </c>
      <c r="BS251" s="2" t="s">
        <v>125</v>
      </c>
      <c r="BT251" s="2" t="s">
        <v>122</v>
      </c>
      <c r="BU251" s="2" t="s">
        <v>122</v>
      </c>
      <c r="BV251" s="2" t="s">
        <v>125</v>
      </c>
      <c r="BW251" s="2" t="s">
        <v>122</v>
      </c>
      <c r="BX251" s="2" t="s">
        <v>122</v>
      </c>
      <c r="BY251" s="2" t="s">
        <v>125</v>
      </c>
      <c r="BZ251" s="2" t="s">
        <v>122</v>
      </c>
      <c r="CA251">
        <v>4</v>
      </c>
      <c r="CB251">
        <v>5</v>
      </c>
      <c r="CC251">
        <v>3</v>
      </c>
      <c r="CD251">
        <v>6</v>
      </c>
      <c r="CE251">
        <v>3</v>
      </c>
      <c r="CF251">
        <v>1</v>
      </c>
      <c r="CG251" s="2" t="s">
        <v>122</v>
      </c>
      <c r="CH251">
        <v>7</v>
      </c>
      <c r="CI251" s="2" t="s">
        <v>122</v>
      </c>
      <c r="CJ251" s="2" t="s">
        <v>122</v>
      </c>
      <c r="CK251" s="2" t="s">
        <v>122</v>
      </c>
      <c r="CL251" s="2" t="s">
        <v>122</v>
      </c>
      <c r="CM251" s="2" t="s">
        <v>122</v>
      </c>
      <c r="CN251" s="2" t="s">
        <v>122</v>
      </c>
      <c r="CO251" s="2" t="s">
        <v>125</v>
      </c>
      <c r="CP251" s="2" t="s">
        <v>122</v>
      </c>
      <c r="CQ251" s="2" t="s">
        <v>122</v>
      </c>
      <c r="CR251" s="2" t="s">
        <v>122</v>
      </c>
      <c r="CS251">
        <v>3</v>
      </c>
      <c r="CT251">
        <v>2</v>
      </c>
      <c r="CU251" s="43">
        <v>3</v>
      </c>
      <c r="CV251" cm="1">
        <f t="array" ref="CV251">_xlfn.IFS(CU251*1=2,1,CU251*1=4,1,TRUE,0)</f>
        <v>0</v>
      </c>
      <c r="CW251" cm="1">
        <f t="array" ref="CW251">_xlfn.IFS(CU251*1=1,1,CU251*1=2,1,TRUE,0)</f>
        <v>0</v>
      </c>
      <c r="CX251" s="3">
        <f t="shared" si="27"/>
        <v>5</v>
      </c>
      <c r="CY251" s="3">
        <f t="shared" si="28"/>
        <v>6</v>
      </c>
      <c r="CZ251" s="3" cm="1">
        <f t="array" ref="CZ251">_xlfn.IFS(BP251&lt;&gt;"", BP251, CV251=1,  AQ251, CV251=0,  AZ251)</f>
        <v>6</v>
      </c>
      <c r="DA251" s="36" cm="1">
        <f t="array" ref="DA251">_xlfn.IFS(BO251&lt;&gt;"", BO251, CV251=0,  AQ251, CV251=1,  AZ251)</f>
        <v>6</v>
      </c>
      <c r="DB251" s="36">
        <f t="shared" si="29"/>
        <v>1</v>
      </c>
      <c r="DC251" s="3">
        <f t="shared" si="30"/>
        <v>0</v>
      </c>
      <c r="DD251" s="3">
        <f t="shared" si="31"/>
        <v>1</v>
      </c>
      <c r="DE251" s="3">
        <f t="shared" si="32"/>
        <v>1</v>
      </c>
      <c r="DF251" s="3">
        <f t="shared" si="33"/>
        <v>0</v>
      </c>
      <c r="DG251" s="3">
        <f t="shared" si="34"/>
        <v>1</v>
      </c>
    </row>
    <row r="252" spans="1:111" x14ac:dyDescent="0.4">
      <c r="A252">
        <v>202511</v>
      </c>
      <c r="B252">
        <v>456</v>
      </c>
      <c r="C252" s="5">
        <v>45969.434849537036</v>
      </c>
      <c r="D252" s="5">
        <v>45969.438043981485</v>
      </c>
      <c r="E252" s="3">
        <v>0</v>
      </c>
      <c r="F252" s="4" t="s">
        <v>345</v>
      </c>
      <c r="G252" s="3">
        <v>100</v>
      </c>
      <c r="H252" s="3">
        <v>276</v>
      </c>
      <c r="I252" s="3">
        <v>1</v>
      </c>
      <c r="J252" s="5">
        <v>45969.438059131942</v>
      </c>
      <c r="K252" s="4" t="s">
        <v>344</v>
      </c>
      <c r="L252" s="4" t="s">
        <v>122</v>
      </c>
      <c r="M252" s="4" t="s">
        <v>122</v>
      </c>
      <c r="N252" s="4" t="s">
        <v>122</v>
      </c>
      <c r="O252" s="4" t="s">
        <v>122</v>
      </c>
      <c r="P252" s="3">
        <v>33.874400000000001</v>
      </c>
      <c r="Q252" s="3">
        <v>-117.8565</v>
      </c>
      <c r="R252" s="4" t="s">
        <v>129</v>
      </c>
      <c r="S252" s="4" t="s">
        <v>124</v>
      </c>
      <c r="T252" s="3">
        <v>4</v>
      </c>
      <c r="U252" s="3">
        <v>1</v>
      </c>
      <c r="V252" s="3">
        <v>5</v>
      </c>
      <c r="W252" s="3">
        <v>4</v>
      </c>
      <c r="X252" s="3">
        <v>2</v>
      </c>
      <c r="Y252" s="3">
        <v>3</v>
      </c>
      <c r="Z252" s="3">
        <v>3</v>
      </c>
      <c r="AA252" s="3">
        <v>2</v>
      </c>
      <c r="AB252" s="4" t="s">
        <v>122</v>
      </c>
      <c r="AC252" s="4" t="s">
        <v>125</v>
      </c>
      <c r="AD252" s="4" t="s">
        <v>122</v>
      </c>
      <c r="AE252" s="4" t="s">
        <v>122</v>
      </c>
      <c r="AF252" s="4" t="s">
        <v>122</v>
      </c>
      <c r="AG252" s="3">
        <v>2</v>
      </c>
      <c r="AH252" s="3">
        <v>4</v>
      </c>
      <c r="AI252" s="3">
        <v>3</v>
      </c>
      <c r="AJ252" s="3">
        <v>8</v>
      </c>
      <c r="AK252" s="3">
        <v>8</v>
      </c>
      <c r="AL252" s="3">
        <v>8</v>
      </c>
      <c r="AM252" s="3">
        <v>8</v>
      </c>
      <c r="AN252" s="3">
        <v>8</v>
      </c>
      <c r="AO252" s="3">
        <v>3</v>
      </c>
      <c r="AP252" s="3">
        <v>3</v>
      </c>
      <c r="AQ252" s="4" t="s">
        <v>122</v>
      </c>
      <c r="AR252" s="4" t="s">
        <v>122</v>
      </c>
      <c r="AS252" s="3">
        <v>8</v>
      </c>
      <c r="AT252" s="3">
        <v>8</v>
      </c>
      <c r="AU252" s="3">
        <v>8</v>
      </c>
      <c r="AV252" s="3">
        <v>8</v>
      </c>
      <c r="AW252" s="3">
        <v>8</v>
      </c>
      <c r="AX252" s="3">
        <v>3</v>
      </c>
      <c r="AY252" s="3">
        <v>3</v>
      </c>
      <c r="AZ252" s="4" t="s">
        <v>122</v>
      </c>
      <c r="BA252" s="4" t="s">
        <v>122</v>
      </c>
      <c r="BB252" s="4" t="s">
        <v>122</v>
      </c>
      <c r="BC252" s="4" t="s">
        <v>122</v>
      </c>
      <c r="BD252" s="4" t="s">
        <v>122</v>
      </c>
      <c r="BE252" s="4" t="s">
        <v>122</v>
      </c>
      <c r="BF252" s="4" t="s">
        <v>122</v>
      </c>
      <c r="BG252" s="4" t="s">
        <v>122</v>
      </c>
      <c r="BH252" s="4" t="s">
        <v>122</v>
      </c>
      <c r="BI252" s="4" t="s">
        <v>122</v>
      </c>
      <c r="BJ252" s="4" t="s">
        <v>122</v>
      </c>
      <c r="BK252" s="4" t="s">
        <v>122</v>
      </c>
      <c r="BL252" s="4" t="s">
        <v>122</v>
      </c>
      <c r="BM252" s="4" t="s">
        <v>122</v>
      </c>
      <c r="BN252" s="4" t="s">
        <v>122</v>
      </c>
      <c r="BO252" s="3">
        <v>4</v>
      </c>
      <c r="BP252" s="3">
        <v>4</v>
      </c>
      <c r="BQ252" s="3">
        <v>3</v>
      </c>
      <c r="BR252" s="4" t="s">
        <v>122</v>
      </c>
      <c r="BS252" s="4" t="s">
        <v>122</v>
      </c>
      <c r="BT252" s="4" t="s">
        <v>125</v>
      </c>
      <c r="BU252" s="4" t="s">
        <v>122</v>
      </c>
      <c r="BV252" s="4" t="s">
        <v>125</v>
      </c>
      <c r="BW252" s="4" t="s">
        <v>122</v>
      </c>
      <c r="BX252" s="4" t="s">
        <v>122</v>
      </c>
      <c r="BY252" s="4" t="s">
        <v>122</v>
      </c>
      <c r="BZ252" s="4" t="s">
        <v>122</v>
      </c>
      <c r="CA252" s="3">
        <v>4</v>
      </c>
      <c r="CB252" s="3">
        <v>5</v>
      </c>
      <c r="CC252" s="3">
        <v>3</v>
      </c>
      <c r="CD252" s="3">
        <v>4</v>
      </c>
      <c r="CE252" s="3">
        <v>2</v>
      </c>
      <c r="CF252" s="3">
        <v>1</v>
      </c>
      <c r="CG252" s="4" t="s">
        <v>122</v>
      </c>
      <c r="CH252" s="3">
        <v>4</v>
      </c>
      <c r="CI252" s="4" t="s">
        <v>122</v>
      </c>
      <c r="CJ252" s="4" t="s">
        <v>122</v>
      </c>
      <c r="CK252" s="4" t="s">
        <v>122</v>
      </c>
      <c r="CL252" s="4" t="s">
        <v>122</v>
      </c>
      <c r="CM252" s="4" t="s">
        <v>122</v>
      </c>
      <c r="CN252" s="4" t="s">
        <v>122</v>
      </c>
      <c r="CO252" s="4" t="s">
        <v>125</v>
      </c>
      <c r="CP252" s="4" t="s">
        <v>122</v>
      </c>
      <c r="CQ252" s="4" t="s">
        <v>122</v>
      </c>
      <c r="CR252" s="4" t="s">
        <v>122</v>
      </c>
      <c r="CS252" s="3">
        <v>5</v>
      </c>
      <c r="CT252" s="3">
        <v>6</v>
      </c>
      <c r="CU252" s="42">
        <v>4</v>
      </c>
      <c r="CV252" cm="1">
        <f t="array" ref="CV252">_xlfn.IFS(CU252*1=2,1,CU252*1=4,1,TRUE,0)</f>
        <v>1</v>
      </c>
      <c r="CW252" cm="1">
        <f t="array" ref="CW252">_xlfn.IFS(CU252*1=1,1,CU252*1=2,1,TRUE,0)</f>
        <v>0</v>
      </c>
      <c r="CX252" s="3">
        <f t="shared" si="27"/>
        <v>5</v>
      </c>
      <c r="CY252" s="3">
        <f t="shared" si="28"/>
        <v>4</v>
      </c>
      <c r="CZ252" s="3" cm="1">
        <f t="array" ref="CZ252">_xlfn.IFS(BP252&lt;&gt;"", BP252, CV252=1,  AQ252, CV252=0,  AZ252)</f>
        <v>4</v>
      </c>
      <c r="DA252" s="36" cm="1">
        <f t="array" ref="DA252">_xlfn.IFS(BO252&lt;&gt;"", BO252, CV252=0,  AQ252, CV252=1,  AZ252)</f>
        <v>4</v>
      </c>
      <c r="DB252" s="36">
        <f t="shared" si="29"/>
        <v>0</v>
      </c>
      <c r="DC252" s="3">
        <f t="shared" si="30"/>
        <v>1</v>
      </c>
      <c r="DD252" s="3">
        <f t="shared" si="31"/>
        <v>0</v>
      </c>
      <c r="DE252" s="3">
        <f t="shared" si="32"/>
        <v>0</v>
      </c>
      <c r="DF252" s="3">
        <f t="shared" si="33"/>
        <v>1</v>
      </c>
      <c r="DG252" s="3">
        <f t="shared" si="34"/>
        <v>0</v>
      </c>
    </row>
    <row r="253" spans="1:111" x14ac:dyDescent="0.4">
      <c r="A253">
        <v>202511</v>
      </c>
      <c r="B253">
        <v>123</v>
      </c>
      <c r="C253" s="1">
        <v>45969.435243055559</v>
      </c>
      <c r="D253" s="1">
        <v>45969.439386574071</v>
      </c>
      <c r="E253">
        <v>0</v>
      </c>
      <c r="F253" s="2" t="s">
        <v>170</v>
      </c>
      <c r="G253">
        <v>100</v>
      </c>
      <c r="H253">
        <v>357</v>
      </c>
      <c r="I253">
        <v>1</v>
      </c>
      <c r="J253" s="1">
        <v>45969.439393414352</v>
      </c>
      <c r="K253" s="2" t="s">
        <v>171</v>
      </c>
      <c r="L253" s="2" t="s">
        <v>122</v>
      </c>
      <c r="M253" s="2" t="s">
        <v>122</v>
      </c>
      <c r="N253" s="2" t="s">
        <v>122</v>
      </c>
      <c r="O253" s="2" t="s">
        <v>122</v>
      </c>
      <c r="P253">
        <v>36.203800000000001</v>
      </c>
      <c r="Q253">
        <v>-115.2255</v>
      </c>
      <c r="R253" s="2" t="s">
        <v>129</v>
      </c>
      <c r="S253" s="2" t="s">
        <v>124</v>
      </c>
      <c r="T253">
        <v>4</v>
      </c>
      <c r="U253">
        <v>1</v>
      </c>
      <c r="V253">
        <v>4</v>
      </c>
      <c r="W253">
        <v>3</v>
      </c>
      <c r="X253">
        <v>1</v>
      </c>
      <c r="Y253">
        <v>2</v>
      </c>
      <c r="Z253">
        <v>1</v>
      </c>
      <c r="AA253">
        <v>1</v>
      </c>
      <c r="AB253" s="2" t="s">
        <v>122</v>
      </c>
      <c r="AC253" s="2" t="s">
        <v>122</v>
      </c>
      <c r="AD253" s="2" t="s">
        <v>122</v>
      </c>
      <c r="AE253" s="2" t="s">
        <v>122</v>
      </c>
      <c r="AF253" s="2" t="s">
        <v>122</v>
      </c>
      <c r="AG253">
        <v>2</v>
      </c>
      <c r="AH253">
        <v>2</v>
      </c>
      <c r="AI253">
        <v>3</v>
      </c>
      <c r="AJ253">
        <v>3</v>
      </c>
      <c r="AK253">
        <v>6</v>
      </c>
      <c r="AL253">
        <v>5</v>
      </c>
      <c r="AM253">
        <v>4</v>
      </c>
      <c r="AN253">
        <v>5</v>
      </c>
      <c r="AO253">
        <v>2</v>
      </c>
      <c r="AP253">
        <v>4</v>
      </c>
      <c r="AQ253">
        <v>2</v>
      </c>
      <c r="AR253">
        <v>2</v>
      </c>
      <c r="AS253">
        <v>4</v>
      </c>
      <c r="AT253">
        <v>6</v>
      </c>
      <c r="AU253">
        <v>6</v>
      </c>
      <c r="AV253">
        <v>4</v>
      </c>
      <c r="AW253">
        <v>5</v>
      </c>
      <c r="AX253">
        <v>2</v>
      </c>
      <c r="AY253">
        <v>4</v>
      </c>
      <c r="AZ253">
        <v>2</v>
      </c>
      <c r="BA253">
        <v>2</v>
      </c>
      <c r="BB253">
        <v>2</v>
      </c>
      <c r="BC253">
        <v>2</v>
      </c>
      <c r="BD253">
        <v>2</v>
      </c>
      <c r="BE253" s="2" t="s">
        <v>122</v>
      </c>
      <c r="BF253" s="2" t="s">
        <v>122</v>
      </c>
      <c r="BG253" s="2" t="s">
        <v>122</v>
      </c>
      <c r="BH253" s="2" t="s">
        <v>122</v>
      </c>
      <c r="BI253" s="2" t="s">
        <v>122</v>
      </c>
      <c r="BJ253" s="2" t="s">
        <v>122</v>
      </c>
      <c r="BK253" s="2" t="s">
        <v>122</v>
      </c>
      <c r="BL253" s="2" t="s">
        <v>122</v>
      </c>
      <c r="BM253" s="2" t="s">
        <v>125</v>
      </c>
      <c r="BN253" s="2" t="s">
        <v>122</v>
      </c>
      <c r="BO253" s="2" t="s">
        <v>122</v>
      </c>
      <c r="BP253" s="2" t="s">
        <v>122</v>
      </c>
      <c r="BQ253" s="2" t="s">
        <v>122</v>
      </c>
      <c r="BR253" s="2" t="s">
        <v>122</v>
      </c>
      <c r="BS253" s="2" t="s">
        <v>122</v>
      </c>
      <c r="BT253" s="2" t="s">
        <v>122</v>
      </c>
      <c r="BU253" s="2" t="s">
        <v>122</v>
      </c>
      <c r="BV253" s="2" t="s">
        <v>122</v>
      </c>
      <c r="BW253" s="2" t="s">
        <v>122</v>
      </c>
      <c r="BX253" s="2" t="s">
        <v>122</v>
      </c>
      <c r="BY253" s="2" t="s">
        <v>122</v>
      </c>
      <c r="BZ253" s="2" t="s">
        <v>122</v>
      </c>
      <c r="CA253" s="2" t="s">
        <v>122</v>
      </c>
      <c r="CB253" s="2" t="s">
        <v>122</v>
      </c>
      <c r="CC253" s="2" t="s">
        <v>122</v>
      </c>
      <c r="CD253" s="2" t="s">
        <v>122</v>
      </c>
      <c r="CE253" s="2" t="s">
        <v>122</v>
      </c>
      <c r="CF253">
        <v>1</v>
      </c>
      <c r="CG253" s="2" t="s">
        <v>122</v>
      </c>
      <c r="CH253">
        <v>6</v>
      </c>
      <c r="CI253" s="2" t="s">
        <v>122</v>
      </c>
      <c r="CJ253" s="2" t="s">
        <v>122</v>
      </c>
      <c r="CK253" s="2" t="s">
        <v>122</v>
      </c>
      <c r="CL253" s="2" t="s">
        <v>122</v>
      </c>
      <c r="CM253" s="2" t="s">
        <v>122</v>
      </c>
      <c r="CN253" s="2" t="s">
        <v>122</v>
      </c>
      <c r="CO253" s="2" t="s">
        <v>125</v>
      </c>
      <c r="CP253" s="2" t="s">
        <v>122</v>
      </c>
      <c r="CQ253" s="2" t="s">
        <v>122</v>
      </c>
      <c r="CR253" s="2" t="s">
        <v>122</v>
      </c>
      <c r="CS253">
        <v>4</v>
      </c>
      <c r="CT253">
        <v>5</v>
      </c>
      <c r="CU253" s="43">
        <v>1</v>
      </c>
      <c r="CV253" cm="1">
        <f t="array" ref="CV253">_xlfn.IFS(CU253*1=2,1,CU253*1=4,1,TRUE,0)</f>
        <v>0</v>
      </c>
      <c r="CW253" cm="1">
        <f t="array" ref="CW253">_xlfn.IFS(CU253*1=1,1,CU253*1=2,1,TRUE,0)</f>
        <v>1</v>
      </c>
      <c r="CX253" s="3">
        <f t="shared" si="27"/>
        <v>2</v>
      </c>
      <c r="CY253" s="3">
        <f t="shared" si="28"/>
        <v>2</v>
      </c>
      <c r="CZ253" s="3" cm="1">
        <f t="array" ref="CZ253">_xlfn.IFS(BP253&lt;&gt;"", BP253, CV253=1,  AQ253, CV253=0,  AZ253)</f>
        <v>2</v>
      </c>
      <c r="DA253" s="36" cm="1">
        <f t="array" ref="DA253">_xlfn.IFS(BO253&lt;&gt;"", BO253, CV253=0,  AQ253, CV253=1,  AZ253)</f>
        <v>2</v>
      </c>
      <c r="DB253" s="36">
        <f t="shared" si="29"/>
        <v>0</v>
      </c>
      <c r="DC253" s="3">
        <f t="shared" si="30"/>
        <v>0</v>
      </c>
      <c r="DD253" s="3">
        <f t="shared" si="31"/>
        <v>0</v>
      </c>
      <c r="DE253" s="3">
        <f t="shared" si="32"/>
        <v>0</v>
      </c>
      <c r="DF253" s="3">
        <f t="shared" si="33"/>
        <v>0</v>
      </c>
      <c r="DG253" s="3">
        <f t="shared" si="34"/>
        <v>0</v>
      </c>
    </row>
    <row r="254" spans="1:111" x14ac:dyDescent="0.4">
      <c r="A254">
        <v>202511</v>
      </c>
      <c r="B254">
        <v>456</v>
      </c>
      <c r="C254" s="5">
        <v>45969.436226851853</v>
      </c>
      <c r="D254" s="5">
        <v>45969.440312500003</v>
      </c>
      <c r="E254" s="3">
        <v>0</v>
      </c>
      <c r="F254" s="4" t="s">
        <v>290</v>
      </c>
      <c r="G254" s="3">
        <v>100</v>
      </c>
      <c r="H254" s="3">
        <v>353</v>
      </c>
      <c r="I254" s="3">
        <v>1</v>
      </c>
      <c r="J254" s="5">
        <v>45969.440329432873</v>
      </c>
      <c r="K254" s="4" t="s">
        <v>343</v>
      </c>
      <c r="L254" s="4" t="s">
        <v>122</v>
      </c>
      <c r="M254" s="4" t="s">
        <v>122</v>
      </c>
      <c r="N254" s="4" t="s">
        <v>122</v>
      </c>
      <c r="O254" s="4" t="s">
        <v>122</v>
      </c>
      <c r="P254" s="3">
        <v>32.250300000000003</v>
      </c>
      <c r="Q254" s="3">
        <v>-110.94499999999999</v>
      </c>
      <c r="R254" s="4" t="s">
        <v>129</v>
      </c>
      <c r="S254" s="4" t="s">
        <v>124</v>
      </c>
      <c r="T254" s="3">
        <v>4</v>
      </c>
      <c r="U254" s="3">
        <v>0</v>
      </c>
      <c r="V254" s="3">
        <v>1</v>
      </c>
      <c r="W254" s="3">
        <v>1</v>
      </c>
      <c r="X254" s="3">
        <v>1</v>
      </c>
      <c r="Y254" s="3">
        <v>1</v>
      </c>
      <c r="Z254" s="3">
        <v>1</v>
      </c>
      <c r="AA254" s="3">
        <v>1</v>
      </c>
      <c r="AB254" s="4" t="s">
        <v>122</v>
      </c>
      <c r="AC254" s="4" t="s">
        <v>122</v>
      </c>
      <c r="AD254" s="4" t="s">
        <v>122</v>
      </c>
      <c r="AE254" s="4" t="s">
        <v>122</v>
      </c>
      <c r="AF254" s="4" t="s">
        <v>122</v>
      </c>
      <c r="AG254" s="3">
        <v>5</v>
      </c>
      <c r="AH254" s="3">
        <v>5</v>
      </c>
      <c r="AI254" s="3">
        <v>3</v>
      </c>
      <c r="AJ254" s="3">
        <v>6</v>
      </c>
      <c r="AK254" s="3">
        <v>6</v>
      </c>
      <c r="AL254" s="3">
        <v>8</v>
      </c>
      <c r="AM254" s="3">
        <v>7</v>
      </c>
      <c r="AN254" s="3">
        <v>8</v>
      </c>
      <c r="AO254" s="3">
        <v>2</v>
      </c>
      <c r="AP254" s="3">
        <v>3</v>
      </c>
      <c r="AQ254" s="3">
        <v>5</v>
      </c>
      <c r="AR254" s="3">
        <v>3</v>
      </c>
      <c r="AS254" s="3">
        <v>7</v>
      </c>
      <c r="AT254" s="3">
        <v>8</v>
      </c>
      <c r="AU254" s="3">
        <v>8</v>
      </c>
      <c r="AV254" s="3">
        <v>8</v>
      </c>
      <c r="AW254" s="3">
        <v>8</v>
      </c>
      <c r="AX254" s="3">
        <v>3</v>
      </c>
      <c r="AY254" s="3">
        <v>2</v>
      </c>
      <c r="AZ254" s="3">
        <v>5</v>
      </c>
      <c r="BA254" s="3">
        <v>3</v>
      </c>
      <c r="BB254" s="3">
        <v>5</v>
      </c>
      <c r="BC254" s="3">
        <v>5</v>
      </c>
      <c r="BD254" s="3">
        <v>2</v>
      </c>
      <c r="BE254" s="4" t="s">
        <v>125</v>
      </c>
      <c r="BF254" s="4" t="s">
        <v>122</v>
      </c>
      <c r="BG254" s="4" t="s">
        <v>122</v>
      </c>
      <c r="BH254" s="4" t="s">
        <v>122</v>
      </c>
      <c r="BI254" s="4" t="s">
        <v>125</v>
      </c>
      <c r="BJ254" s="4" t="s">
        <v>125</v>
      </c>
      <c r="BK254" s="4" t="s">
        <v>122</v>
      </c>
      <c r="BL254" s="4" t="s">
        <v>122</v>
      </c>
      <c r="BM254" s="4" t="s">
        <v>122</v>
      </c>
      <c r="BN254" s="3">
        <v>1</v>
      </c>
      <c r="BO254" s="4" t="s">
        <v>122</v>
      </c>
      <c r="BP254" s="4" t="s">
        <v>122</v>
      </c>
      <c r="BQ254" s="4" t="s">
        <v>122</v>
      </c>
      <c r="BR254" s="4" t="s">
        <v>122</v>
      </c>
      <c r="BS254" s="4" t="s">
        <v>122</v>
      </c>
      <c r="BT254" s="4" t="s">
        <v>122</v>
      </c>
      <c r="BU254" s="4" t="s">
        <v>122</v>
      </c>
      <c r="BV254" s="4" t="s">
        <v>122</v>
      </c>
      <c r="BW254" s="4" t="s">
        <v>122</v>
      </c>
      <c r="BX254" s="4" t="s">
        <v>122</v>
      </c>
      <c r="BY254" s="4" t="s">
        <v>122</v>
      </c>
      <c r="BZ254" s="4" t="s">
        <v>122</v>
      </c>
      <c r="CA254" s="4" t="s">
        <v>122</v>
      </c>
      <c r="CB254" s="4" t="s">
        <v>122</v>
      </c>
      <c r="CC254" s="4" t="s">
        <v>122</v>
      </c>
      <c r="CD254" s="4" t="s">
        <v>122</v>
      </c>
      <c r="CE254" s="4" t="s">
        <v>122</v>
      </c>
      <c r="CF254" s="3">
        <v>1</v>
      </c>
      <c r="CG254" s="4" t="s">
        <v>122</v>
      </c>
      <c r="CH254" s="3">
        <v>1</v>
      </c>
      <c r="CI254" s="4" t="s">
        <v>122</v>
      </c>
      <c r="CJ254" s="4" t="s">
        <v>122</v>
      </c>
      <c r="CK254" s="4" t="s">
        <v>122</v>
      </c>
      <c r="CL254" s="4" t="s">
        <v>125</v>
      </c>
      <c r="CM254" s="4" t="s">
        <v>122</v>
      </c>
      <c r="CN254" s="4" t="s">
        <v>122</v>
      </c>
      <c r="CO254" s="4" t="s">
        <v>125</v>
      </c>
      <c r="CP254" s="4" t="s">
        <v>122</v>
      </c>
      <c r="CQ254" s="4" t="s">
        <v>122</v>
      </c>
      <c r="CR254" s="4" t="s">
        <v>122</v>
      </c>
      <c r="CS254" s="3">
        <v>3</v>
      </c>
      <c r="CT254" s="3">
        <v>6</v>
      </c>
      <c r="CU254" s="42">
        <v>2</v>
      </c>
      <c r="CV254" cm="1">
        <f t="array" ref="CV254">_xlfn.IFS(CU254*1=2,1,CU254*1=4,1,TRUE,0)</f>
        <v>1</v>
      </c>
      <c r="CW254" cm="1">
        <f t="array" ref="CW254">_xlfn.IFS(CU254*1=1,1,CU254*1=2,1,TRUE,0)</f>
        <v>1</v>
      </c>
      <c r="CX254" s="3">
        <f t="shared" si="27"/>
        <v>5</v>
      </c>
      <c r="CY254" s="3">
        <f t="shared" si="28"/>
        <v>5</v>
      </c>
      <c r="CZ254" s="3" cm="1">
        <f t="array" ref="CZ254">_xlfn.IFS(BP254&lt;&gt;"", BP254, CV254=1,  AQ254, CV254=0,  AZ254)</f>
        <v>5</v>
      </c>
      <c r="DA254" s="36" cm="1">
        <f t="array" ref="DA254">_xlfn.IFS(BO254&lt;&gt;"", BO254, CV254=0,  AQ254, CV254=1,  AZ254)</f>
        <v>5</v>
      </c>
      <c r="DB254" s="36">
        <f t="shared" si="29"/>
        <v>0</v>
      </c>
      <c r="DC254" s="3">
        <f t="shared" si="30"/>
        <v>0</v>
      </c>
      <c r="DD254" s="3">
        <f t="shared" si="31"/>
        <v>0</v>
      </c>
      <c r="DE254" s="3">
        <f t="shared" si="32"/>
        <v>0</v>
      </c>
      <c r="DF254" s="3">
        <f t="shared" si="33"/>
        <v>0</v>
      </c>
      <c r="DG254" s="3">
        <f t="shared" si="34"/>
        <v>0</v>
      </c>
    </row>
    <row r="255" spans="1:111" x14ac:dyDescent="0.4">
      <c r="A255">
        <v>202511</v>
      </c>
      <c r="B255">
        <v>123</v>
      </c>
      <c r="C255" s="1">
        <v>45969.436469907407</v>
      </c>
      <c r="D255" s="1">
        <v>45969.439756944441</v>
      </c>
      <c r="E255">
        <v>0</v>
      </c>
      <c r="F255" s="2" t="s">
        <v>172</v>
      </c>
      <c r="G255">
        <v>100</v>
      </c>
      <c r="H255">
        <v>283</v>
      </c>
      <c r="I255">
        <v>1</v>
      </c>
      <c r="J255" s="1">
        <v>45969.439762708331</v>
      </c>
      <c r="K255" s="2" t="s">
        <v>173</v>
      </c>
      <c r="L255" s="2" t="s">
        <v>122</v>
      </c>
      <c r="M255" s="2" t="s">
        <v>122</v>
      </c>
      <c r="N255" s="2" t="s">
        <v>122</v>
      </c>
      <c r="O255" s="2" t="s">
        <v>122</v>
      </c>
      <c r="P255">
        <v>32.250300000000003</v>
      </c>
      <c r="Q255">
        <v>-110.94499999999999</v>
      </c>
      <c r="R255" s="2" t="s">
        <v>129</v>
      </c>
      <c r="S255" s="2" t="s">
        <v>124</v>
      </c>
      <c r="T255">
        <v>4</v>
      </c>
      <c r="U255">
        <v>1</v>
      </c>
      <c r="V255">
        <v>3</v>
      </c>
      <c r="W255">
        <v>3</v>
      </c>
      <c r="X255">
        <v>1</v>
      </c>
      <c r="Y255">
        <v>1</v>
      </c>
      <c r="Z255">
        <v>1</v>
      </c>
      <c r="AA255">
        <v>1</v>
      </c>
      <c r="AB255" s="2" t="s">
        <v>122</v>
      </c>
      <c r="AC255" s="2" t="s">
        <v>122</v>
      </c>
      <c r="AD255" s="2" t="s">
        <v>122</v>
      </c>
      <c r="AE255" s="2" t="s">
        <v>122</v>
      </c>
      <c r="AF255" s="2" t="s">
        <v>122</v>
      </c>
      <c r="AG255">
        <v>3</v>
      </c>
      <c r="AH255">
        <v>6</v>
      </c>
      <c r="AI255">
        <v>2</v>
      </c>
      <c r="AJ255">
        <v>3</v>
      </c>
      <c r="AK255">
        <v>6</v>
      </c>
      <c r="AL255">
        <v>6</v>
      </c>
      <c r="AM255">
        <v>4</v>
      </c>
      <c r="AN255">
        <v>6</v>
      </c>
      <c r="AO255">
        <v>2</v>
      </c>
      <c r="AP255">
        <v>3</v>
      </c>
      <c r="AQ255">
        <v>6</v>
      </c>
      <c r="AR255">
        <v>3</v>
      </c>
      <c r="AS255">
        <v>6</v>
      </c>
      <c r="AT255">
        <v>6</v>
      </c>
      <c r="AU255">
        <v>7</v>
      </c>
      <c r="AV255">
        <v>3</v>
      </c>
      <c r="AW255">
        <v>4</v>
      </c>
      <c r="AX255">
        <v>4</v>
      </c>
      <c r="AY255">
        <v>2</v>
      </c>
      <c r="AZ255">
        <v>5</v>
      </c>
      <c r="BA255">
        <v>1</v>
      </c>
      <c r="BB255">
        <v>6</v>
      </c>
      <c r="BC255">
        <v>6</v>
      </c>
      <c r="BD255">
        <v>3</v>
      </c>
      <c r="BE255" s="2" t="s">
        <v>125</v>
      </c>
      <c r="BF255" s="2" t="s">
        <v>122</v>
      </c>
      <c r="BG255" s="2" t="s">
        <v>125</v>
      </c>
      <c r="BH255" s="2" t="s">
        <v>122</v>
      </c>
      <c r="BI255" s="2" t="s">
        <v>122</v>
      </c>
      <c r="BJ255" s="2" t="s">
        <v>125</v>
      </c>
      <c r="BK255" s="2" t="s">
        <v>122</v>
      </c>
      <c r="BL255" s="2" t="s">
        <v>122</v>
      </c>
      <c r="BM255" s="2" t="s">
        <v>122</v>
      </c>
      <c r="BN255">
        <v>1</v>
      </c>
      <c r="BO255" s="2" t="s">
        <v>122</v>
      </c>
      <c r="BP255" s="2" t="s">
        <v>122</v>
      </c>
      <c r="BQ255" s="2" t="s">
        <v>122</v>
      </c>
      <c r="BR255" s="2" t="s">
        <v>122</v>
      </c>
      <c r="BS255" s="2" t="s">
        <v>122</v>
      </c>
      <c r="BT255" s="2" t="s">
        <v>122</v>
      </c>
      <c r="BU255" s="2" t="s">
        <v>122</v>
      </c>
      <c r="BV255" s="2" t="s">
        <v>122</v>
      </c>
      <c r="BW255" s="2" t="s">
        <v>122</v>
      </c>
      <c r="BX255" s="2" t="s">
        <v>122</v>
      </c>
      <c r="BY255" s="2" t="s">
        <v>122</v>
      </c>
      <c r="BZ255" s="2" t="s">
        <v>122</v>
      </c>
      <c r="CA255" s="2" t="s">
        <v>122</v>
      </c>
      <c r="CB255" s="2" t="s">
        <v>122</v>
      </c>
      <c r="CC255" s="2" t="s">
        <v>122</v>
      </c>
      <c r="CD255" s="2" t="s">
        <v>122</v>
      </c>
      <c r="CE255" s="2" t="s">
        <v>122</v>
      </c>
      <c r="CF255">
        <v>1</v>
      </c>
      <c r="CG255" s="2" t="s">
        <v>122</v>
      </c>
      <c r="CH255">
        <v>2.2999999999999998</v>
      </c>
      <c r="CI255" s="2" t="s">
        <v>122</v>
      </c>
      <c r="CJ255" s="2" t="s">
        <v>122</v>
      </c>
      <c r="CK255" s="2" t="s">
        <v>122</v>
      </c>
      <c r="CL255" s="2" t="s">
        <v>122</v>
      </c>
      <c r="CM255" s="2" t="s">
        <v>122</v>
      </c>
      <c r="CN255" s="2" t="s">
        <v>122</v>
      </c>
      <c r="CO255" s="2" t="s">
        <v>125</v>
      </c>
      <c r="CP255" s="2" t="s">
        <v>122</v>
      </c>
      <c r="CQ255" s="2" t="s">
        <v>122</v>
      </c>
      <c r="CR255" s="2" t="s">
        <v>122</v>
      </c>
      <c r="CS255">
        <v>3</v>
      </c>
      <c r="CT255">
        <v>1</v>
      </c>
      <c r="CU255" s="43">
        <v>1</v>
      </c>
      <c r="CV255" cm="1">
        <f t="array" ref="CV255">_xlfn.IFS(CU255*1=2,1,CU255*1=4,1,TRUE,0)</f>
        <v>0</v>
      </c>
      <c r="CW255" cm="1">
        <f t="array" ref="CW255">_xlfn.IFS(CU255*1=1,1,CU255*1=2,1,TRUE,0)</f>
        <v>1</v>
      </c>
      <c r="CX255" s="3">
        <f t="shared" si="27"/>
        <v>6</v>
      </c>
      <c r="CY255" s="3">
        <f t="shared" si="28"/>
        <v>6</v>
      </c>
      <c r="CZ255" s="3" cm="1">
        <f t="array" ref="CZ255">_xlfn.IFS(BP255&lt;&gt;"", BP255, CV255=1,  AQ255, CV255=0,  AZ255)</f>
        <v>5</v>
      </c>
      <c r="DA255" s="36" cm="1">
        <f t="array" ref="DA255">_xlfn.IFS(BO255&lt;&gt;"", BO255, CV255=0,  AQ255, CV255=1,  AZ255)</f>
        <v>6</v>
      </c>
      <c r="DB255" s="36">
        <f t="shared" si="29"/>
        <v>0</v>
      </c>
      <c r="DC255" s="3">
        <f t="shared" si="30"/>
        <v>0</v>
      </c>
      <c r="DD255" s="3">
        <f t="shared" si="31"/>
        <v>-1</v>
      </c>
      <c r="DE255" s="3">
        <f t="shared" si="32"/>
        <v>0</v>
      </c>
      <c r="DF255" s="3">
        <f t="shared" si="33"/>
        <v>0</v>
      </c>
      <c r="DG255" s="3">
        <f t="shared" si="34"/>
        <v>0</v>
      </c>
    </row>
    <row r="256" spans="1:111" x14ac:dyDescent="0.4">
      <c r="A256">
        <v>202511</v>
      </c>
      <c r="B256">
        <v>456</v>
      </c>
      <c r="C256" s="5">
        <v>45969.436666666668</v>
      </c>
      <c r="D256" s="5">
        <v>45969.440358796295</v>
      </c>
      <c r="E256" s="3">
        <v>0</v>
      </c>
      <c r="F256" s="4" t="s">
        <v>288</v>
      </c>
      <c r="G256" s="3">
        <v>100</v>
      </c>
      <c r="H256" s="3">
        <v>318</v>
      </c>
      <c r="I256" s="3">
        <v>1</v>
      </c>
      <c r="J256" s="5">
        <v>45969.440364131944</v>
      </c>
      <c r="K256" s="4" t="s">
        <v>342</v>
      </c>
      <c r="L256" s="4" t="s">
        <v>122</v>
      </c>
      <c r="M256" s="4" t="s">
        <v>122</v>
      </c>
      <c r="N256" s="4" t="s">
        <v>122</v>
      </c>
      <c r="O256" s="4" t="s">
        <v>122</v>
      </c>
      <c r="P256" s="3">
        <v>33.508000000000003</v>
      </c>
      <c r="Q256" s="3">
        <v>-112.09950000000001</v>
      </c>
      <c r="R256" s="4" t="s">
        <v>129</v>
      </c>
      <c r="S256" s="4" t="s">
        <v>124</v>
      </c>
      <c r="T256" s="3">
        <v>4</v>
      </c>
      <c r="U256" s="3">
        <v>0</v>
      </c>
      <c r="V256" s="3">
        <v>1</v>
      </c>
      <c r="W256" s="3">
        <v>1</v>
      </c>
      <c r="X256" s="3">
        <v>1</v>
      </c>
      <c r="Y256" s="3">
        <v>3</v>
      </c>
      <c r="Z256" s="3">
        <v>3</v>
      </c>
      <c r="AA256" s="3">
        <v>1</v>
      </c>
      <c r="AB256" s="4" t="s">
        <v>122</v>
      </c>
      <c r="AC256" s="4" t="s">
        <v>122</v>
      </c>
      <c r="AD256" s="4" t="s">
        <v>122</v>
      </c>
      <c r="AE256" s="4" t="s">
        <v>122</v>
      </c>
      <c r="AF256" s="4" t="s">
        <v>122</v>
      </c>
      <c r="AG256" s="3">
        <v>3</v>
      </c>
      <c r="AH256" s="3">
        <v>4.5</v>
      </c>
      <c r="AI256" s="3">
        <v>2</v>
      </c>
      <c r="AJ256" s="3">
        <v>6</v>
      </c>
      <c r="AK256" s="3">
        <v>8</v>
      </c>
      <c r="AL256" s="3">
        <v>8</v>
      </c>
      <c r="AM256" s="3">
        <v>8</v>
      </c>
      <c r="AN256" s="3">
        <v>7</v>
      </c>
      <c r="AO256" s="3">
        <v>3</v>
      </c>
      <c r="AP256" s="3">
        <v>3</v>
      </c>
      <c r="AQ256" s="3">
        <v>4.5</v>
      </c>
      <c r="AR256" s="3">
        <v>3</v>
      </c>
      <c r="AS256" s="3">
        <v>7</v>
      </c>
      <c r="AT256" s="3">
        <v>8</v>
      </c>
      <c r="AU256" s="3">
        <v>8</v>
      </c>
      <c r="AV256" s="3">
        <v>8</v>
      </c>
      <c r="AW256" s="3">
        <v>7</v>
      </c>
      <c r="AX256" s="3">
        <v>2</v>
      </c>
      <c r="AY256" s="3">
        <v>3</v>
      </c>
      <c r="AZ256" s="3">
        <v>4.5</v>
      </c>
      <c r="BA256" s="3">
        <v>3</v>
      </c>
      <c r="BB256" s="3">
        <v>0</v>
      </c>
      <c r="BC256" s="3">
        <v>0</v>
      </c>
      <c r="BD256" s="3">
        <v>2</v>
      </c>
      <c r="BE256" s="4" t="s">
        <v>125</v>
      </c>
      <c r="BF256" s="4" t="s">
        <v>122</v>
      </c>
      <c r="BG256" s="4" t="s">
        <v>122</v>
      </c>
      <c r="BH256" s="4" t="s">
        <v>122</v>
      </c>
      <c r="BI256" s="4" t="s">
        <v>122</v>
      </c>
      <c r="BJ256" s="4" t="s">
        <v>122</v>
      </c>
      <c r="BK256" s="4" t="s">
        <v>122</v>
      </c>
      <c r="BL256" s="4" t="s">
        <v>122</v>
      </c>
      <c r="BM256" s="4" t="s">
        <v>122</v>
      </c>
      <c r="BN256" s="4" t="s">
        <v>122</v>
      </c>
      <c r="BO256" s="4" t="s">
        <v>122</v>
      </c>
      <c r="BP256" s="4" t="s">
        <v>122</v>
      </c>
      <c r="BQ256" s="4" t="s">
        <v>122</v>
      </c>
      <c r="BR256" s="4" t="s">
        <v>122</v>
      </c>
      <c r="BS256" s="4" t="s">
        <v>122</v>
      </c>
      <c r="BT256" s="4" t="s">
        <v>122</v>
      </c>
      <c r="BU256" s="4" t="s">
        <v>122</v>
      </c>
      <c r="BV256" s="4" t="s">
        <v>122</v>
      </c>
      <c r="BW256" s="4" t="s">
        <v>122</v>
      </c>
      <c r="BX256" s="4" t="s">
        <v>122</v>
      </c>
      <c r="BY256" s="4" t="s">
        <v>122</v>
      </c>
      <c r="BZ256" s="4" t="s">
        <v>122</v>
      </c>
      <c r="CA256" s="4" t="s">
        <v>122</v>
      </c>
      <c r="CB256" s="4" t="s">
        <v>122</v>
      </c>
      <c r="CC256" s="4" t="s">
        <v>122</v>
      </c>
      <c r="CD256" s="4" t="s">
        <v>122</v>
      </c>
      <c r="CE256" s="4" t="s">
        <v>122</v>
      </c>
      <c r="CF256" s="3">
        <v>2</v>
      </c>
      <c r="CG256" s="4" t="s">
        <v>122</v>
      </c>
      <c r="CH256" s="3">
        <v>1</v>
      </c>
      <c r="CI256" s="4" t="s">
        <v>122</v>
      </c>
      <c r="CJ256" s="4" t="s">
        <v>122</v>
      </c>
      <c r="CK256" s="4" t="s">
        <v>125</v>
      </c>
      <c r="CL256" s="4" t="s">
        <v>122</v>
      </c>
      <c r="CM256" s="4" t="s">
        <v>122</v>
      </c>
      <c r="CN256" s="4" t="s">
        <v>122</v>
      </c>
      <c r="CO256" s="4" t="s">
        <v>122</v>
      </c>
      <c r="CP256" s="4" t="s">
        <v>122</v>
      </c>
      <c r="CQ256" s="4" t="s">
        <v>122</v>
      </c>
      <c r="CR256" s="4" t="s">
        <v>122</v>
      </c>
      <c r="CS256" s="3">
        <v>2</v>
      </c>
      <c r="CT256" s="3">
        <v>4</v>
      </c>
      <c r="CU256" s="42">
        <v>2</v>
      </c>
      <c r="CV256" cm="1">
        <f t="array" ref="CV256">_xlfn.IFS(CU256*1=2,1,CU256*1=4,1,TRUE,0)</f>
        <v>1</v>
      </c>
      <c r="CW256" cm="1">
        <f t="array" ref="CW256">_xlfn.IFS(CU256*1=1,1,CU256*1=2,1,TRUE,0)</f>
        <v>1</v>
      </c>
      <c r="CX256" s="3">
        <f t="shared" si="27"/>
        <v>0</v>
      </c>
      <c r="CY256" s="3">
        <f t="shared" si="28"/>
        <v>0</v>
      </c>
      <c r="CZ256" s="3" cm="1">
        <f t="array" ref="CZ256">_xlfn.IFS(BP256&lt;&gt;"", BP256, CV256=1,  AQ256, CV256=0,  AZ256)</f>
        <v>4.5</v>
      </c>
      <c r="DA256" s="36" cm="1">
        <f t="array" ref="DA256">_xlfn.IFS(BO256&lt;&gt;"", BO256, CV256=0,  AQ256, CV256=1,  AZ256)</f>
        <v>4.5</v>
      </c>
      <c r="DB256" s="36">
        <f t="shared" si="29"/>
        <v>-4.5</v>
      </c>
      <c r="DC256" s="3">
        <f t="shared" si="30"/>
        <v>-4.5</v>
      </c>
      <c r="DD256" s="3">
        <f t="shared" si="31"/>
        <v>0</v>
      </c>
      <c r="DE256" s="3">
        <f t="shared" si="32"/>
        <v>-4.5</v>
      </c>
      <c r="DF256" s="3">
        <f t="shared" si="33"/>
        <v>0</v>
      </c>
      <c r="DG256" s="3">
        <f t="shared" si="34"/>
        <v>-4.5</v>
      </c>
    </row>
    <row r="257" spans="1:111" x14ac:dyDescent="0.4">
      <c r="A257">
        <v>202511</v>
      </c>
      <c r="B257">
        <v>456</v>
      </c>
      <c r="C257" s="5">
        <v>45969.438680555555</v>
      </c>
      <c r="D257" s="5">
        <v>45969.444004629629</v>
      </c>
      <c r="E257" s="3">
        <v>0</v>
      </c>
      <c r="F257" s="4" t="s">
        <v>341</v>
      </c>
      <c r="G257" s="3">
        <v>100</v>
      </c>
      <c r="H257" s="3">
        <v>459</v>
      </c>
      <c r="I257" s="3">
        <v>1</v>
      </c>
      <c r="J257" s="5">
        <v>45969.444009652776</v>
      </c>
      <c r="K257" s="4" t="s">
        <v>340</v>
      </c>
      <c r="L257" s="4" t="s">
        <v>122</v>
      </c>
      <c r="M257" s="4" t="s">
        <v>122</v>
      </c>
      <c r="N257" s="4" t="s">
        <v>122</v>
      </c>
      <c r="O257" s="4" t="s">
        <v>122</v>
      </c>
      <c r="P257" s="3">
        <v>32.250300000000003</v>
      </c>
      <c r="Q257" s="3">
        <v>-110.94499999999999</v>
      </c>
      <c r="R257" s="4" t="s">
        <v>129</v>
      </c>
      <c r="S257" s="4" t="s">
        <v>124</v>
      </c>
      <c r="T257" s="3">
        <v>4</v>
      </c>
      <c r="U257" s="3">
        <v>1</v>
      </c>
      <c r="V257" s="3">
        <v>5</v>
      </c>
      <c r="W257" s="3">
        <v>4</v>
      </c>
      <c r="X257" s="3">
        <v>2</v>
      </c>
      <c r="Y257" s="3">
        <v>1</v>
      </c>
      <c r="Z257" s="3">
        <v>2</v>
      </c>
      <c r="AA257" s="3">
        <v>2</v>
      </c>
      <c r="AB257" s="4" t="s">
        <v>122</v>
      </c>
      <c r="AC257" s="4" t="s">
        <v>125</v>
      </c>
      <c r="AD257" s="4" t="s">
        <v>122</v>
      </c>
      <c r="AE257" s="4" t="s">
        <v>122</v>
      </c>
      <c r="AF257" s="4" t="s">
        <v>122</v>
      </c>
      <c r="AG257" s="3">
        <v>3</v>
      </c>
      <c r="AH257" s="3">
        <v>5</v>
      </c>
      <c r="AI257" s="3">
        <v>2</v>
      </c>
      <c r="AJ257" s="3">
        <v>7</v>
      </c>
      <c r="AK257" s="3">
        <v>8</v>
      </c>
      <c r="AL257" s="3">
        <v>8</v>
      </c>
      <c r="AM257" s="3">
        <v>8</v>
      </c>
      <c r="AN257" s="3">
        <v>8</v>
      </c>
      <c r="AO257" s="3">
        <v>1</v>
      </c>
      <c r="AP257" s="3">
        <v>3</v>
      </c>
      <c r="AQ257" s="4" t="s">
        <v>122</v>
      </c>
      <c r="AR257" s="4" t="s">
        <v>122</v>
      </c>
      <c r="AS257" s="3">
        <v>3</v>
      </c>
      <c r="AT257" s="3">
        <v>7</v>
      </c>
      <c r="AU257" s="3">
        <v>3</v>
      </c>
      <c r="AV257" s="3">
        <v>2</v>
      </c>
      <c r="AW257" s="3">
        <v>2</v>
      </c>
      <c r="AX257" s="3">
        <v>4</v>
      </c>
      <c r="AY257" s="3">
        <v>1</v>
      </c>
      <c r="AZ257" s="4" t="s">
        <v>122</v>
      </c>
      <c r="BA257" s="4" t="s">
        <v>122</v>
      </c>
      <c r="BB257" s="4" t="s">
        <v>122</v>
      </c>
      <c r="BC257" s="4" t="s">
        <v>122</v>
      </c>
      <c r="BD257" s="4" t="s">
        <v>122</v>
      </c>
      <c r="BE257" s="4" t="s">
        <v>122</v>
      </c>
      <c r="BF257" s="4" t="s">
        <v>122</v>
      </c>
      <c r="BG257" s="4" t="s">
        <v>122</v>
      </c>
      <c r="BH257" s="4" t="s">
        <v>122</v>
      </c>
      <c r="BI257" s="4" t="s">
        <v>122</v>
      </c>
      <c r="BJ257" s="4" t="s">
        <v>122</v>
      </c>
      <c r="BK257" s="4" t="s">
        <v>122</v>
      </c>
      <c r="BL257" s="4" t="s">
        <v>122</v>
      </c>
      <c r="BM257" s="4" t="s">
        <v>122</v>
      </c>
      <c r="BN257" s="4" t="s">
        <v>122</v>
      </c>
      <c r="BO257" s="3">
        <v>5</v>
      </c>
      <c r="BP257" s="3">
        <v>5</v>
      </c>
      <c r="BQ257" s="3">
        <v>2</v>
      </c>
      <c r="BR257" s="4" t="s">
        <v>122</v>
      </c>
      <c r="BS257" s="4" t="s">
        <v>122</v>
      </c>
      <c r="BT257" s="4" t="s">
        <v>122</v>
      </c>
      <c r="BU257" s="4" t="s">
        <v>122</v>
      </c>
      <c r="BV257" s="4" t="s">
        <v>122</v>
      </c>
      <c r="BW257" s="4" t="s">
        <v>122</v>
      </c>
      <c r="BX257" s="4" t="s">
        <v>122</v>
      </c>
      <c r="BY257" s="4" t="s">
        <v>122</v>
      </c>
      <c r="BZ257" s="4" t="s">
        <v>125</v>
      </c>
      <c r="CA257" s="4" t="s">
        <v>122</v>
      </c>
      <c r="CB257" s="3">
        <v>0</v>
      </c>
      <c r="CC257" s="4" t="s">
        <v>122</v>
      </c>
      <c r="CD257" s="3">
        <v>5</v>
      </c>
      <c r="CE257" s="3">
        <v>3</v>
      </c>
      <c r="CF257" s="3">
        <v>1</v>
      </c>
      <c r="CG257" s="4" t="s">
        <v>122</v>
      </c>
      <c r="CH257" s="3">
        <v>2.2999999999999998</v>
      </c>
      <c r="CI257" s="4" t="s">
        <v>122</v>
      </c>
      <c r="CJ257" s="4" t="s">
        <v>122</v>
      </c>
      <c r="CK257" s="4" t="s">
        <v>122</v>
      </c>
      <c r="CL257" s="4" t="s">
        <v>122</v>
      </c>
      <c r="CM257" s="4" t="s">
        <v>122</v>
      </c>
      <c r="CN257" s="4" t="s">
        <v>122</v>
      </c>
      <c r="CO257" s="4" t="s">
        <v>125</v>
      </c>
      <c r="CP257" s="4" t="s">
        <v>122</v>
      </c>
      <c r="CQ257" s="4" t="s">
        <v>122</v>
      </c>
      <c r="CR257" s="4" t="s">
        <v>122</v>
      </c>
      <c r="CS257" s="3">
        <v>2</v>
      </c>
      <c r="CT257" s="3">
        <v>2</v>
      </c>
      <c r="CU257" s="42">
        <v>4</v>
      </c>
      <c r="CV257" cm="1">
        <f t="array" ref="CV257">_xlfn.IFS(CU257*1=2,1,CU257*1=4,1,TRUE,0)</f>
        <v>1</v>
      </c>
      <c r="CW257" cm="1">
        <f t="array" ref="CW257">_xlfn.IFS(CU257*1=1,1,CU257*1=2,1,TRUE,0)</f>
        <v>0</v>
      </c>
      <c r="CX257" s="3">
        <f t="shared" si="27"/>
        <v>0</v>
      </c>
      <c r="CY257" s="3">
        <f t="shared" si="28"/>
        <v>5</v>
      </c>
      <c r="CZ257" s="3" cm="1">
        <f t="array" ref="CZ257">_xlfn.IFS(BP257&lt;&gt;"", BP257, CV257=1,  AQ257, CV257=0,  AZ257)</f>
        <v>5</v>
      </c>
      <c r="DA257" s="36" cm="1">
        <f t="array" ref="DA257">_xlfn.IFS(BO257&lt;&gt;"", BO257, CV257=0,  AQ257, CV257=1,  AZ257)</f>
        <v>5</v>
      </c>
      <c r="DB257" s="36">
        <f t="shared" si="29"/>
        <v>0</v>
      </c>
      <c r="DC257" s="3">
        <f t="shared" si="30"/>
        <v>-5</v>
      </c>
      <c r="DD257" s="3">
        <f t="shared" si="31"/>
        <v>0</v>
      </c>
      <c r="DE257" s="3">
        <f t="shared" si="32"/>
        <v>0</v>
      </c>
      <c r="DF257" s="3">
        <f t="shared" si="33"/>
        <v>-5</v>
      </c>
      <c r="DG257" s="3">
        <f t="shared" si="34"/>
        <v>0</v>
      </c>
    </row>
    <row r="258" spans="1:111" x14ac:dyDescent="0.4">
      <c r="A258">
        <v>202511</v>
      </c>
      <c r="B258">
        <v>123</v>
      </c>
      <c r="C258" s="1">
        <v>45969.440520833334</v>
      </c>
      <c r="D258" s="1">
        <v>45969.44494212963</v>
      </c>
      <c r="E258">
        <v>0</v>
      </c>
      <c r="F258" s="2" t="s">
        <v>174</v>
      </c>
      <c r="G258">
        <v>100</v>
      </c>
      <c r="H258">
        <v>381</v>
      </c>
      <c r="I258">
        <v>1</v>
      </c>
      <c r="J258" s="1">
        <v>45969.44495326389</v>
      </c>
      <c r="K258" s="2" t="s">
        <v>175</v>
      </c>
      <c r="L258" s="2" t="s">
        <v>122</v>
      </c>
      <c r="M258" s="2" t="s">
        <v>122</v>
      </c>
      <c r="N258" s="2" t="s">
        <v>122</v>
      </c>
      <c r="O258" s="2" t="s">
        <v>122</v>
      </c>
      <c r="P258">
        <v>36.172400000000003</v>
      </c>
      <c r="Q258">
        <v>-115.0677</v>
      </c>
      <c r="R258" s="2" t="s">
        <v>129</v>
      </c>
      <c r="S258" s="2" t="s">
        <v>124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 s="2" t="s">
        <v>122</v>
      </c>
      <c r="AC258" s="2" t="s">
        <v>122</v>
      </c>
      <c r="AD258" s="2" t="s">
        <v>122</v>
      </c>
      <c r="AE258" s="2" t="s">
        <v>122</v>
      </c>
      <c r="AF258" s="2" t="s">
        <v>122</v>
      </c>
      <c r="AG258">
        <v>4</v>
      </c>
      <c r="AH258">
        <v>4</v>
      </c>
      <c r="AI258">
        <v>1</v>
      </c>
      <c r="AJ258">
        <v>3</v>
      </c>
      <c r="AK258">
        <v>9</v>
      </c>
      <c r="AL258">
        <v>5</v>
      </c>
      <c r="AM258">
        <v>2</v>
      </c>
      <c r="AN258">
        <v>9</v>
      </c>
      <c r="AO258">
        <v>4</v>
      </c>
      <c r="AP258">
        <v>3</v>
      </c>
      <c r="AQ258">
        <v>6</v>
      </c>
      <c r="AR258">
        <v>2</v>
      </c>
      <c r="AS258">
        <v>4</v>
      </c>
      <c r="AT258">
        <v>9</v>
      </c>
      <c r="AU258">
        <v>7</v>
      </c>
      <c r="AV258">
        <v>4</v>
      </c>
      <c r="AW258">
        <v>9</v>
      </c>
      <c r="AX258">
        <v>2</v>
      </c>
      <c r="AY258">
        <v>4</v>
      </c>
      <c r="AZ258">
        <v>6</v>
      </c>
      <c r="BA258">
        <v>2</v>
      </c>
      <c r="BB258">
        <v>5</v>
      </c>
      <c r="BC258">
        <v>5</v>
      </c>
      <c r="BD258">
        <v>2</v>
      </c>
      <c r="BE258" s="2" t="s">
        <v>125</v>
      </c>
      <c r="BF258" s="2" t="s">
        <v>122</v>
      </c>
      <c r="BG258" s="2" t="s">
        <v>122</v>
      </c>
      <c r="BH258" s="2" t="s">
        <v>122</v>
      </c>
      <c r="BI258" s="2" t="s">
        <v>125</v>
      </c>
      <c r="BJ258" s="2" t="s">
        <v>122</v>
      </c>
      <c r="BK258" s="2" t="s">
        <v>122</v>
      </c>
      <c r="BL258" s="2" t="s">
        <v>122</v>
      </c>
      <c r="BM258" s="2" t="s">
        <v>122</v>
      </c>
      <c r="BN258">
        <v>1</v>
      </c>
      <c r="BO258" s="2" t="s">
        <v>122</v>
      </c>
      <c r="BP258" s="2" t="s">
        <v>122</v>
      </c>
      <c r="BQ258" s="2" t="s">
        <v>122</v>
      </c>
      <c r="BR258" s="2" t="s">
        <v>122</v>
      </c>
      <c r="BS258" s="2" t="s">
        <v>122</v>
      </c>
      <c r="BT258" s="2" t="s">
        <v>122</v>
      </c>
      <c r="BU258" s="2" t="s">
        <v>122</v>
      </c>
      <c r="BV258" s="2" t="s">
        <v>122</v>
      </c>
      <c r="BW258" s="2" t="s">
        <v>122</v>
      </c>
      <c r="BX258" s="2" t="s">
        <v>122</v>
      </c>
      <c r="BY258" s="2" t="s">
        <v>122</v>
      </c>
      <c r="BZ258" s="2" t="s">
        <v>122</v>
      </c>
      <c r="CA258" s="2" t="s">
        <v>122</v>
      </c>
      <c r="CB258" s="2" t="s">
        <v>122</v>
      </c>
      <c r="CC258" s="2" t="s">
        <v>122</v>
      </c>
      <c r="CD258" s="2" t="s">
        <v>122</v>
      </c>
      <c r="CE258" s="2" t="s">
        <v>122</v>
      </c>
      <c r="CF258">
        <v>2</v>
      </c>
      <c r="CG258" s="2" t="s">
        <v>122</v>
      </c>
      <c r="CH258">
        <v>3</v>
      </c>
      <c r="CI258" s="2" t="s">
        <v>122</v>
      </c>
      <c r="CJ258" s="2" t="s">
        <v>122</v>
      </c>
      <c r="CK258" s="2" t="s">
        <v>122</v>
      </c>
      <c r="CL258" s="2" t="s">
        <v>122</v>
      </c>
      <c r="CM258" s="2" t="s">
        <v>122</v>
      </c>
      <c r="CN258" s="2" t="s">
        <v>122</v>
      </c>
      <c r="CO258" s="2" t="s">
        <v>125</v>
      </c>
      <c r="CP258" s="2" t="s">
        <v>122</v>
      </c>
      <c r="CQ258" s="2" t="s">
        <v>122</v>
      </c>
      <c r="CR258" s="2" t="s">
        <v>122</v>
      </c>
      <c r="CS258">
        <v>5</v>
      </c>
      <c r="CT258">
        <v>5</v>
      </c>
      <c r="CU258" s="43">
        <v>1</v>
      </c>
      <c r="CV258" cm="1">
        <f t="array" ref="CV258">_xlfn.IFS(CU258*1=2,1,CU258*1=4,1,TRUE,0)</f>
        <v>0</v>
      </c>
      <c r="CW258" cm="1">
        <f t="array" ref="CW258">_xlfn.IFS(CU258*1=1,1,CU258*1=2,1,TRUE,0)</f>
        <v>1</v>
      </c>
      <c r="CX258" s="3">
        <f t="shared" si="27"/>
        <v>5</v>
      </c>
      <c r="CY258" s="3">
        <f t="shared" si="28"/>
        <v>5</v>
      </c>
      <c r="CZ258" s="3" cm="1">
        <f t="array" ref="CZ258">_xlfn.IFS(BP258&lt;&gt;"", BP258, CV258=1,  AQ258, CV258=0,  AZ258)</f>
        <v>6</v>
      </c>
      <c r="DA258" s="36" cm="1">
        <f t="array" ref="DA258">_xlfn.IFS(BO258&lt;&gt;"", BO258, CV258=0,  AQ258, CV258=1,  AZ258)</f>
        <v>6</v>
      </c>
      <c r="DB258" s="36">
        <f t="shared" si="29"/>
        <v>1</v>
      </c>
      <c r="DC258" s="3">
        <f t="shared" si="30"/>
        <v>1</v>
      </c>
      <c r="DD258" s="3">
        <f t="shared" si="31"/>
        <v>2</v>
      </c>
      <c r="DE258" s="3">
        <f t="shared" si="32"/>
        <v>1</v>
      </c>
      <c r="DF258" s="3">
        <f t="shared" si="33"/>
        <v>2</v>
      </c>
      <c r="DG258" s="3">
        <f t="shared" si="34"/>
        <v>1</v>
      </c>
    </row>
    <row r="259" spans="1:111" x14ac:dyDescent="0.4">
      <c r="A259">
        <v>202511</v>
      </c>
      <c r="B259">
        <v>123</v>
      </c>
      <c r="C259" s="1">
        <v>45969.44263888889</v>
      </c>
      <c r="D259" s="1">
        <v>45969.446782407409</v>
      </c>
      <c r="E259">
        <v>0</v>
      </c>
      <c r="F259" s="2" t="s">
        <v>176</v>
      </c>
      <c r="G259">
        <v>100</v>
      </c>
      <c r="H259">
        <v>358</v>
      </c>
      <c r="I259">
        <v>1</v>
      </c>
      <c r="J259" s="1">
        <v>45969.446795995369</v>
      </c>
      <c r="K259" s="2" t="s">
        <v>177</v>
      </c>
      <c r="L259" s="2" t="s">
        <v>122</v>
      </c>
      <c r="M259" s="2" t="s">
        <v>122</v>
      </c>
      <c r="N259" s="2" t="s">
        <v>122</v>
      </c>
      <c r="O259" s="2" t="s">
        <v>122</v>
      </c>
      <c r="P259">
        <v>33.571599999999997</v>
      </c>
      <c r="Q259">
        <v>-101.8545</v>
      </c>
      <c r="R259" s="2" t="s">
        <v>129</v>
      </c>
      <c r="S259" s="2" t="s">
        <v>124</v>
      </c>
      <c r="T259">
        <v>4</v>
      </c>
      <c r="U259">
        <v>1</v>
      </c>
      <c r="V259">
        <v>3</v>
      </c>
      <c r="W259">
        <v>3</v>
      </c>
      <c r="X259">
        <v>2</v>
      </c>
      <c r="Y259">
        <v>1</v>
      </c>
      <c r="Z259">
        <v>1</v>
      </c>
      <c r="AA259">
        <v>1</v>
      </c>
      <c r="AB259" s="2" t="s">
        <v>122</v>
      </c>
      <c r="AC259" s="2" t="s">
        <v>125</v>
      </c>
      <c r="AD259" s="2" t="s">
        <v>122</v>
      </c>
      <c r="AE259" s="2" t="s">
        <v>122</v>
      </c>
      <c r="AF259" s="2" t="s">
        <v>122</v>
      </c>
      <c r="AG259">
        <v>3</v>
      </c>
      <c r="AH259">
        <v>6</v>
      </c>
      <c r="AI259">
        <v>3</v>
      </c>
      <c r="AJ259">
        <v>6</v>
      </c>
      <c r="AK259">
        <v>7</v>
      </c>
      <c r="AL259">
        <v>7</v>
      </c>
      <c r="AM259">
        <v>6</v>
      </c>
      <c r="AN259">
        <v>5</v>
      </c>
      <c r="AO259">
        <v>4</v>
      </c>
      <c r="AP259">
        <v>3</v>
      </c>
      <c r="AQ259">
        <v>6</v>
      </c>
      <c r="AR259">
        <v>3</v>
      </c>
      <c r="AS259">
        <v>6</v>
      </c>
      <c r="AT259">
        <v>4</v>
      </c>
      <c r="AU259">
        <v>4</v>
      </c>
      <c r="AV259">
        <v>3</v>
      </c>
      <c r="AW259">
        <v>3</v>
      </c>
      <c r="AX259">
        <v>4</v>
      </c>
      <c r="AY259">
        <v>3</v>
      </c>
      <c r="AZ259">
        <v>6</v>
      </c>
      <c r="BA259">
        <v>3</v>
      </c>
      <c r="BB259">
        <v>6</v>
      </c>
      <c r="BC259" s="2" t="s">
        <v>122</v>
      </c>
      <c r="BD259">
        <v>3</v>
      </c>
      <c r="BE259" s="2" t="s">
        <v>125</v>
      </c>
      <c r="BF259" s="2" t="s">
        <v>122</v>
      </c>
      <c r="BG259" s="2" t="s">
        <v>122</v>
      </c>
      <c r="BH259" s="2" t="s">
        <v>122</v>
      </c>
      <c r="BI259" s="2" t="s">
        <v>122</v>
      </c>
      <c r="BJ259" s="2" t="s">
        <v>122</v>
      </c>
      <c r="BK259" s="2" t="s">
        <v>122</v>
      </c>
      <c r="BL259" s="2" t="s">
        <v>125</v>
      </c>
      <c r="BM259" s="2" t="s">
        <v>122</v>
      </c>
      <c r="BN259">
        <v>7</v>
      </c>
      <c r="BO259" s="2" t="s">
        <v>122</v>
      </c>
      <c r="BP259" s="2" t="s">
        <v>122</v>
      </c>
      <c r="BQ259" s="2" t="s">
        <v>122</v>
      </c>
      <c r="BR259" s="2" t="s">
        <v>122</v>
      </c>
      <c r="BS259" s="2" t="s">
        <v>122</v>
      </c>
      <c r="BT259" s="2" t="s">
        <v>122</v>
      </c>
      <c r="BU259" s="2" t="s">
        <v>122</v>
      </c>
      <c r="BV259" s="2" t="s">
        <v>122</v>
      </c>
      <c r="BW259" s="2" t="s">
        <v>122</v>
      </c>
      <c r="BX259" s="2" t="s">
        <v>122</v>
      </c>
      <c r="BY259" s="2" t="s">
        <v>122</v>
      </c>
      <c r="BZ259" s="2" t="s">
        <v>122</v>
      </c>
      <c r="CA259" s="2" t="s">
        <v>122</v>
      </c>
      <c r="CB259" s="2" t="s">
        <v>122</v>
      </c>
      <c r="CC259" s="2" t="s">
        <v>122</v>
      </c>
      <c r="CD259" s="2" t="s">
        <v>122</v>
      </c>
      <c r="CE259" s="2" t="s">
        <v>122</v>
      </c>
      <c r="CF259">
        <v>1</v>
      </c>
      <c r="CG259" s="2" t="s">
        <v>122</v>
      </c>
      <c r="CH259">
        <v>5</v>
      </c>
      <c r="CI259" s="2" t="s">
        <v>122</v>
      </c>
      <c r="CJ259" s="2" t="s">
        <v>122</v>
      </c>
      <c r="CK259" s="2" t="s">
        <v>122</v>
      </c>
      <c r="CL259" s="2" t="s">
        <v>122</v>
      </c>
      <c r="CM259" s="2" t="s">
        <v>122</v>
      </c>
      <c r="CN259" s="2" t="s">
        <v>122</v>
      </c>
      <c r="CO259" s="2" t="s">
        <v>125</v>
      </c>
      <c r="CP259" s="2" t="s">
        <v>122</v>
      </c>
      <c r="CQ259" s="2" t="s">
        <v>122</v>
      </c>
      <c r="CR259" s="2" t="s">
        <v>122</v>
      </c>
      <c r="CS259">
        <v>5</v>
      </c>
      <c r="CT259">
        <v>6</v>
      </c>
      <c r="CU259" s="43">
        <v>1</v>
      </c>
      <c r="CV259" cm="1">
        <f t="array" ref="CV259">_xlfn.IFS(CU259*1=2,1,CU259*1=4,1,TRUE,0)</f>
        <v>0</v>
      </c>
      <c r="CW259" cm="1">
        <f t="array" ref="CW259">_xlfn.IFS(CU259*1=1,1,CU259*1=2,1,TRUE,0)</f>
        <v>1</v>
      </c>
      <c r="CX259" s="3">
        <f t="shared" ref="CX259:CX322" si="35">IF(BB259&lt;&gt;"",BB259,IF(CB259&lt;&gt;"",CB259,""))</f>
        <v>6</v>
      </c>
      <c r="CY259" s="3" t="str">
        <f t="shared" ref="CY259:CY322" si="36">IF(BC259&lt;&gt;"",BC259,IF(CD259&lt;&gt;"",CD259,""))</f>
        <v/>
      </c>
      <c r="CZ259" s="3" cm="1">
        <f t="array" ref="CZ259">_xlfn.IFS(BP259&lt;&gt;"", BP259, CV259=1,  AQ259, CV259=0,  AZ259)</f>
        <v>6</v>
      </c>
      <c r="DA259" s="36" cm="1">
        <f t="array" ref="DA259">_xlfn.IFS(BO259&lt;&gt;"", BO259, CV259=0,  AQ259, CV259=1,  AZ259)</f>
        <v>6</v>
      </c>
      <c r="DB259" s="36" t="str">
        <f t="shared" ref="DB259:DB322" si="37">IF(COUNT(CY259,AH259)=2,CY259-AH259,"")</f>
        <v/>
      </c>
      <c r="DC259" s="3">
        <f t="shared" ref="DC259:DC322" si="38">CX259-AH259</f>
        <v>0</v>
      </c>
      <c r="DD259" s="3">
        <f t="shared" ref="DD259:DD322" si="39">IF($CW259=1,CZ259-$AH259,CY259-$AH259)</f>
        <v>0</v>
      </c>
      <c r="DE259" s="60"/>
      <c r="DF259" s="3">
        <f t="shared" ref="DF259:DF322" si="40">IF($CW259=1,$DA259-$AH259,$CX259-$AH259)</f>
        <v>0</v>
      </c>
      <c r="DG259" s="3">
        <f t="shared" ref="DG259:DG321" si="41">IF($CW259=1,$CX259-$AH259, $DA259-$AH259)</f>
        <v>0</v>
      </c>
    </row>
    <row r="260" spans="1:111" x14ac:dyDescent="0.4">
      <c r="A260">
        <v>202511</v>
      </c>
      <c r="B260">
        <v>123</v>
      </c>
      <c r="C260" s="1">
        <v>45969.443009259259</v>
      </c>
      <c r="D260" s="1">
        <v>45969.447025462963</v>
      </c>
      <c r="E260">
        <v>0</v>
      </c>
      <c r="F260" s="2" t="s">
        <v>178</v>
      </c>
      <c r="G260">
        <v>100</v>
      </c>
      <c r="H260">
        <v>347</v>
      </c>
      <c r="I260">
        <v>1</v>
      </c>
      <c r="J260" s="1">
        <v>45969.447038969905</v>
      </c>
      <c r="K260" s="2" t="s">
        <v>179</v>
      </c>
      <c r="L260" s="2" t="s">
        <v>122</v>
      </c>
      <c r="M260" s="2" t="s">
        <v>122</v>
      </c>
      <c r="N260" s="2" t="s">
        <v>122</v>
      </c>
      <c r="O260" s="2" t="s">
        <v>122</v>
      </c>
      <c r="P260">
        <v>33.434199999999997</v>
      </c>
      <c r="Q260">
        <v>-111.8454</v>
      </c>
      <c r="R260" s="2" t="s">
        <v>129</v>
      </c>
      <c r="S260" s="2" t="s">
        <v>124</v>
      </c>
      <c r="T260">
        <v>4</v>
      </c>
      <c r="U260">
        <v>1</v>
      </c>
      <c r="V260">
        <v>4</v>
      </c>
      <c r="W260">
        <v>4</v>
      </c>
      <c r="X260">
        <v>4</v>
      </c>
      <c r="Y260">
        <v>2</v>
      </c>
      <c r="Z260">
        <v>2</v>
      </c>
      <c r="AA260">
        <v>2</v>
      </c>
      <c r="AB260" s="2" t="s">
        <v>125</v>
      </c>
      <c r="AC260" s="2" t="s">
        <v>125</v>
      </c>
      <c r="AD260" s="2" t="s">
        <v>125</v>
      </c>
      <c r="AE260" s="2" t="s">
        <v>122</v>
      </c>
      <c r="AF260" s="2" t="s">
        <v>122</v>
      </c>
      <c r="AG260">
        <v>3</v>
      </c>
      <c r="AH260">
        <v>4</v>
      </c>
      <c r="AI260">
        <v>3</v>
      </c>
      <c r="AJ260">
        <v>7</v>
      </c>
      <c r="AK260">
        <v>6</v>
      </c>
      <c r="AL260">
        <v>8</v>
      </c>
      <c r="AM260">
        <v>7</v>
      </c>
      <c r="AN260">
        <v>6</v>
      </c>
      <c r="AO260">
        <v>1</v>
      </c>
      <c r="AP260">
        <v>3</v>
      </c>
      <c r="AQ260">
        <v>6</v>
      </c>
      <c r="AR260">
        <v>2</v>
      </c>
      <c r="AS260">
        <v>8</v>
      </c>
      <c r="AT260">
        <v>7</v>
      </c>
      <c r="AU260">
        <v>7</v>
      </c>
      <c r="AV260">
        <v>8</v>
      </c>
      <c r="AW260">
        <v>7</v>
      </c>
      <c r="AX260">
        <v>2</v>
      </c>
      <c r="AY260">
        <v>3</v>
      </c>
      <c r="AZ260">
        <v>6</v>
      </c>
      <c r="BA260">
        <v>3</v>
      </c>
      <c r="BB260">
        <v>6</v>
      </c>
      <c r="BC260">
        <v>6</v>
      </c>
      <c r="BD260">
        <v>3</v>
      </c>
      <c r="BE260" s="2" t="s">
        <v>125</v>
      </c>
      <c r="BF260" s="2" t="s">
        <v>122</v>
      </c>
      <c r="BG260" s="2" t="s">
        <v>122</v>
      </c>
      <c r="BH260" s="2" t="s">
        <v>122</v>
      </c>
      <c r="BI260" s="2" t="s">
        <v>125</v>
      </c>
      <c r="BJ260" s="2" t="s">
        <v>122</v>
      </c>
      <c r="BK260" s="2" t="s">
        <v>122</v>
      </c>
      <c r="BL260" s="2" t="s">
        <v>122</v>
      </c>
      <c r="BM260" s="2" t="s">
        <v>122</v>
      </c>
      <c r="BN260">
        <v>1</v>
      </c>
      <c r="BO260" s="2" t="s">
        <v>122</v>
      </c>
      <c r="BP260" s="2" t="s">
        <v>122</v>
      </c>
      <c r="BQ260" s="2" t="s">
        <v>122</v>
      </c>
      <c r="BR260" s="2" t="s">
        <v>122</v>
      </c>
      <c r="BS260" s="2" t="s">
        <v>122</v>
      </c>
      <c r="BT260" s="2" t="s">
        <v>122</v>
      </c>
      <c r="BU260" s="2" t="s">
        <v>122</v>
      </c>
      <c r="BV260" s="2" t="s">
        <v>122</v>
      </c>
      <c r="BW260" s="2" t="s">
        <v>122</v>
      </c>
      <c r="BX260" s="2" t="s">
        <v>122</v>
      </c>
      <c r="BY260" s="2" t="s">
        <v>122</v>
      </c>
      <c r="BZ260" s="2" t="s">
        <v>122</v>
      </c>
      <c r="CA260" s="2" t="s">
        <v>122</v>
      </c>
      <c r="CB260" s="2" t="s">
        <v>122</v>
      </c>
      <c r="CC260" s="2" t="s">
        <v>122</v>
      </c>
      <c r="CD260" s="2" t="s">
        <v>122</v>
      </c>
      <c r="CE260" s="2" t="s">
        <v>122</v>
      </c>
      <c r="CF260">
        <v>1</v>
      </c>
      <c r="CG260" s="2" t="s">
        <v>122</v>
      </c>
      <c r="CH260">
        <v>4</v>
      </c>
      <c r="CI260" s="2" t="s">
        <v>122</v>
      </c>
      <c r="CJ260" s="2" t="s">
        <v>122</v>
      </c>
      <c r="CK260" s="2" t="s">
        <v>122</v>
      </c>
      <c r="CL260" s="2" t="s">
        <v>122</v>
      </c>
      <c r="CM260" s="2" t="s">
        <v>122</v>
      </c>
      <c r="CN260" s="2" t="s">
        <v>122</v>
      </c>
      <c r="CO260" s="2" t="s">
        <v>125</v>
      </c>
      <c r="CP260" s="2" t="s">
        <v>122</v>
      </c>
      <c r="CQ260" s="2" t="s">
        <v>122</v>
      </c>
      <c r="CR260" s="2" t="s">
        <v>122</v>
      </c>
      <c r="CS260">
        <v>5</v>
      </c>
      <c r="CT260">
        <v>6</v>
      </c>
      <c r="CU260" s="43">
        <v>1</v>
      </c>
      <c r="CV260" cm="1">
        <f t="array" ref="CV260">_xlfn.IFS(CU260*1=2,1,CU260*1=4,1,TRUE,0)</f>
        <v>0</v>
      </c>
      <c r="CW260" cm="1">
        <f t="array" ref="CW260">_xlfn.IFS(CU260*1=1,1,CU260*1=2,1,TRUE,0)</f>
        <v>1</v>
      </c>
      <c r="CX260" s="3">
        <f t="shared" si="35"/>
        <v>6</v>
      </c>
      <c r="CY260" s="3">
        <f t="shared" si="36"/>
        <v>6</v>
      </c>
      <c r="CZ260" s="3" cm="1">
        <f t="array" ref="CZ260">_xlfn.IFS(BP260&lt;&gt;"", BP260, CV260=1,  AQ260, CV260=0,  AZ260)</f>
        <v>6</v>
      </c>
      <c r="DA260" s="36" cm="1">
        <f t="array" ref="DA260">_xlfn.IFS(BO260&lt;&gt;"", BO260, CV260=0,  AQ260, CV260=1,  AZ260)</f>
        <v>6</v>
      </c>
      <c r="DB260" s="36">
        <f t="shared" si="37"/>
        <v>2</v>
      </c>
      <c r="DC260" s="3">
        <f t="shared" si="38"/>
        <v>2</v>
      </c>
      <c r="DD260" s="3">
        <f t="shared" si="39"/>
        <v>2</v>
      </c>
      <c r="DE260" s="3">
        <f t="shared" ref="DE260:DE322" si="42">IF($CW260=1,CY260-$AH260,CZ260-$AH260)</f>
        <v>2</v>
      </c>
      <c r="DF260" s="3">
        <f t="shared" si="40"/>
        <v>2</v>
      </c>
      <c r="DG260" s="3">
        <f t="shared" si="41"/>
        <v>2</v>
      </c>
    </row>
    <row r="261" spans="1:111" x14ac:dyDescent="0.4">
      <c r="A261">
        <v>202511</v>
      </c>
      <c r="B261">
        <v>456</v>
      </c>
      <c r="C261" s="5">
        <v>45969.443298611113</v>
      </c>
      <c r="D261" s="5">
        <v>45969.448275462964</v>
      </c>
      <c r="E261" s="3">
        <v>0</v>
      </c>
      <c r="F261" s="4" t="s">
        <v>339</v>
      </c>
      <c r="G261" s="3">
        <v>100</v>
      </c>
      <c r="H261" s="3">
        <v>430</v>
      </c>
      <c r="I261" s="3">
        <v>1</v>
      </c>
      <c r="J261" s="5">
        <v>45969.448288599539</v>
      </c>
      <c r="K261" s="4" t="s">
        <v>338</v>
      </c>
      <c r="L261" s="4" t="s">
        <v>122</v>
      </c>
      <c r="M261" s="4" t="s">
        <v>122</v>
      </c>
      <c r="N261" s="4" t="s">
        <v>122</v>
      </c>
      <c r="O261" s="4" t="s">
        <v>122</v>
      </c>
      <c r="P261" s="3">
        <v>33.453200000000002</v>
      </c>
      <c r="Q261" s="3">
        <v>-112.0748</v>
      </c>
      <c r="R261" s="4" t="s">
        <v>129</v>
      </c>
      <c r="S261" s="4" t="s">
        <v>124</v>
      </c>
      <c r="T261" s="3">
        <v>4</v>
      </c>
      <c r="U261" s="3">
        <v>1</v>
      </c>
      <c r="V261" s="3">
        <v>2</v>
      </c>
      <c r="W261" s="3">
        <v>2</v>
      </c>
      <c r="X261" s="3">
        <v>3</v>
      </c>
      <c r="Y261" s="3">
        <v>3</v>
      </c>
      <c r="Z261" s="3">
        <v>3</v>
      </c>
      <c r="AA261" s="3">
        <v>3</v>
      </c>
      <c r="AB261" s="4" t="s">
        <v>125</v>
      </c>
      <c r="AC261" s="4" t="s">
        <v>125</v>
      </c>
      <c r="AD261" s="4" t="s">
        <v>122</v>
      </c>
      <c r="AE261" s="4" t="s">
        <v>122</v>
      </c>
      <c r="AF261" s="4" t="s">
        <v>122</v>
      </c>
      <c r="AG261" s="3">
        <v>2</v>
      </c>
      <c r="AH261" s="3">
        <v>6</v>
      </c>
      <c r="AI261" s="3">
        <v>2</v>
      </c>
      <c r="AJ261" s="3">
        <v>8</v>
      </c>
      <c r="AK261" s="3">
        <v>8</v>
      </c>
      <c r="AL261" s="3">
        <v>8</v>
      </c>
      <c r="AM261" s="3">
        <v>9</v>
      </c>
      <c r="AN261" s="3">
        <v>8</v>
      </c>
      <c r="AO261" s="3">
        <v>3</v>
      </c>
      <c r="AP261" s="3">
        <v>3</v>
      </c>
      <c r="AQ261" s="3">
        <v>6</v>
      </c>
      <c r="AR261" s="3">
        <v>3</v>
      </c>
      <c r="AS261" s="3">
        <v>7</v>
      </c>
      <c r="AT261" s="3">
        <v>7</v>
      </c>
      <c r="AU261" s="3">
        <v>5</v>
      </c>
      <c r="AV261" s="3">
        <v>6</v>
      </c>
      <c r="AW261" s="3">
        <v>7</v>
      </c>
      <c r="AX261" s="3">
        <v>3</v>
      </c>
      <c r="AY261" s="3">
        <v>2</v>
      </c>
      <c r="AZ261" s="3">
        <v>4</v>
      </c>
      <c r="BA261" s="3">
        <v>2</v>
      </c>
      <c r="BB261" s="3">
        <v>4</v>
      </c>
      <c r="BC261" s="3">
        <v>6</v>
      </c>
      <c r="BD261" s="3">
        <v>3</v>
      </c>
      <c r="BE261" s="4" t="s">
        <v>125</v>
      </c>
      <c r="BF261" s="4" t="s">
        <v>122</v>
      </c>
      <c r="BG261" s="4" t="s">
        <v>125</v>
      </c>
      <c r="BH261" s="4" t="s">
        <v>122</v>
      </c>
      <c r="BI261" s="4" t="s">
        <v>122</v>
      </c>
      <c r="BJ261" s="4" t="s">
        <v>122</v>
      </c>
      <c r="BK261" s="4" t="s">
        <v>122</v>
      </c>
      <c r="BL261" s="4" t="s">
        <v>122</v>
      </c>
      <c r="BM261" s="4" t="s">
        <v>122</v>
      </c>
      <c r="BN261" s="3">
        <v>1</v>
      </c>
      <c r="BO261" s="4" t="s">
        <v>122</v>
      </c>
      <c r="BP261" s="4" t="s">
        <v>122</v>
      </c>
      <c r="BQ261" s="4" t="s">
        <v>122</v>
      </c>
      <c r="BR261" s="4" t="s">
        <v>122</v>
      </c>
      <c r="BS261" s="4" t="s">
        <v>122</v>
      </c>
      <c r="BT261" s="4" t="s">
        <v>122</v>
      </c>
      <c r="BU261" s="4" t="s">
        <v>122</v>
      </c>
      <c r="BV261" s="4" t="s">
        <v>122</v>
      </c>
      <c r="BW261" s="4" t="s">
        <v>122</v>
      </c>
      <c r="BX261" s="4" t="s">
        <v>122</v>
      </c>
      <c r="BY261" s="4" t="s">
        <v>122</v>
      </c>
      <c r="BZ261" s="4" t="s">
        <v>122</v>
      </c>
      <c r="CA261" s="4" t="s">
        <v>122</v>
      </c>
      <c r="CB261" s="4" t="s">
        <v>122</v>
      </c>
      <c r="CC261" s="4" t="s">
        <v>122</v>
      </c>
      <c r="CD261" s="4" t="s">
        <v>122</v>
      </c>
      <c r="CE261" s="4" t="s">
        <v>122</v>
      </c>
      <c r="CF261" s="3">
        <v>1</v>
      </c>
      <c r="CG261" s="4" t="s">
        <v>122</v>
      </c>
      <c r="CH261" s="3">
        <v>6</v>
      </c>
      <c r="CI261" s="4" t="s">
        <v>122</v>
      </c>
      <c r="CJ261" s="4" t="s">
        <v>122</v>
      </c>
      <c r="CK261" s="4" t="s">
        <v>122</v>
      </c>
      <c r="CL261" s="4" t="s">
        <v>122</v>
      </c>
      <c r="CM261" s="4" t="s">
        <v>122</v>
      </c>
      <c r="CN261" s="4" t="s">
        <v>122</v>
      </c>
      <c r="CO261" s="4" t="s">
        <v>125</v>
      </c>
      <c r="CP261" s="4" t="s">
        <v>122</v>
      </c>
      <c r="CQ261" s="4" t="s">
        <v>122</v>
      </c>
      <c r="CR261" s="4" t="s">
        <v>122</v>
      </c>
      <c r="CS261" s="3">
        <v>5</v>
      </c>
      <c r="CT261" s="3">
        <v>6</v>
      </c>
      <c r="CU261" s="42">
        <v>2</v>
      </c>
      <c r="CV261" cm="1">
        <f t="array" ref="CV261">_xlfn.IFS(CU261*1=2,1,CU261*1=4,1,TRUE,0)</f>
        <v>1</v>
      </c>
      <c r="CW261" cm="1">
        <f t="array" ref="CW261">_xlfn.IFS(CU261*1=1,1,CU261*1=2,1,TRUE,0)</f>
        <v>1</v>
      </c>
      <c r="CX261" s="3">
        <f t="shared" si="35"/>
        <v>4</v>
      </c>
      <c r="CY261" s="3">
        <f t="shared" si="36"/>
        <v>6</v>
      </c>
      <c r="CZ261" s="3" cm="1">
        <f t="array" ref="CZ261">_xlfn.IFS(BP261&lt;&gt;"", BP261, CV261=1,  AQ261, CV261=0,  AZ261)</f>
        <v>6</v>
      </c>
      <c r="DA261" s="36" cm="1">
        <f t="array" ref="DA261">_xlfn.IFS(BO261&lt;&gt;"", BO261, CV261=0,  AQ261, CV261=1,  AZ261)</f>
        <v>4</v>
      </c>
      <c r="DB261" s="36">
        <f t="shared" si="37"/>
        <v>0</v>
      </c>
      <c r="DC261" s="3">
        <f t="shared" si="38"/>
        <v>-2</v>
      </c>
      <c r="DD261" s="3">
        <f t="shared" si="39"/>
        <v>0</v>
      </c>
      <c r="DE261" s="3">
        <f t="shared" si="42"/>
        <v>0</v>
      </c>
      <c r="DF261" s="3">
        <f t="shared" si="40"/>
        <v>-2</v>
      </c>
      <c r="DG261" s="3">
        <f t="shared" si="41"/>
        <v>-2</v>
      </c>
    </row>
    <row r="262" spans="1:111" x14ac:dyDescent="0.4">
      <c r="A262">
        <v>202511</v>
      </c>
      <c r="B262">
        <v>456</v>
      </c>
      <c r="C262" s="5">
        <v>45969.443541666667</v>
      </c>
      <c r="D262" s="5">
        <v>45969.44835648148</v>
      </c>
      <c r="E262" s="3">
        <v>0</v>
      </c>
      <c r="F262" s="4" t="s">
        <v>337</v>
      </c>
      <c r="G262" s="3">
        <v>100</v>
      </c>
      <c r="H262" s="3">
        <v>416</v>
      </c>
      <c r="I262" s="3">
        <v>1</v>
      </c>
      <c r="J262" s="5">
        <v>45969.448363148149</v>
      </c>
      <c r="K262" s="4" t="s">
        <v>336</v>
      </c>
      <c r="L262" s="4" t="s">
        <v>122</v>
      </c>
      <c r="M262" s="4" t="s">
        <v>122</v>
      </c>
      <c r="N262" s="4" t="s">
        <v>122</v>
      </c>
      <c r="O262" s="4" t="s">
        <v>122</v>
      </c>
      <c r="P262" s="3">
        <v>35.148499999999999</v>
      </c>
      <c r="Q262" s="3">
        <v>-114.5732</v>
      </c>
      <c r="R262" s="4" t="s">
        <v>129</v>
      </c>
      <c r="S262" s="4" t="s">
        <v>124</v>
      </c>
      <c r="T262" s="3">
        <v>4</v>
      </c>
      <c r="U262" s="3">
        <v>1</v>
      </c>
      <c r="V262" s="3">
        <v>4</v>
      </c>
      <c r="W262" s="3">
        <v>2</v>
      </c>
      <c r="X262" s="3">
        <v>1</v>
      </c>
      <c r="Y262" s="3">
        <v>1</v>
      </c>
      <c r="Z262" s="3">
        <v>1</v>
      </c>
      <c r="AA262" s="3">
        <v>1</v>
      </c>
      <c r="AB262" s="4" t="s">
        <v>122</v>
      </c>
      <c r="AC262" s="4" t="s">
        <v>122</v>
      </c>
      <c r="AD262" s="4" t="s">
        <v>122</v>
      </c>
      <c r="AE262" s="4" t="s">
        <v>122</v>
      </c>
      <c r="AF262" s="4" t="s">
        <v>122</v>
      </c>
      <c r="AG262" s="3">
        <v>3</v>
      </c>
      <c r="AH262" s="3">
        <v>5</v>
      </c>
      <c r="AI262" s="3">
        <v>1</v>
      </c>
      <c r="AJ262" s="3">
        <v>5</v>
      </c>
      <c r="AK262" s="3">
        <v>8</v>
      </c>
      <c r="AL262" s="3">
        <v>9</v>
      </c>
      <c r="AM262" s="3">
        <v>6</v>
      </c>
      <c r="AN262" s="3">
        <v>7</v>
      </c>
      <c r="AO262" s="3">
        <v>4</v>
      </c>
      <c r="AP262" s="3">
        <v>5</v>
      </c>
      <c r="AQ262" s="4" t="s">
        <v>122</v>
      </c>
      <c r="AR262" s="4" t="s">
        <v>122</v>
      </c>
      <c r="AS262" s="3">
        <v>7</v>
      </c>
      <c r="AT262" s="3">
        <v>8</v>
      </c>
      <c r="AU262" s="3">
        <v>5</v>
      </c>
      <c r="AV262" s="3">
        <v>7</v>
      </c>
      <c r="AW262" s="3">
        <v>8</v>
      </c>
      <c r="AX262" s="3">
        <v>2</v>
      </c>
      <c r="AY262" s="3">
        <v>2</v>
      </c>
      <c r="AZ262" s="4" t="s">
        <v>122</v>
      </c>
      <c r="BA262" s="4" t="s">
        <v>122</v>
      </c>
      <c r="BB262" s="4" t="s">
        <v>122</v>
      </c>
      <c r="BC262" s="4" t="s">
        <v>122</v>
      </c>
      <c r="BD262" s="4" t="s">
        <v>122</v>
      </c>
      <c r="BE262" s="4" t="s">
        <v>122</v>
      </c>
      <c r="BF262" s="4" t="s">
        <v>122</v>
      </c>
      <c r="BG262" s="4" t="s">
        <v>122</v>
      </c>
      <c r="BH262" s="4" t="s">
        <v>122</v>
      </c>
      <c r="BI262" s="4" t="s">
        <v>122</v>
      </c>
      <c r="BJ262" s="4" t="s">
        <v>122</v>
      </c>
      <c r="BK262" s="4" t="s">
        <v>122</v>
      </c>
      <c r="BL262" s="4" t="s">
        <v>122</v>
      </c>
      <c r="BM262" s="4" t="s">
        <v>122</v>
      </c>
      <c r="BN262" s="4" t="s">
        <v>122</v>
      </c>
      <c r="BO262" s="3">
        <v>7</v>
      </c>
      <c r="BP262" s="3">
        <v>7</v>
      </c>
      <c r="BQ262" s="3">
        <v>3</v>
      </c>
      <c r="BR262" s="4" t="s">
        <v>125</v>
      </c>
      <c r="BS262" s="4" t="s">
        <v>122</v>
      </c>
      <c r="BT262" s="4" t="s">
        <v>122</v>
      </c>
      <c r="BU262" s="4" t="s">
        <v>122</v>
      </c>
      <c r="BV262" s="4" t="s">
        <v>122</v>
      </c>
      <c r="BW262" s="4" t="s">
        <v>122</v>
      </c>
      <c r="BX262" s="4" t="s">
        <v>122</v>
      </c>
      <c r="BY262" s="4" t="s">
        <v>122</v>
      </c>
      <c r="BZ262" s="4" t="s">
        <v>122</v>
      </c>
      <c r="CA262" s="3">
        <v>1</v>
      </c>
      <c r="CB262" s="3">
        <v>7</v>
      </c>
      <c r="CC262" s="3">
        <v>3</v>
      </c>
      <c r="CD262" s="3">
        <v>7</v>
      </c>
      <c r="CE262" s="3">
        <v>3</v>
      </c>
      <c r="CF262" s="3">
        <v>1</v>
      </c>
      <c r="CG262" s="4" t="s">
        <v>122</v>
      </c>
      <c r="CH262" s="3">
        <v>4</v>
      </c>
      <c r="CI262" s="4" t="s">
        <v>122</v>
      </c>
      <c r="CJ262" s="4" t="s">
        <v>122</v>
      </c>
      <c r="CK262" s="4" t="s">
        <v>122</v>
      </c>
      <c r="CL262" s="4" t="s">
        <v>122</v>
      </c>
      <c r="CM262" s="4" t="s">
        <v>122</v>
      </c>
      <c r="CN262" s="4" t="s">
        <v>122</v>
      </c>
      <c r="CO262" s="4" t="s">
        <v>125</v>
      </c>
      <c r="CP262" s="4" t="s">
        <v>122</v>
      </c>
      <c r="CQ262" s="4" t="s">
        <v>122</v>
      </c>
      <c r="CR262" s="4" t="s">
        <v>122</v>
      </c>
      <c r="CS262" s="3">
        <v>5</v>
      </c>
      <c r="CT262" s="3">
        <v>3</v>
      </c>
      <c r="CU262" s="42">
        <v>4</v>
      </c>
      <c r="CV262" cm="1">
        <f t="array" ref="CV262">_xlfn.IFS(CU262*1=2,1,CU262*1=4,1,TRUE,0)</f>
        <v>1</v>
      </c>
      <c r="CW262" cm="1">
        <f t="array" ref="CW262">_xlfn.IFS(CU262*1=1,1,CU262*1=2,1,TRUE,0)</f>
        <v>0</v>
      </c>
      <c r="CX262" s="3">
        <f t="shared" si="35"/>
        <v>7</v>
      </c>
      <c r="CY262" s="3">
        <f t="shared" si="36"/>
        <v>7</v>
      </c>
      <c r="CZ262" s="3" cm="1">
        <f t="array" ref="CZ262">_xlfn.IFS(BP262&lt;&gt;"", BP262, CV262=1,  AQ262, CV262=0,  AZ262)</f>
        <v>7</v>
      </c>
      <c r="DA262" s="36" cm="1">
        <f t="array" ref="DA262">_xlfn.IFS(BO262&lt;&gt;"", BO262, CV262=0,  AQ262, CV262=1,  AZ262)</f>
        <v>7</v>
      </c>
      <c r="DB262" s="36">
        <f t="shared" si="37"/>
        <v>2</v>
      </c>
      <c r="DC262" s="3">
        <f t="shared" si="38"/>
        <v>2</v>
      </c>
      <c r="DD262" s="3">
        <f t="shared" si="39"/>
        <v>2</v>
      </c>
      <c r="DE262" s="3">
        <f t="shared" si="42"/>
        <v>2</v>
      </c>
      <c r="DF262" s="3">
        <f t="shared" si="40"/>
        <v>2</v>
      </c>
      <c r="DG262" s="3">
        <f t="shared" si="41"/>
        <v>2</v>
      </c>
    </row>
    <row r="263" spans="1:111" x14ac:dyDescent="0.4">
      <c r="A263">
        <v>202511</v>
      </c>
      <c r="B263">
        <v>456</v>
      </c>
      <c r="C263" s="5">
        <v>45969.443842592591</v>
      </c>
      <c r="D263" s="5">
        <v>45969.449907407405</v>
      </c>
      <c r="E263" s="3">
        <v>0</v>
      </c>
      <c r="F263" s="4" t="s">
        <v>335</v>
      </c>
      <c r="G263" s="3">
        <v>100</v>
      </c>
      <c r="H263" s="3">
        <v>523</v>
      </c>
      <c r="I263" s="3">
        <v>1</v>
      </c>
      <c r="J263" s="5">
        <v>45969.4499153125</v>
      </c>
      <c r="K263" s="4" t="s">
        <v>334</v>
      </c>
      <c r="L263" s="4" t="s">
        <v>122</v>
      </c>
      <c r="M263" s="4" t="s">
        <v>122</v>
      </c>
      <c r="N263" s="4" t="s">
        <v>122</v>
      </c>
      <c r="O263" s="4" t="s">
        <v>122</v>
      </c>
      <c r="P263" s="3">
        <v>38.575299999999999</v>
      </c>
      <c r="Q263" s="3">
        <v>-90.265100000000004</v>
      </c>
      <c r="R263" s="4" t="s">
        <v>129</v>
      </c>
      <c r="S263" s="4" t="s">
        <v>124</v>
      </c>
      <c r="T263" s="3">
        <v>4</v>
      </c>
      <c r="U263" s="3">
        <v>1</v>
      </c>
      <c r="V263" s="3">
        <v>3</v>
      </c>
      <c r="W263" s="3">
        <v>1</v>
      </c>
      <c r="X263" s="3">
        <v>1</v>
      </c>
      <c r="Y263" s="3">
        <v>2</v>
      </c>
      <c r="Z263" s="3">
        <v>2</v>
      </c>
      <c r="AA263" s="3">
        <v>2</v>
      </c>
      <c r="AB263" s="4" t="s">
        <v>122</v>
      </c>
      <c r="AC263" s="4" t="s">
        <v>122</v>
      </c>
      <c r="AD263" s="4" t="s">
        <v>122</v>
      </c>
      <c r="AE263" s="4" t="s">
        <v>122</v>
      </c>
      <c r="AF263" s="4" t="s">
        <v>122</v>
      </c>
      <c r="AG263" s="3">
        <v>2</v>
      </c>
      <c r="AH263" s="3">
        <v>5</v>
      </c>
      <c r="AI263" s="3">
        <v>2</v>
      </c>
      <c r="AJ263" s="3">
        <v>7</v>
      </c>
      <c r="AK263" s="3">
        <v>8</v>
      </c>
      <c r="AL263" s="3">
        <v>5</v>
      </c>
      <c r="AM263" s="3">
        <v>6</v>
      </c>
      <c r="AN263" s="3">
        <v>8</v>
      </c>
      <c r="AO263" s="3">
        <v>3</v>
      </c>
      <c r="AP263" s="3">
        <v>3</v>
      </c>
      <c r="AQ263" s="3">
        <v>5</v>
      </c>
      <c r="AR263" s="3">
        <v>3</v>
      </c>
      <c r="AS263" s="3">
        <v>5</v>
      </c>
      <c r="AT263" s="3">
        <v>6</v>
      </c>
      <c r="AU263" s="3">
        <v>5</v>
      </c>
      <c r="AV263" s="3">
        <v>5</v>
      </c>
      <c r="AW263" s="3">
        <v>4</v>
      </c>
      <c r="AX263" s="3">
        <v>2</v>
      </c>
      <c r="AY263" s="3">
        <v>3</v>
      </c>
      <c r="AZ263" s="3">
        <v>4.5</v>
      </c>
      <c r="BA263" s="3">
        <v>3</v>
      </c>
      <c r="BB263" s="3">
        <v>4</v>
      </c>
      <c r="BC263" s="3">
        <v>5</v>
      </c>
      <c r="BD263" s="3">
        <v>3</v>
      </c>
      <c r="BE263" s="4" t="s">
        <v>125</v>
      </c>
      <c r="BF263" s="4" t="s">
        <v>122</v>
      </c>
      <c r="BG263" s="4" t="s">
        <v>122</v>
      </c>
      <c r="BH263" s="4" t="s">
        <v>122</v>
      </c>
      <c r="BI263" s="4" t="s">
        <v>122</v>
      </c>
      <c r="BJ263" s="4" t="s">
        <v>122</v>
      </c>
      <c r="BK263" s="4" t="s">
        <v>122</v>
      </c>
      <c r="BL263" s="4" t="s">
        <v>122</v>
      </c>
      <c r="BM263" s="4" t="s">
        <v>122</v>
      </c>
      <c r="BN263" s="4" t="s">
        <v>122</v>
      </c>
      <c r="BO263" s="4" t="s">
        <v>122</v>
      </c>
      <c r="BP263" s="4" t="s">
        <v>122</v>
      </c>
      <c r="BQ263" s="4" t="s">
        <v>122</v>
      </c>
      <c r="BR263" s="4" t="s">
        <v>122</v>
      </c>
      <c r="BS263" s="4" t="s">
        <v>122</v>
      </c>
      <c r="BT263" s="4" t="s">
        <v>122</v>
      </c>
      <c r="BU263" s="4" t="s">
        <v>122</v>
      </c>
      <c r="BV263" s="4" t="s">
        <v>122</v>
      </c>
      <c r="BW263" s="4" t="s">
        <v>122</v>
      </c>
      <c r="BX263" s="4" t="s">
        <v>122</v>
      </c>
      <c r="BY263" s="4" t="s">
        <v>122</v>
      </c>
      <c r="BZ263" s="4" t="s">
        <v>122</v>
      </c>
      <c r="CA263" s="4" t="s">
        <v>122</v>
      </c>
      <c r="CB263" s="4" t="s">
        <v>122</v>
      </c>
      <c r="CC263" s="4" t="s">
        <v>122</v>
      </c>
      <c r="CD263" s="4" t="s">
        <v>122</v>
      </c>
      <c r="CE263" s="4" t="s">
        <v>122</v>
      </c>
      <c r="CF263" s="3">
        <v>2</v>
      </c>
      <c r="CG263" s="4" t="s">
        <v>122</v>
      </c>
      <c r="CH263" s="3">
        <v>2.7</v>
      </c>
      <c r="CI263" s="4" t="s">
        <v>122</v>
      </c>
      <c r="CJ263" s="4" t="s">
        <v>122</v>
      </c>
      <c r="CK263" s="4" t="s">
        <v>122</v>
      </c>
      <c r="CL263" s="4" t="s">
        <v>125</v>
      </c>
      <c r="CM263" s="4" t="s">
        <v>122</v>
      </c>
      <c r="CN263" s="4" t="s">
        <v>122</v>
      </c>
      <c r="CO263" s="4" t="s">
        <v>125</v>
      </c>
      <c r="CP263" s="4" t="s">
        <v>122</v>
      </c>
      <c r="CQ263" s="4" t="s">
        <v>122</v>
      </c>
      <c r="CR263" s="4" t="s">
        <v>122</v>
      </c>
      <c r="CS263" s="3">
        <v>4</v>
      </c>
      <c r="CT263" s="3">
        <v>2</v>
      </c>
      <c r="CU263" s="42">
        <v>2</v>
      </c>
      <c r="CV263" cm="1">
        <f t="array" ref="CV263">_xlfn.IFS(CU263*1=2,1,CU263*1=4,1,TRUE,0)</f>
        <v>1</v>
      </c>
      <c r="CW263" cm="1">
        <f t="array" ref="CW263">_xlfn.IFS(CU263*1=1,1,CU263*1=2,1,TRUE,0)</f>
        <v>1</v>
      </c>
      <c r="CX263" s="3">
        <f t="shared" si="35"/>
        <v>4</v>
      </c>
      <c r="CY263" s="3">
        <f t="shared" si="36"/>
        <v>5</v>
      </c>
      <c r="CZ263" s="3" cm="1">
        <f t="array" ref="CZ263">_xlfn.IFS(BP263&lt;&gt;"", BP263, CV263=1,  AQ263, CV263=0,  AZ263)</f>
        <v>5</v>
      </c>
      <c r="DA263" s="36" cm="1">
        <f t="array" ref="DA263">_xlfn.IFS(BO263&lt;&gt;"", BO263, CV263=0,  AQ263, CV263=1,  AZ263)</f>
        <v>4.5</v>
      </c>
      <c r="DB263" s="36">
        <f t="shared" si="37"/>
        <v>0</v>
      </c>
      <c r="DC263" s="3">
        <f t="shared" si="38"/>
        <v>-1</v>
      </c>
      <c r="DD263" s="3">
        <f t="shared" si="39"/>
        <v>0</v>
      </c>
      <c r="DE263" s="3">
        <f t="shared" si="42"/>
        <v>0</v>
      </c>
      <c r="DF263" s="3">
        <f t="shared" si="40"/>
        <v>-0.5</v>
      </c>
      <c r="DG263" s="3">
        <f t="shared" si="41"/>
        <v>-1</v>
      </c>
    </row>
    <row r="264" spans="1:111" x14ac:dyDescent="0.4">
      <c r="A264">
        <v>202511</v>
      </c>
      <c r="B264">
        <v>123</v>
      </c>
      <c r="C264" s="1">
        <v>45969.447592592594</v>
      </c>
      <c r="D264" s="1">
        <v>45969.451319444444</v>
      </c>
      <c r="E264">
        <v>0</v>
      </c>
      <c r="F264" s="2" t="s">
        <v>180</v>
      </c>
      <c r="G264">
        <v>100</v>
      </c>
      <c r="H264">
        <v>321</v>
      </c>
      <c r="I264">
        <v>1</v>
      </c>
      <c r="J264" s="1">
        <v>45969.451327893519</v>
      </c>
      <c r="K264" s="2" t="s">
        <v>181</v>
      </c>
      <c r="L264" s="2" t="s">
        <v>122</v>
      </c>
      <c r="M264" s="2" t="s">
        <v>122</v>
      </c>
      <c r="N264" s="2" t="s">
        <v>122</v>
      </c>
      <c r="O264" s="2" t="s">
        <v>122</v>
      </c>
      <c r="P264">
        <v>32.194299999999998</v>
      </c>
      <c r="Q264">
        <v>-110.97669999999999</v>
      </c>
      <c r="R264" s="2" t="s">
        <v>129</v>
      </c>
      <c r="S264" s="2" t="s">
        <v>124</v>
      </c>
      <c r="T264">
        <v>4</v>
      </c>
      <c r="U264">
        <v>1</v>
      </c>
      <c r="V264">
        <v>2</v>
      </c>
      <c r="W264">
        <v>2</v>
      </c>
      <c r="X264">
        <v>1</v>
      </c>
      <c r="Y264">
        <v>2</v>
      </c>
      <c r="Z264">
        <v>2</v>
      </c>
      <c r="AA264">
        <v>2</v>
      </c>
      <c r="AB264" s="2" t="s">
        <v>122</v>
      </c>
      <c r="AC264" s="2" t="s">
        <v>122</v>
      </c>
      <c r="AD264" s="2" t="s">
        <v>122</v>
      </c>
      <c r="AE264" s="2" t="s">
        <v>122</v>
      </c>
      <c r="AF264" s="2" t="s">
        <v>122</v>
      </c>
      <c r="AG264">
        <v>2</v>
      </c>
      <c r="AH264">
        <v>6</v>
      </c>
      <c r="AI264">
        <v>2</v>
      </c>
      <c r="AJ264">
        <v>4</v>
      </c>
      <c r="AK264">
        <v>6</v>
      </c>
      <c r="AL264">
        <v>5</v>
      </c>
      <c r="AM264">
        <v>4</v>
      </c>
      <c r="AN264">
        <v>6</v>
      </c>
      <c r="AO264">
        <v>2</v>
      </c>
      <c r="AP264">
        <v>3</v>
      </c>
      <c r="AQ264" s="2" t="s">
        <v>122</v>
      </c>
      <c r="AR264" s="2" t="s">
        <v>122</v>
      </c>
      <c r="AS264">
        <v>5</v>
      </c>
      <c r="AT264">
        <v>5</v>
      </c>
      <c r="AU264">
        <v>6</v>
      </c>
      <c r="AV264">
        <v>5</v>
      </c>
      <c r="AW264">
        <v>6</v>
      </c>
      <c r="AX264">
        <v>3</v>
      </c>
      <c r="AY264">
        <v>3</v>
      </c>
      <c r="AZ264" s="2" t="s">
        <v>122</v>
      </c>
      <c r="BA264" s="2" t="s">
        <v>122</v>
      </c>
      <c r="BB264" s="2" t="s">
        <v>122</v>
      </c>
      <c r="BC264" s="2" t="s">
        <v>122</v>
      </c>
      <c r="BD264" s="2" t="s">
        <v>122</v>
      </c>
      <c r="BE264" s="2" t="s">
        <v>122</v>
      </c>
      <c r="BF264" s="2" t="s">
        <v>122</v>
      </c>
      <c r="BG264" s="2" t="s">
        <v>122</v>
      </c>
      <c r="BH264" s="2" t="s">
        <v>122</v>
      </c>
      <c r="BI264" s="2" t="s">
        <v>122</v>
      </c>
      <c r="BJ264" s="2" t="s">
        <v>122</v>
      </c>
      <c r="BK264" s="2" t="s">
        <v>122</v>
      </c>
      <c r="BL264" s="2" t="s">
        <v>122</v>
      </c>
      <c r="BM264" s="2" t="s">
        <v>122</v>
      </c>
      <c r="BN264" s="2" t="s">
        <v>122</v>
      </c>
      <c r="BO264">
        <v>6</v>
      </c>
      <c r="BP264">
        <v>6</v>
      </c>
      <c r="BQ264">
        <v>2</v>
      </c>
      <c r="BR264" s="2" t="s">
        <v>122</v>
      </c>
      <c r="BS264" s="2" t="s">
        <v>122</v>
      </c>
      <c r="BT264" s="2" t="s">
        <v>122</v>
      </c>
      <c r="BU264" s="2" t="s">
        <v>122</v>
      </c>
      <c r="BV264" s="2" t="s">
        <v>125</v>
      </c>
      <c r="BW264" s="2" t="s">
        <v>122</v>
      </c>
      <c r="BX264" s="2" t="s">
        <v>122</v>
      </c>
      <c r="BY264" s="2" t="s">
        <v>122</v>
      </c>
      <c r="BZ264" s="2" t="s">
        <v>122</v>
      </c>
      <c r="CA264" s="2" t="s">
        <v>122</v>
      </c>
      <c r="CB264">
        <v>6</v>
      </c>
      <c r="CC264">
        <v>2</v>
      </c>
      <c r="CD264">
        <v>6</v>
      </c>
      <c r="CE264">
        <v>2</v>
      </c>
      <c r="CF264">
        <v>1</v>
      </c>
      <c r="CG264" s="2" t="s">
        <v>122</v>
      </c>
      <c r="CH264">
        <v>5</v>
      </c>
      <c r="CI264" s="2" t="s">
        <v>122</v>
      </c>
      <c r="CJ264" s="2" t="s">
        <v>122</v>
      </c>
      <c r="CK264" s="2" t="s">
        <v>122</v>
      </c>
      <c r="CL264" s="2" t="s">
        <v>122</v>
      </c>
      <c r="CM264" s="2" t="s">
        <v>122</v>
      </c>
      <c r="CN264" s="2" t="s">
        <v>122</v>
      </c>
      <c r="CO264" s="2" t="s">
        <v>125</v>
      </c>
      <c r="CP264" s="2" t="s">
        <v>122</v>
      </c>
      <c r="CQ264" s="2" t="s">
        <v>122</v>
      </c>
      <c r="CR264" s="2" t="s">
        <v>122</v>
      </c>
      <c r="CS264">
        <v>5</v>
      </c>
      <c r="CT264">
        <v>5</v>
      </c>
      <c r="CU264" s="43">
        <v>3</v>
      </c>
      <c r="CV264" cm="1">
        <f t="array" ref="CV264">_xlfn.IFS(CU264*1=2,1,CU264*1=4,1,TRUE,0)</f>
        <v>0</v>
      </c>
      <c r="CW264" cm="1">
        <f t="array" ref="CW264">_xlfn.IFS(CU264*1=1,1,CU264*1=2,1,TRUE,0)</f>
        <v>0</v>
      </c>
      <c r="CX264" s="3">
        <f t="shared" si="35"/>
        <v>6</v>
      </c>
      <c r="CY264" s="3">
        <f t="shared" si="36"/>
        <v>6</v>
      </c>
      <c r="CZ264" s="3" cm="1">
        <f t="array" ref="CZ264">_xlfn.IFS(BP264&lt;&gt;"", BP264, CV264=1,  AQ264, CV264=0,  AZ264)</f>
        <v>6</v>
      </c>
      <c r="DA264" s="36" cm="1">
        <f t="array" ref="DA264">_xlfn.IFS(BO264&lt;&gt;"", BO264, CV264=0,  AQ264, CV264=1,  AZ264)</f>
        <v>6</v>
      </c>
      <c r="DB264" s="36">
        <f t="shared" si="37"/>
        <v>0</v>
      </c>
      <c r="DC264" s="3">
        <f t="shared" si="38"/>
        <v>0</v>
      </c>
      <c r="DD264" s="3">
        <f t="shared" si="39"/>
        <v>0</v>
      </c>
      <c r="DE264" s="3">
        <f t="shared" si="42"/>
        <v>0</v>
      </c>
      <c r="DF264" s="3">
        <f t="shared" si="40"/>
        <v>0</v>
      </c>
      <c r="DG264" s="3">
        <f t="shared" si="41"/>
        <v>0</v>
      </c>
    </row>
    <row r="265" spans="1:111" x14ac:dyDescent="0.4">
      <c r="A265">
        <v>202511</v>
      </c>
      <c r="B265">
        <v>123</v>
      </c>
      <c r="C265" s="1">
        <v>45969.44872685185</v>
      </c>
      <c r="D265" s="1">
        <v>45969.452974537038</v>
      </c>
      <c r="E265">
        <v>0</v>
      </c>
      <c r="F265" s="2" t="s">
        <v>184</v>
      </c>
      <c r="G265">
        <v>100</v>
      </c>
      <c r="H265">
        <v>366</v>
      </c>
      <c r="I265">
        <v>1</v>
      </c>
      <c r="J265" s="1">
        <v>45969.452983333336</v>
      </c>
      <c r="K265" s="2" t="s">
        <v>185</v>
      </c>
      <c r="L265" s="2" t="s">
        <v>122</v>
      </c>
      <c r="M265" s="2" t="s">
        <v>122</v>
      </c>
      <c r="N265" s="2" t="s">
        <v>122</v>
      </c>
      <c r="O265" s="2" t="s">
        <v>122</v>
      </c>
      <c r="P265">
        <v>33.453200000000002</v>
      </c>
      <c r="Q265">
        <v>-112.0748</v>
      </c>
      <c r="R265" s="2" t="s">
        <v>129</v>
      </c>
      <c r="S265" s="2" t="s">
        <v>124</v>
      </c>
      <c r="T265">
        <v>4</v>
      </c>
      <c r="U265">
        <v>1</v>
      </c>
      <c r="V265">
        <v>2</v>
      </c>
      <c r="W265">
        <v>5</v>
      </c>
      <c r="X265">
        <v>1</v>
      </c>
      <c r="Y265">
        <v>1</v>
      </c>
      <c r="Z265">
        <v>1</v>
      </c>
      <c r="AA265">
        <v>1</v>
      </c>
      <c r="AB265" s="2" t="s">
        <v>122</v>
      </c>
      <c r="AC265" s="2" t="s">
        <v>122</v>
      </c>
      <c r="AD265" s="2" t="s">
        <v>122</v>
      </c>
      <c r="AE265" s="2" t="s">
        <v>122</v>
      </c>
      <c r="AF265" s="2" t="s">
        <v>122</v>
      </c>
      <c r="AG265">
        <v>4</v>
      </c>
      <c r="AH265">
        <v>0</v>
      </c>
      <c r="AI265" s="2" t="s">
        <v>122</v>
      </c>
      <c r="AJ265">
        <v>4</v>
      </c>
      <c r="AK265">
        <v>8</v>
      </c>
      <c r="AL265">
        <v>6</v>
      </c>
      <c r="AM265">
        <v>4</v>
      </c>
      <c r="AN265">
        <v>6</v>
      </c>
      <c r="AO265">
        <v>2</v>
      </c>
      <c r="AP265">
        <v>3</v>
      </c>
      <c r="AQ265" s="2" t="s">
        <v>122</v>
      </c>
      <c r="AR265" s="2" t="s">
        <v>122</v>
      </c>
      <c r="AS265">
        <v>2</v>
      </c>
      <c r="AT265">
        <v>6</v>
      </c>
      <c r="AU265">
        <v>5</v>
      </c>
      <c r="AV265">
        <v>2</v>
      </c>
      <c r="AW265">
        <v>2</v>
      </c>
      <c r="AX265">
        <v>2</v>
      </c>
      <c r="AY265">
        <v>3</v>
      </c>
      <c r="AZ265" s="2" t="s">
        <v>122</v>
      </c>
      <c r="BA265" s="2" t="s">
        <v>122</v>
      </c>
      <c r="BB265" s="2" t="s">
        <v>122</v>
      </c>
      <c r="BC265" s="2" t="s">
        <v>122</v>
      </c>
      <c r="BD265" s="2" t="s">
        <v>122</v>
      </c>
      <c r="BE265" s="2" t="s">
        <v>122</v>
      </c>
      <c r="BF265" s="2" t="s">
        <v>122</v>
      </c>
      <c r="BG265" s="2" t="s">
        <v>122</v>
      </c>
      <c r="BH265" s="2" t="s">
        <v>122</v>
      </c>
      <c r="BI265" s="2" t="s">
        <v>122</v>
      </c>
      <c r="BJ265" s="2" t="s">
        <v>122</v>
      </c>
      <c r="BK265" s="2" t="s">
        <v>122</v>
      </c>
      <c r="BL265" s="2" t="s">
        <v>122</v>
      </c>
      <c r="BM265" s="2" t="s">
        <v>122</v>
      </c>
      <c r="BN265" s="2" t="s">
        <v>122</v>
      </c>
      <c r="BO265">
        <v>0</v>
      </c>
      <c r="BP265">
        <v>0</v>
      </c>
      <c r="BQ265">
        <v>3</v>
      </c>
      <c r="BR265" s="2" t="s">
        <v>125</v>
      </c>
      <c r="BS265" s="2" t="s">
        <v>122</v>
      </c>
      <c r="BT265" s="2" t="s">
        <v>122</v>
      </c>
      <c r="BU265" s="2" t="s">
        <v>122</v>
      </c>
      <c r="BV265" s="2" t="s">
        <v>122</v>
      </c>
      <c r="BW265" s="2" t="s">
        <v>122</v>
      </c>
      <c r="BX265" s="2" t="s">
        <v>122</v>
      </c>
      <c r="BY265" s="2" t="s">
        <v>122</v>
      </c>
      <c r="BZ265" s="2" t="s">
        <v>122</v>
      </c>
      <c r="CA265" s="2" t="s">
        <v>122</v>
      </c>
      <c r="CB265">
        <v>0</v>
      </c>
      <c r="CC265" s="2" t="s">
        <v>122</v>
      </c>
      <c r="CD265">
        <v>0</v>
      </c>
      <c r="CE265" s="2" t="s">
        <v>122</v>
      </c>
      <c r="CF265">
        <v>1</v>
      </c>
      <c r="CG265" s="2" t="s">
        <v>122</v>
      </c>
      <c r="CH265">
        <v>2.7</v>
      </c>
      <c r="CI265" s="2" t="s">
        <v>122</v>
      </c>
      <c r="CJ265" s="2" t="s">
        <v>122</v>
      </c>
      <c r="CK265" s="2" t="s">
        <v>122</v>
      </c>
      <c r="CL265" s="2" t="s">
        <v>122</v>
      </c>
      <c r="CM265" s="2" t="s">
        <v>122</v>
      </c>
      <c r="CN265" s="2" t="s">
        <v>122</v>
      </c>
      <c r="CO265" s="2" t="s">
        <v>125</v>
      </c>
      <c r="CP265" s="2" t="s">
        <v>122</v>
      </c>
      <c r="CQ265" s="2" t="s">
        <v>122</v>
      </c>
      <c r="CR265" s="2" t="s">
        <v>122</v>
      </c>
      <c r="CS265">
        <v>4</v>
      </c>
      <c r="CT265">
        <v>3</v>
      </c>
      <c r="CU265" s="43">
        <v>3</v>
      </c>
      <c r="CV265" cm="1">
        <f t="array" ref="CV265">_xlfn.IFS(CU265*1=2,1,CU265*1=4,1,TRUE,0)</f>
        <v>0</v>
      </c>
      <c r="CW265" cm="1">
        <f t="array" ref="CW265">_xlfn.IFS(CU265*1=1,1,CU265*1=2,1,TRUE,0)</f>
        <v>0</v>
      </c>
      <c r="CX265" s="3">
        <f t="shared" si="35"/>
        <v>0</v>
      </c>
      <c r="CY265" s="3">
        <f t="shared" si="36"/>
        <v>0</v>
      </c>
      <c r="CZ265" s="3" cm="1">
        <f t="array" ref="CZ265">_xlfn.IFS(BP265&lt;&gt;"", BP265, CV265=1,  AQ265, CV265=0,  AZ265)</f>
        <v>0</v>
      </c>
      <c r="DA265" s="36" cm="1">
        <f t="array" ref="DA265">_xlfn.IFS(BO265&lt;&gt;"", BO265, CV265=0,  AQ265, CV265=1,  AZ265)</f>
        <v>0</v>
      </c>
      <c r="DB265" s="36">
        <f t="shared" si="37"/>
        <v>0</v>
      </c>
      <c r="DC265" s="3">
        <f t="shared" si="38"/>
        <v>0</v>
      </c>
      <c r="DD265" s="3">
        <f t="shared" si="39"/>
        <v>0</v>
      </c>
      <c r="DE265" s="3">
        <f t="shared" si="42"/>
        <v>0</v>
      </c>
      <c r="DF265" s="3">
        <f t="shared" si="40"/>
        <v>0</v>
      </c>
      <c r="DG265" s="3">
        <f t="shared" si="41"/>
        <v>0</v>
      </c>
    </row>
    <row r="266" spans="1:111" x14ac:dyDescent="0.4">
      <c r="A266">
        <v>202511</v>
      </c>
      <c r="B266">
        <v>456</v>
      </c>
      <c r="C266" s="5">
        <v>45969.449062500003</v>
      </c>
      <c r="D266" s="5">
        <v>45969.455046296294</v>
      </c>
      <c r="E266" s="3">
        <v>0</v>
      </c>
      <c r="F266" s="4" t="s">
        <v>127</v>
      </c>
      <c r="G266" s="3">
        <v>100</v>
      </c>
      <c r="H266" s="3">
        <v>516</v>
      </c>
      <c r="I266" s="3">
        <v>1</v>
      </c>
      <c r="J266" s="5">
        <v>45969.455060729168</v>
      </c>
      <c r="K266" s="4" t="s">
        <v>332</v>
      </c>
      <c r="L266" s="4" t="s">
        <v>122</v>
      </c>
      <c r="M266" s="4" t="s">
        <v>122</v>
      </c>
      <c r="N266" s="4" t="s">
        <v>122</v>
      </c>
      <c r="O266" s="4" t="s">
        <v>122</v>
      </c>
      <c r="P266" s="3">
        <v>34.077199999999998</v>
      </c>
      <c r="Q266" s="3">
        <v>-117.45059999999999</v>
      </c>
      <c r="R266" s="4" t="s">
        <v>129</v>
      </c>
      <c r="S266" s="4" t="s">
        <v>124</v>
      </c>
      <c r="T266" s="3">
        <v>4</v>
      </c>
      <c r="U266" s="3">
        <v>1</v>
      </c>
      <c r="V266" s="3">
        <v>5</v>
      </c>
      <c r="W266" s="3">
        <v>1</v>
      </c>
      <c r="X266" s="3">
        <v>1</v>
      </c>
      <c r="Y266" s="3">
        <v>3</v>
      </c>
      <c r="Z266" s="3">
        <v>3</v>
      </c>
      <c r="AA266" s="3">
        <v>1</v>
      </c>
      <c r="AB266" s="4" t="s">
        <v>122</v>
      </c>
      <c r="AC266" s="4" t="s">
        <v>122</v>
      </c>
      <c r="AD266" s="4" t="s">
        <v>122</v>
      </c>
      <c r="AE266" s="4" t="s">
        <v>122</v>
      </c>
      <c r="AF266" s="4" t="s">
        <v>122</v>
      </c>
      <c r="AG266" s="3">
        <v>4</v>
      </c>
      <c r="AH266" s="3">
        <v>5</v>
      </c>
      <c r="AI266" s="3">
        <v>3</v>
      </c>
      <c r="AJ266" s="3">
        <v>8</v>
      </c>
      <c r="AK266" s="3">
        <v>7</v>
      </c>
      <c r="AL266" s="3">
        <v>7</v>
      </c>
      <c r="AM266" s="3">
        <v>8</v>
      </c>
      <c r="AN266" s="3">
        <v>6</v>
      </c>
      <c r="AO266" s="3">
        <v>2</v>
      </c>
      <c r="AP266" s="3">
        <v>2</v>
      </c>
      <c r="AQ266" s="3">
        <v>5</v>
      </c>
      <c r="AR266" s="3">
        <v>3</v>
      </c>
      <c r="AS266" s="3">
        <v>7</v>
      </c>
      <c r="AT266" s="3">
        <v>7</v>
      </c>
      <c r="AU266" s="3">
        <v>6</v>
      </c>
      <c r="AV266" s="3">
        <v>7</v>
      </c>
      <c r="AW266" s="3">
        <v>7</v>
      </c>
      <c r="AX266" s="3">
        <v>2</v>
      </c>
      <c r="AY266" s="3">
        <v>2</v>
      </c>
      <c r="AZ266" s="3">
        <v>5</v>
      </c>
      <c r="BA266" s="3">
        <v>3</v>
      </c>
      <c r="BB266" s="3">
        <v>5</v>
      </c>
      <c r="BC266" s="3">
        <v>5</v>
      </c>
      <c r="BD266" s="3">
        <v>3</v>
      </c>
      <c r="BE266" s="4" t="s">
        <v>125</v>
      </c>
      <c r="BF266" s="4" t="s">
        <v>122</v>
      </c>
      <c r="BG266" s="4" t="s">
        <v>122</v>
      </c>
      <c r="BH266" s="4" t="s">
        <v>122</v>
      </c>
      <c r="BI266" s="4" t="s">
        <v>122</v>
      </c>
      <c r="BJ266" s="4" t="s">
        <v>122</v>
      </c>
      <c r="BK266" s="4" t="s">
        <v>122</v>
      </c>
      <c r="BL266" s="4" t="s">
        <v>122</v>
      </c>
      <c r="BM266" s="4" t="s">
        <v>122</v>
      </c>
      <c r="BN266" s="4" t="s">
        <v>122</v>
      </c>
      <c r="BO266" s="4" t="s">
        <v>122</v>
      </c>
      <c r="BP266" s="4" t="s">
        <v>122</v>
      </c>
      <c r="BQ266" s="4" t="s">
        <v>122</v>
      </c>
      <c r="BR266" s="4" t="s">
        <v>122</v>
      </c>
      <c r="BS266" s="4" t="s">
        <v>122</v>
      </c>
      <c r="BT266" s="4" t="s">
        <v>122</v>
      </c>
      <c r="BU266" s="4" t="s">
        <v>122</v>
      </c>
      <c r="BV266" s="4" t="s">
        <v>122</v>
      </c>
      <c r="BW266" s="4" t="s">
        <v>122</v>
      </c>
      <c r="BX266" s="4" t="s">
        <v>122</v>
      </c>
      <c r="BY266" s="4" t="s">
        <v>122</v>
      </c>
      <c r="BZ266" s="4" t="s">
        <v>122</v>
      </c>
      <c r="CA266" s="4" t="s">
        <v>122</v>
      </c>
      <c r="CB266" s="4" t="s">
        <v>122</v>
      </c>
      <c r="CC266" s="4" t="s">
        <v>122</v>
      </c>
      <c r="CD266" s="4" t="s">
        <v>122</v>
      </c>
      <c r="CE266" s="4" t="s">
        <v>122</v>
      </c>
      <c r="CF266" s="3">
        <v>1</v>
      </c>
      <c r="CG266" s="4" t="s">
        <v>122</v>
      </c>
      <c r="CH266" s="3">
        <v>5</v>
      </c>
      <c r="CI266" s="4" t="s">
        <v>122</v>
      </c>
      <c r="CJ266" s="4" t="s">
        <v>122</v>
      </c>
      <c r="CK266" s="4" t="s">
        <v>122</v>
      </c>
      <c r="CL266" s="4" t="s">
        <v>122</v>
      </c>
      <c r="CM266" s="4" t="s">
        <v>122</v>
      </c>
      <c r="CN266" s="4" t="s">
        <v>122</v>
      </c>
      <c r="CO266" s="4" t="s">
        <v>125</v>
      </c>
      <c r="CP266" s="4" t="s">
        <v>122</v>
      </c>
      <c r="CQ266" s="4" t="s">
        <v>122</v>
      </c>
      <c r="CR266" s="4" t="s">
        <v>122</v>
      </c>
      <c r="CS266" s="3">
        <v>4</v>
      </c>
      <c r="CT266" s="3">
        <v>4</v>
      </c>
      <c r="CU266" s="42">
        <v>2</v>
      </c>
      <c r="CV266" cm="1">
        <f t="array" ref="CV266">_xlfn.IFS(CU266*1=2,1,CU266*1=4,1,TRUE,0)</f>
        <v>1</v>
      </c>
      <c r="CW266" cm="1">
        <f t="array" ref="CW266">_xlfn.IFS(CU266*1=1,1,CU266*1=2,1,TRUE,0)</f>
        <v>1</v>
      </c>
      <c r="CX266" s="3">
        <f t="shared" si="35"/>
        <v>5</v>
      </c>
      <c r="CY266" s="3">
        <f t="shared" si="36"/>
        <v>5</v>
      </c>
      <c r="CZ266" s="3" cm="1">
        <f t="array" ref="CZ266">_xlfn.IFS(BP266&lt;&gt;"", BP266, CV266=1,  AQ266, CV266=0,  AZ266)</f>
        <v>5</v>
      </c>
      <c r="DA266" s="36" cm="1">
        <f t="array" ref="DA266">_xlfn.IFS(BO266&lt;&gt;"", BO266, CV266=0,  AQ266, CV266=1,  AZ266)</f>
        <v>5</v>
      </c>
      <c r="DB266" s="36">
        <f t="shared" si="37"/>
        <v>0</v>
      </c>
      <c r="DC266" s="3">
        <f t="shared" si="38"/>
        <v>0</v>
      </c>
      <c r="DD266" s="3">
        <f t="shared" si="39"/>
        <v>0</v>
      </c>
      <c r="DE266" s="3">
        <f t="shared" si="42"/>
        <v>0</v>
      </c>
      <c r="DF266" s="3">
        <f t="shared" si="40"/>
        <v>0</v>
      </c>
      <c r="DG266" s="3">
        <f t="shared" si="41"/>
        <v>0</v>
      </c>
    </row>
    <row r="267" spans="1:111" x14ac:dyDescent="0.4">
      <c r="A267">
        <v>202511</v>
      </c>
      <c r="B267">
        <v>123</v>
      </c>
      <c r="C267" s="1">
        <v>45969.449143518519</v>
      </c>
      <c r="D267" s="1">
        <v>45969.452789351853</v>
      </c>
      <c r="E267">
        <v>0</v>
      </c>
      <c r="F267" s="2" t="s">
        <v>182</v>
      </c>
      <c r="G267">
        <v>100</v>
      </c>
      <c r="H267">
        <v>315</v>
      </c>
      <c r="I267">
        <v>1</v>
      </c>
      <c r="J267" s="1">
        <v>45969.452800752311</v>
      </c>
      <c r="K267" s="2" t="s">
        <v>183</v>
      </c>
      <c r="L267" s="2" t="s">
        <v>122</v>
      </c>
      <c r="M267" s="2" t="s">
        <v>122</v>
      </c>
      <c r="N267" s="2" t="s">
        <v>122</v>
      </c>
      <c r="O267" s="2" t="s">
        <v>122</v>
      </c>
      <c r="P267">
        <v>33.453200000000002</v>
      </c>
      <c r="Q267">
        <v>-112.0748</v>
      </c>
      <c r="R267" s="2" t="s">
        <v>129</v>
      </c>
      <c r="S267" s="2" t="s">
        <v>124</v>
      </c>
      <c r="T267">
        <v>4</v>
      </c>
      <c r="U267">
        <v>1</v>
      </c>
      <c r="V267">
        <v>4</v>
      </c>
      <c r="W267">
        <v>2</v>
      </c>
      <c r="X267">
        <v>3</v>
      </c>
      <c r="Y267">
        <v>4</v>
      </c>
      <c r="Z267">
        <v>5</v>
      </c>
      <c r="AA267">
        <v>4</v>
      </c>
      <c r="AB267" s="2" t="s">
        <v>122</v>
      </c>
      <c r="AC267" s="2" t="s">
        <v>125</v>
      </c>
      <c r="AD267" s="2" t="s">
        <v>122</v>
      </c>
      <c r="AE267" s="2" t="s">
        <v>122</v>
      </c>
      <c r="AF267" s="2" t="s">
        <v>122</v>
      </c>
      <c r="AG267">
        <v>4</v>
      </c>
      <c r="AH267">
        <v>6</v>
      </c>
      <c r="AI267">
        <v>3</v>
      </c>
      <c r="AJ267">
        <v>8</v>
      </c>
      <c r="AK267">
        <v>7</v>
      </c>
      <c r="AL267">
        <v>8</v>
      </c>
      <c r="AM267">
        <v>8</v>
      </c>
      <c r="AN267">
        <v>7</v>
      </c>
      <c r="AO267">
        <v>3</v>
      </c>
      <c r="AP267">
        <v>3</v>
      </c>
      <c r="AQ267">
        <v>6</v>
      </c>
      <c r="AR267">
        <v>3</v>
      </c>
      <c r="AS267">
        <v>7</v>
      </c>
      <c r="AT267">
        <v>8</v>
      </c>
      <c r="AU267">
        <v>8</v>
      </c>
      <c r="AV267">
        <v>7</v>
      </c>
      <c r="AW267">
        <v>7</v>
      </c>
      <c r="AX267">
        <v>4</v>
      </c>
      <c r="AY267">
        <v>3</v>
      </c>
      <c r="AZ267">
        <v>5</v>
      </c>
      <c r="BA267">
        <v>2</v>
      </c>
      <c r="BB267">
        <v>6</v>
      </c>
      <c r="BC267">
        <v>6</v>
      </c>
      <c r="BD267">
        <v>2</v>
      </c>
      <c r="BE267" s="2" t="s">
        <v>125</v>
      </c>
      <c r="BF267" s="2" t="s">
        <v>122</v>
      </c>
      <c r="BG267" s="2" t="s">
        <v>122</v>
      </c>
      <c r="BH267" s="2" t="s">
        <v>122</v>
      </c>
      <c r="BI267" s="2" t="s">
        <v>122</v>
      </c>
      <c r="BJ267" s="2" t="s">
        <v>122</v>
      </c>
      <c r="BK267" s="2" t="s">
        <v>122</v>
      </c>
      <c r="BL267" s="2" t="s">
        <v>122</v>
      </c>
      <c r="BM267" s="2" t="s">
        <v>122</v>
      </c>
      <c r="BN267" s="2" t="s">
        <v>122</v>
      </c>
      <c r="BO267" s="2" t="s">
        <v>122</v>
      </c>
      <c r="BP267" s="2" t="s">
        <v>122</v>
      </c>
      <c r="BQ267" s="2" t="s">
        <v>122</v>
      </c>
      <c r="BR267" s="2" t="s">
        <v>122</v>
      </c>
      <c r="BS267" s="2" t="s">
        <v>122</v>
      </c>
      <c r="BT267" s="2" t="s">
        <v>122</v>
      </c>
      <c r="BU267" s="2" t="s">
        <v>122</v>
      </c>
      <c r="BV267" s="2" t="s">
        <v>122</v>
      </c>
      <c r="BW267" s="2" t="s">
        <v>122</v>
      </c>
      <c r="BX267" s="2" t="s">
        <v>122</v>
      </c>
      <c r="BY267" s="2" t="s">
        <v>122</v>
      </c>
      <c r="BZ267" s="2" t="s">
        <v>122</v>
      </c>
      <c r="CA267" s="2" t="s">
        <v>122</v>
      </c>
      <c r="CB267" s="2" t="s">
        <v>122</v>
      </c>
      <c r="CC267" s="2" t="s">
        <v>122</v>
      </c>
      <c r="CD267" s="2" t="s">
        <v>122</v>
      </c>
      <c r="CE267" s="2" t="s">
        <v>122</v>
      </c>
      <c r="CF267">
        <v>2</v>
      </c>
      <c r="CG267" s="2" t="s">
        <v>122</v>
      </c>
      <c r="CH267">
        <v>4</v>
      </c>
      <c r="CI267" s="2" t="s">
        <v>122</v>
      </c>
      <c r="CJ267" s="2" t="s">
        <v>122</v>
      </c>
      <c r="CK267" s="2" t="s">
        <v>122</v>
      </c>
      <c r="CL267" s="2" t="s">
        <v>122</v>
      </c>
      <c r="CM267" s="2" t="s">
        <v>122</v>
      </c>
      <c r="CN267" s="2" t="s">
        <v>122</v>
      </c>
      <c r="CO267" s="2" t="s">
        <v>125</v>
      </c>
      <c r="CP267" s="2" t="s">
        <v>122</v>
      </c>
      <c r="CQ267" s="2" t="s">
        <v>122</v>
      </c>
      <c r="CR267" s="2" t="s">
        <v>122</v>
      </c>
      <c r="CS267">
        <v>4</v>
      </c>
      <c r="CT267">
        <v>6</v>
      </c>
      <c r="CU267" s="43">
        <v>1</v>
      </c>
      <c r="CV267" cm="1">
        <f t="array" ref="CV267">_xlfn.IFS(CU267*1=2,1,CU267*1=4,1,TRUE,0)</f>
        <v>0</v>
      </c>
      <c r="CW267" cm="1">
        <f t="array" ref="CW267">_xlfn.IFS(CU267*1=1,1,CU267*1=2,1,TRUE,0)</f>
        <v>1</v>
      </c>
      <c r="CX267" s="3">
        <f t="shared" si="35"/>
        <v>6</v>
      </c>
      <c r="CY267" s="3">
        <f t="shared" si="36"/>
        <v>6</v>
      </c>
      <c r="CZ267" s="3" cm="1">
        <f t="array" ref="CZ267">_xlfn.IFS(BP267&lt;&gt;"", BP267, CV267=1,  AQ267, CV267=0,  AZ267)</f>
        <v>5</v>
      </c>
      <c r="DA267" s="36" cm="1">
        <f t="array" ref="DA267">_xlfn.IFS(BO267&lt;&gt;"", BO267, CV267=0,  AQ267, CV267=1,  AZ267)</f>
        <v>6</v>
      </c>
      <c r="DB267" s="36">
        <f t="shared" si="37"/>
        <v>0</v>
      </c>
      <c r="DC267" s="3">
        <f t="shared" si="38"/>
        <v>0</v>
      </c>
      <c r="DD267" s="3">
        <f t="shared" si="39"/>
        <v>-1</v>
      </c>
      <c r="DE267" s="3">
        <f t="shared" si="42"/>
        <v>0</v>
      </c>
      <c r="DF267" s="3">
        <f t="shared" si="40"/>
        <v>0</v>
      </c>
      <c r="DG267" s="3">
        <f t="shared" si="41"/>
        <v>0</v>
      </c>
    </row>
    <row r="268" spans="1:111" x14ac:dyDescent="0.4">
      <c r="A268">
        <v>202511</v>
      </c>
      <c r="B268">
        <v>456</v>
      </c>
      <c r="C268" s="5">
        <v>45969.449490740742</v>
      </c>
      <c r="D268" s="5">
        <v>45969.452650462961</v>
      </c>
      <c r="E268" s="3">
        <v>0</v>
      </c>
      <c r="F268" s="4" t="s">
        <v>327</v>
      </c>
      <c r="G268" s="3">
        <v>100</v>
      </c>
      <c r="H268" s="3">
        <v>273</v>
      </c>
      <c r="I268" s="3">
        <v>1</v>
      </c>
      <c r="J268" s="5">
        <v>45969.452657581016</v>
      </c>
      <c r="K268" s="4" t="s">
        <v>333</v>
      </c>
      <c r="L268" s="4" t="s">
        <v>122</v>
      </c>
      <c r="M268" s="4" t="s">
        <v>122</v>
      </c>
      <c r="N268" s="4" t="s">
        <v>122</v>
      </c>
      <c r="O268" s="4" t="s">
        <v>122</v>
      </c>
      <c r="P268" s="3">
        <v>32.250300000000003</v>
      </c>
      <c r="Q268" s="3">
        <v>-110.94499999999999</v>
      </c>
      <c r="R268" s="4" t="s">
        <v>129</v>
      </c>
      <c r="S268" s="4" t="s">
        <v>124</v>
      </c>
      <c r="T268" s="3">
        <v>4</v>
      </c>
      <c r="U268" s="3">
        <v>1</v>
      </c>
      <c r="V268" s="3">
        <v>5</v>
      </c>
      <c r="W268" s="3">
        <v>1</v>
      </c>
      <c r="X268" s="3">
        <v>3</v>
      </c>
      <c r="Y268" s="3">
        <v>2</v>
      </c>
      <c r="Z268" s="3">
        <v>2</v>
      </c>
      <c r="AA268" s="3">
        <v>3</v>
      </c>
      <c r="AB268" s="4" t="s">
        <v>122</v>
      </c>
      <c r="AC268" s="4" t="s">
        <v>125</v>
      </c>
      <c r="AD268" s="4" t="s">
        <v>122</v>
      </c>
      <c r="AE268" s="4" t="s">
        <v>122</v>
      </c>
      <c r="AF268" s="4" t="s">
        <v>125</v>
      </c>
      <c r="AG268" s="3">
        <v>1</v>
      </c>
      <c r="AH268" s="3">
        <v>6</v>
      </c>
      <c r="AI268" s="3">
        <v>2</v>
      </c>
      <c r="AJ268" s="3">
        <v>8</v>
      </c>
      <c r="AK268" s="3">
        <v>8</v>
      </c>
      <c r="AL268" s="3">
        <v>5</v>
      </c>
      <c r="AM268" s="3">
        <v>8</v>
      </c>
      <c r="AN268" s="3">
        <v>9</v>
      </c>
      <c r="AO268" s="3">
        <v>3</v>
      </c>
      <c r="AP268" s="3">
        <v>3</v>
      </c>
      <c r="AQ268" s="4" t="s">
        <v>122</v>
      </c>
      <c r="AR268" s="4" t="s">
        <v>122</v>
      </c>
      <c r="AS268" s="3">
        <v>4</v>
      </c>
      <c r="AT268" s="3">
        <v>8</v>
      </c>
      <c r="AU268" s="3">
        <v>5</v>
      </c>
      <c r="AV268" s="3">
        <v>5</v>
      </c>
      <c r="AW268" s="3">
        <v>4</v>
      </c>
      <c r="AX268" s="3">
        <v>1</v>
      </c>
      <c r="AY268" s="3">
        <v>1</v>
      </c>
      <c r="AZ268" s="4" t="s">
        <v>122</v>
      </c>
      <c r="BA268" s="4" t="s">
        <v>122</v>
      </c>
      <c r="BB268" s="4" t="s">
        <v>122</v>
      </c>
      <c r="BC268" s="4" t="s">
        <v>122</v>
      </c>
      <c r="BD268" s="4" t="s">
        <v>122</v>
      </c>
      <c r="BE268" s="4" t="s">
        <v>122</v>
      </c>
      <c r="BF268" s="4" t="s">
        <v>122</v>
      </c>
      <c r="BG268" s="4" t="s">
        <v>122</v>
      </c>
      <c r="BH268" s="4" t="s">
        <v>122</v>
      </c>
      <c r="BI268" s="4" t="s">
        <v>122</v>
      </c>
      <c r="BJ268" s="4" t="s">
        <v>122</v>
      </c>
      <c r="BK268" s="4" t="s">
        <v>122</v>
      </c>
      <c r="BL268" s="4" t="s">
        <v>122</v>
      </c>
      <c r="BM268" s="4" t="s">
        <v>122</v>
      </c>
      <c r="BN268" s="4" t="s">
        <v>122</v>
      </c>
      <c r="BO268" s="3">
        <v>6</v>
      </c>
      <c r="BP268" s="3">
        <v>6</v>
      </c>
      <c r="BQ268" s="3">
        <v>2</v>
      </c>
      <c r="BR268" s="4" t="s">
        <v>122</v>
      </c>
      <c r="BS268" s="4" t="s">
        <v>122</v>
      </c>
      <c r="BT268" s="4" t="s">
        <v>122</v>
      </c>
      <c r="BU268" s="4" t="s">
        <v>122</v>
      </c>
      <c r="BV268" s="4" t="s">
        <v>122</v>
      </c>
      <c r="BW268" s="4" t="s">
        <v>122</v>
      </c>
      <c r="BX268" s="4" t="s">
        <v>122</v>
      </c>
      <c r="BY268" s="4" t="s">
        <v>122</v>
      </c>
      <c r="BZ268" s="4" t="s">
        <v>125</v>
      </c>
      <c r="CA268" s="4" t="s">
        <v>122</v>
      </c>
      <c r="CB268" s="3">
        <v>0</v>
      </c>
      <c r="CC268" s="4" t="s">
        <v>122</v>
      </c>
      <c r="CD268" s="3">
        <v>6</v>
      </c>
      <c r="CE268" s="3">
        <v>3</v>
      </c>
      <c r="CF268" s="3">
        <v>2</v>
      </c>
      <c r="CG268" s="4" t="s">
        <v>122</v>
      </c>
      <c r="CH268" s="3">
        <v>3</v>
      </c>
      <c r="CI268" s="4" t="s">
        <v>122</v>
      </c>
      <c r="CJ268" s="4" t="s">
        <v>122</v>
      </c>
      <c r="CK268" s="4" t="s">
        <v>122</v>
      </c>
      <c r="CL268" s="4" t="s">
        <v>122</v>
      </c>
      <c r="CM268" s="4" t="s">
        <v>122</v>
      </c>
      <c r="CN268" s="4" t="s">
        <v>122</v>
      </c>
      <c r="CO268" s="4" t="s">
        <v>125</v>
      </c>
      <c r="CP268" s="4" t="s">
        <v>122</v>
      </c>
      <c r="CQ268" s="4" t="s">
        <v>122</v>
      </c>
      <c r="CR268" s="4" t="s">
        <v>122</v>
      </c>
      <c r="CS268" s="3">
        <v>5</v>
      </c>
      <c r="CT268" s="3">
        <v>6</v>
      </c>
      <c r="CU268" s="42">
        <v>4</v>
      </c>
      <c r="CV268" cm="1">
        <f t="array" ref="CV268">_xlfn.IFS(CU268*1=2,1,CU268*1=4,1,TRUE,0)</f>
        <v>1</v>
      </c>
      <c r="CW268" cm="1">
        <f t="array" ref="CW268">_xlfn.IFS(CU268*1=1,1,CU268*1=2,1,TRUE,0)</f>
        <v>0</v>
      </c>
      <c r="CX268" s="3">
        <f t="shared" si="35"/>
        <v>0</v>
      </c>
      <c r="CY268" s="3">
        <f t="shared" si="36"/>
        <v>6</v>
      </c>
      <c r="CZ268" s="3" cm="1">
        <f t="array" ref="CZ268">_xlfn.IFS(BP268&lt;&gt;"", BP268, CV268=1,  AQ268, CV268=0,  AZ268)</f>
        <v>6</v>
      </c>
      <c r="DA268" s="36" cm="1">
        <f t="array" ref="DA268">_xlfn.IFS(BO268&lt;&gt;"", BO268, CV268=0,  AQ268, CV268=1,  AZ268)</f>
        <v>6</v>
      </c>
      <c r="DB268" s="36">
        <f t="shared" si="37"/>
        <v>0</v>
      </c>
      <c r="DC268" s="3">
        <f t="shared" si="38"/>
        <v>-6</v>
      </c>
      <c r="DD268" s="3">
        <f t="shared" si="39"/>
        <v>0</v>
      </c>
      <c r="DE268" s="3">
        <f t="shared" si="42"/>
        <v>0</v>
      </c>
      <c r="DF268" s="3">
        <f t="shared" si="40"/>
        <v>-6</v>
      </c>
      <c r="DG268" s="3">
        <f t="shared" si="41"/>
        <v>0</v>
      </c>
    </row>
    <row r="269" spans="1:111" x14ac:dyDescent="0.4">
      <c r="A269">
        <v>202511</v>
      </c>
      <c r="B269">
        <v>456</v>
      </c>
      <c r="C269" s="5">
        <v>45969.453634259262</v>
      </c>
      <c r="D269" s="5">
        <v>45969.457708333335</v>
      </c>
      <c r="E269" s="3">
        <v>0</v>
      </c>
      <c r="F269" s="4" t="s">
        <v>331</v>
      </c>
      <c r="G269" s="3">
        <v>100</v>
      </c>
      <c r="H269" s="3">
        <v>351</v>
      </c>
      <c r="I269" s="3">
        <v>1</v>
      </c>
      <c r="J269" s="5">
        <v>45969.457718518519</v>
      </c>
      <c r="K269" s="4" t="s">
        <v>330</v>
      </c>
      <c r="L269" s="4" t="s">
        <v>122</v>
      </c>
      <c r="M269" s="4" t="s">
        <v>122</v>
      </c>
      <c r="N269" s="4" t="s">
        <v>122</v>
      </c>
      <c r="O269" s="4" t="s">
        <v>122</v>
      </c>
      <c r="P269" s="3">
        <v>32.250300000000003</v>
      </c>
      <c r="Q269" s="3">
        <v>-110.94499999999999</v>
      </c>
      <c r="R269" s="4" t="s">
        <v>129</v>
      </c>
      <c r="S269" s="4" t="s">
        <v>124</v>
      </c>
      <c r="T269" s="3">
        <v>4</v>
      </c>
      <c r="U269" s="3">
        <v>1</v>
      </c>
      <c r="V269" s="3">
        <v>2</v>
      </c>
      <c r="W269" s="3">
        <v>2</v>
      </c>
      <c r="X269" s="3">
        <v>2</v>
      </c>
      <c r="Y269" s="3">
        <v>4</v>
      </c>
      <c r="Z269" s="3">
        <v>4</v>
      </c>
      <c r="AA269" s="3">
        <v>4</v>
      </c>
      <c r="AB269" s="4" t="s">
        <v>122</v>
      </c>
      <c r="AC269" s="4" t="s">
        <v>125</v>
      </c>
      <c r="AD269" s="4" t="s">
        <v>125</v>
      </c>
      <c r="AE269" s="4" t="s">
        <v>122</v>
      </c>
      <c r="AF269" s="4" t="s">
        <v>122</v>
      </c>
      <c r="AG269" s="3">
        <v>3</v>
      </c>
      <c r="AH269" s="3">
        <v>7</v>
      </c>
      <c r="AI269" s="3">
        <v>3</v>
      </c>
      <c r="AJ269" s="3">
        <v>7</v>
      </c>
      <c r="AK269" s="3">
        <v>6</v>
      </c>
      <c r="AL269" s="3">
        <v>7</v>
      </c>
      <c r="AM269" s="3">
        <v>7</v>
      </c>
      <c r="AN269" s="3">
        <v>8</v>
      </c>
      <c r="AO269" s="3">
        <v>2</v>
      </c>
      <c r="AP269" s="3">
        <v>2</v>
      </c>
      <c r="AQ269" s="4" t="s">
        <v>122</v>
      </c>
      <c r="AR269" s="4" t="s">
        <v>122</v>
      </c>
      <c r="AS269" s="3">
        <v>4</v>
      </c>
      <c r="AT269" s="3">
        <v>5</v>
      </c>
      <c r="AU269" s="3">
        <v>4</v>
      </c>
      <c r="AV269" s="3">
        <v>3</v>
      </c>
      <c r="AW269" s="3">
        <v>6</v>
      </c>
      <c r="AX269" s="3">
        <v>2</v>
      </c>
      <c r="AY269" s="3">
        <v>1</v>
      </c>
      <c r="AZ269" s="4" t="s">
        <v>122</v>
      </c>
      <c r="BA269" s="4" t="s">
        <v>122</v>
      </c>
      <c r="BB269" s="4" t="s">
        <v>122</v>
      </c>
      <c r="BC269" s="4" t="s">
        <v>122</v>
      </c>
      <c r="BD269" s="4" t="s">
        <v>122</v>
      </c>
      <c r="BE269" s="4" t="s">
        <v>122</v>
      </c>
      <c r="BF269" s="4" t="s">
        <v>122</v>
      </c>
      <c r="BG269" s="4" t="s">
        <v>122</v>
      </c>
      <c r="BH269" s="4" t="s">
        <v>122</v>
      </c>
      <c r="BI269" s="4" t="s">
        <v>122</v>
      </c>
      <c r="BJ269" s="4" t="s">
        <v>122</v>
      </c>
      <c r="BK269" s="4" t="s">
        <v>122</v>
      </c>
      <c r="BL269" s="4" t="s">
        <v>122</v>
      </c>
      <c r="BM269" s="4" t="s">
        <v>122</v>
      </c>
      <c r="BN269" s="4" t="s">
        <v>122</v>
      </c>
      <c r="BO269" s="3">
        <v>7</v>
      </c>
      <c r="BP269" s="3">
        <v>6</v>
      </c>
      <c r="BQ269" s="3">
        <v>2</v>
      </c>
      <c r="BR269" s="4" t="s">
        <v>122</v>
      </c>
      <c r="BS269" s="4" t="s">
        <v>125</v>
      </c>
      <c r="BT269" s="4" t="s">
        <v>122</v>
      </c>
      <c r="BU269" s="4" t="s">
        <v>122</v>
      </c>
      <c r="BV269" s="4" t="s">
        <v>125</v>
      </c>
      <c r="BW269" s="4" t="s">
        <v>122</v>
      </c>
      <c r="BX269" s="4" t="s">
        <v>122</v>
      </c>
      <c r="BY269" s="4" t="s">
        <v>122</v>
      </c>
      <c r="BZ269" s="4" t="s">
        <v>122</v>
      </c>
      <c r="CA269" s="3">
        <v>4</v>
      </c>
      <c r="CB269" s="3">
        <v>4.5</v>
      </c>
      <c r="CC269" s="3">
        <v>2</v>
      </c>
      <c r="CD269" s="3">
        <v>6</v>
      </c>
      <c r="CE269" s="3">
        <v>3</v>
      </c>
      <c r="CF269" s="3">
        <v>2</v>
      </c>
      <c r="CG269" s="4" t="s">
        <v>122</v>
      </c>
      <c r="CH269" s="3">
        <v>4</v>
      </c>
      <c r="CI269" s="4" t="s">
        <v>122</v>
      </c>
      <c r="CJ269" s="4" t="s">
        <v>122</v>
      </c>
      <c r="CK269" s="4" t="s">
        <v>122</v>
      </c>
      <c r="CL269" s="4" t="s">
        <v>122</v>
      </c>
      <c r="CM269" s="4" t="s">
        <v>122</v>
      </c>
      <c r="CN269" s="4" t="s">
        <v>122</v>
      </c>
      <c r="CO269" s="4" t="s">
        <v>125</v>
      </c>
      <c r="CP269" s="4" t="s">
        <v>122</v>
      </c>
      <c r="CQ269" s="4" t="s">
        <v>122</v>
      </c>
      <c r="CR269" s="4" t="s">
        <v>122</v>
      </c>
      <c r="CS269" s="3">
        <v>5</v>
      </c>
      <c r="CT269" s="3">
        <v>5</v>
      </c>
      <c r="CU269" s="42">
        <v>4</v>
      </c>
      <c r="CV269" cm="1">
        <f t="array" ref="CV269">_xlfn.IFS(CU269*1=2,1,CU269*1=4,1,TRUE,0)</f>
        <v>1</v>
      </c>
      <c r="CW269" cm="1">
        <f t="array" ref="CW269">_xlfn.IFS(CU269*1=1,1,CU269*1=2,1,TRUE,0)</f>
        <v>0</v>
      </c>
      <c r="CX269" s="3">
        <f t="shared" si="35"/>
        <v>4.5</v>
      </c>
      <c r="CY269" s="3">
        <f t="shared" si="36"/>
        <v>6</v>
      </c>
      <c r="CZ269" s="3" cm="1">
        <f t="array" ref="CZ269">_xlfn.IFS(BP269&lt;&gt;"", BP269, CV269=1,  AQ269, CV269=0,  AZ269)</f>
        <v>6</v>
      </c>
      <c r="DA269" s="36" cm="1">
        <f t="array" ref="DA269">_xlfn.IFS(BO269&lt;&gt;"", BO269, CV269=0,  AQ269, CV269=1,  AZ269)</f>
        <v>7</v>
      </c>
      <c r="DB269" s="36">
        <f t="shared" si="37"/>
        <v>-1</v>
      </c>
      <c r="DC269" s="3">
        <f t="shared" si="38"/>
        <v>-2.5</v>
      </c>
      <c r="DD269" s="3">
        <f t="shared" si="39"/>
        <v>-1</v>
      </c>
      <c r="DE269" s="3">
        <f t="shared" si="42"/>
        <v>-1</v>
      </c>
      <c r="DF269" s="3">
        <f t="shared" si="40"/>
        <v>-2.5</v>
      </c>
      <c r="DG269" s="3">
        <f t="shared" si="41"/>
        <v>0</v>
      </c>
    </row>
    <row r="270" spans="1:111" x14ac:dyDescent="0.4">
      <c r="A270">
        <v>202511</v>
      </c>
      <c r="B270">
        <v>456</v>
      </c>
      <c r="C270" s="5">
        <v>45969.456805555557</v>
      </c>
      <c r="D270" s="5">
        <v>45969.460682870369</v>
      </c>
      <c r="E270" s="3">
        <v>0</v>
      </c>
      <c r="F270" s="4" t="s">
        <v>329</v>
      </c>
      <c r="G270" s="3">
        <v>100</v>
      </c>
      <c r="H270" s="3">
        <v>334</v>
      </c>
      <c r="I270" s="3">
        <v>1</v>
      </c>
      <c r="J270" s="5">
        <v>45969.460695451387</v>
      </c>
      <c r="K270" s="4" t="s">
        <v>328</v>
      </c>
      <c r="L270" s="4" t="s">
        <v>122</v>
      </c>
      <c r="M270" s="4" t="s">
        <v>122</v>
      </c>
      <c r="N270" s="4" t="s">
        <v>122</v>
      </c>
      <c r="O270" s="4" t="s">
        <v>122</v>
      </c>
      <c r="P270" s="3">
        <v>33.449399999999997</v>
      </c>
      <c r="Q270" s="3">
        <v>-112.19410000000001</v>
      </c>
      <c r="R270" s="4" t="s">
        <v>129</v>
      </c>
      <c r="S270" s="4" t="s">
        <v>124</v>
      </c>
      <c r="T270" s="3">
        <v>4</v>
      </c>
      <c r="U270" s="3">
        <v>1</v>
      </c>
      <c r="V270" s="3">
        <v>5</v>
      </c>
      <c r="W270" s="3">
        <v>3</v>
      </c>
      <c r="X270" s="3">
        <v>5</v>
      </c>
      <c r="Y270" s="3">
        <v>3</v>
      </c>
      <c r="Z270" s="3">
        <v>3</v>
      </c>
      <c r="AA270" s="3">
        <v>4</v>
      </c>
      <c r="AB270" s="4" t="s">
        <v>122</v>
      </c>
      <c r="AC270" s="4" t="s">
        <v>125</v>
      </c>
      <c r="AD270" s="4" t="s">
        <v>122</v>
      </c>
      <c r="AE270" s="4" t="s">
        <v>122</v>
      </c>
      <c r="AF270" s="4" t="s">
        <v>122</v>
      </c>
      <c r="AG270" s="3">
        <v>3</v>
      </c>
      <c r="AH270" s="3">
        <v>7</v>
      </c>
      <c r="AI270" s="3">
        <v>2</v>
      </c>
      <c r="AJ270" s="3">
        <v>5</v>
      </c>
      <c r="AK270" s="3">
        <v>7</v>
      </c>
      <c r="AL270" s="3">
        <v>6</v>
      </c>
      <c r="AM270" s="3">
        <v>6</v>
      </c>
      <c r="AN270" s="3">
        <v>5</v>
      </c>
      <c r="AO270" s="3">
        <v>2</v>
      </c>
      <c r="AP270" s="3">
        <v>3</v>
      </c>
      <c r="AQ270" s="4" t="s">
        <v>122</v>
      </c>
      <c r="AR270" s="4" t="s">
        <v>122</v>
      </c>
      <c r="AS270" s="3">
        <v>6</v>
      </c>
      <c r="AT270" s="3">
        <v>7</v>
      </c>
      <c r="AU270" s="3">
        <v>5</v>
      </c>
      <c r="AV270" s="3">
        <v>6</v>
      </c>
      <c r="AW270" s="3">
        <v>6</v>
      </c>
      <c r="AX270" s="3">
        <v>2</v>
      </c>
      <c r="AY270" s="3">
        <v>3</v>
      </c>
      <c r="AZ270" s="4" t="s">
        <v>122</v>
      </c>
      <c r="BA270" s="4" t="s">
        <v>122</v>
      </c>
      <c r="BB270" s="4" t="s">
        <v>122</v>
      </c>
      <c r="BC270" s="4" t="s">
        <v>122</v>
      </c>
      <c r="BD270" s="4" t="s">
        <v>122</v>
      </c>
      <c r="BE270" s="4" t="s">
        <v>122</v>
      </c>
      <c r="BF270" s="4" t="s">
        <v>122</v>
      </c>
      <c r="BG270" s="4" t="s">
        <v>122</v>
      </c>
      <c r="BH270" s="4" t="s">
        <v>122</v>
      </c>
      <c r="BI270" s="4" t="s">
        <v>122</v>
      </c>
      <c r="BJ270" s="4" t="s">
        <v>122</v>
      </c>
      <c r="BK270" s="4" t="s">
        <v>122</v>
      </c>
      <c r="BL270" s="4" t="s">
        <v>122</v>
      </c>
      <c r="BM270" s="4" t="s">
        <v>122</v>
      </c>
      <c r="BN270" s="4" t="s">
        <v>122</v>
      </c>
      <c r="BO270" s="3">
        <v>7</v>
      </c>
      <c r="BP270" s="3">
        <v>7</v>
      </c>
      <c r="BQ270" s="3">
        <v>2</v>
      </c>
      <c r="BR270" s="4" t="s">
        <v>125</v>
      </c>
      <c r="BS270" s="4" t="s">
        <v>122</v>
      </c>
      <c r="BT270" s="4" t="s">
        <v>122</v>
      </c>
      <c r="BU270" s="4" t="s">
        <v>122</v>
      </c>
      <c r="BV270" s="4" t="s">
        <v>122</v>
      </c>
      <c r="BW270" s="4" t="s">
        <v>122</v>
      </c>
      <c r="BX270" s="4" t="s">
        <v>122</v>
      </c>
      <c r="BY270" s="4" t="s">
        <v>122</v>
      </c>
      <c r="BZ270" s="4" t="s">
        <v>122</v>
      </c>
      <c r="CA270" s="3">
        <v>1</v>
      </c>
      <c r="CB270" s="3">
        <v>7</v>
      </c>
      <c r="CC270" s="3">
        <v>2</v>
      </c>
      <c r="CD270" s="3">
        <v>7</v>
      </c>
      <c r="CE270" s="3">
        <v>2</v>
      </c>
      <c r="CF270" s="3">
        <v>2</v>
      </c>
      <c r="CG270" s="4" t="s">
        <v>122</v>
      </c>
      <c r="CH270" s="3">
        <v>4</v>
      </c>
      <c r="CI270" s="4" t="s">
        <v>122</v>
      </c>
      <c r="CJ270" s="4" t="s">
        <v>122</v>
      </c>
      <c r="CK270" s="4" t="s">
        <v>122</v>
      </c>
      <c r="CL270" s="4" t="s">
        <v>122</v>
      </c>
      <c r="CM270" s="4" t="s">
        <v>122</v>
      </c>
      <c r="CN270" s="4" t="s">
        <v>122</v>
      </c>
      <c r="CO270" s="4" t="s">
        <v>125</v>
      </c>
      <c r="CP270" s="4" t="s">
        <v>122</v>
      </c>
      <c r="CQ270" s="4" t="s">
        <v>122</v>
      </c>
      <c r="CR270" s="4" t="s">
        <v>122</v>
      </c>
      <c r="CS270" s="3">
        <v>4</v>
      </c>
      <c r="CT270" s="3">
        <v>6</v>
      </c>
      <c r="CU270" s="42">
        <v>4</v>
      </c>
      <c r="CV270" cm="1">
        <f t="array" ref="CV270">_xlfn.IFS(CU270*1=2,1,CU270*1=4,1,TRUE,0)</f>
        <v>1</v>
      </c>
      <c r="CW270" cm="1">
        <f t="array" ref="CW270">_xlfn.IFS(CU270*1=1,1,CU270*1=2,1,TRUE,0)</f>
        <v>0</v>
      </c>
      <c r="CX270" s="3">
        <f t="shared" si="35"/>
        <v>7</v>
      </c>
      <c r="CY270" s="3">
        <f t="shared" si="36"/>
        <v>7</v>
      </c>
      <c r="CZ270" s="3" cm="1">
        <f t="array" ref="CZ270">_xlfn.IFS(BP270&lt;&gt;"", BP270, CV270=1,  AQ270, CV270=0,  AZ270)</f>
        <v>7</v>
      </c>
      <c r="DA270" s="36" cm="1">
        <f t="array" ref="DA270">_xlfn.IFS(BO270&lt;&gt;"", BO270, CV270=0,  AQ270, CV270=1,  AZ270)</f>
        <v>7</v>
      </c>
      <c r="DB270" s="36">
        <f t="shared" si="37"/>
        <v>0</v>
      </c>
      <c r="DC270" s="3">
        <f t="shared" si="38"/>
        <v>0</v>
      </c>
      <c r="DD270" s="3">
        <f t="shared" si="39"/>
        <v>0</v>
      </c>
      <c r="DE270" s="3">
        <f t="shared" si="42"/>
        <v>0</v>
      </c>
      <c r="DF270" s="3">
        <f t="shared" si="40"/>
        <v>0</v>
      </c>
      <c r="DG270" s="3">
        <f t="shared" si="41"/>
        <v>0</v>
      </c>
    </row>
    <row r="271" spans="1:111" x14ac:dyDescent="0.4">
      <c r="A271">
        <v>202511</v>
      </c>
      <c r="B271">
        <v>123</v>
      </c>
      <c r="C271" s="1">
        <v>45969.457824074074</v>
      </c>
      <c r="D271" s="1">
        <v>45969.462488425925</v>
      </c>
      <c r="E271">
        <v>0</v>
      </c>
      <c r="F271" s="2" t="s">
        <v>186</v>
      </c>
      <c r="G271">
        <v>100</v>
      </c>
      <c r="H271">
        <v>402</v>
      </c>
      <c r="I271">
        <v>1</v>
      </c>
      <c r="J271" s="1">
        <v>45969.462499340276</v>
      </c>
      <c r="K271" s="2" t="s">
        <v>187</v>
      </c>
      <c r="L271" s="2" t="s">
        <v>122</v>
      </c>
      <c r="M271" s="2" t="s">
        <v>122</v>
      </c>
      <c r="N271" s="2" t="s">
        <v>122</v>
      </c>
      <c r="O271" s="2" t="s">
        <v>122</v>
      </c>
      <c r="P271">
        <v>33.434199999999997</v>
      </c>
      <c r="Q271">
        <v>-111.8454</v>
      </c>
      <c r="R271" s="2" t="s">
        <v>129</v>
      </c>
      <c r="S271" s="2" t="s">
        <v>124</v>
      </c>
      <c r="T271">
        <v>4</v>
      </c>
      <c r="U271">
        <v>1</v>
      </c>
      <c r="V271">
        <v>4</v>
      </c>
      <c r="W271">
        <v>3</v>
      </c>
      <c r="X271">
        <v>2</v>
      </c>
      <c r="Y271">
        <v>4</v>
      </c>
      <c r="Z271">
        <v>2</v>
      </c>
      <c r="AA271">
        <v>2</v>
      </c>
      <c r="AB271" s="2" t="s">
        <v>122</v>
      </c>
      <c r="AC271" s="2" t="s">
        <v>125</v>
      </c>
      <c r="AD271" s="2" t="s">
        <v>122</v>
      </c>
      <c r="AE271" s="2" t="s">
        <v>122</v>
      </c>
      <c r="AF271" s="2" t="s">
        <v>122</v>
      </c>
      <c r="AG271">
        <v>2</v>
      </c>
      <c r="AH271">
        <v>4.5</v>
      </c>
      <c r="AI271">
        <v>2</v>
      </c>
      <c r="AJ271">
        <v>5</v>
      </c>
      <c r="AK271">
        <v>8</v>
      </c>
      <c r="AL271">
        <v>3</v>
      </c>
      <c r="AM271">
        <v>5</v>
      </c>
      <c r="AN271">
        <v>2</v>
      </c>
      <c r="AO271">
        <v>3</v>
      </c>
      <c r="AP271">
        <v>3</v>
      </c>
      <c r="AQ271">
        <v>0</v>
      </c>
      <c r="AR271" s="2" t="s">
        <v>122</v>
      </c>
      <c r="AS271">
        <v>4</v>
      </c>
      <c r="AT271">
        <v>8</v>
      </c>
      <c r="AU271">
        <v>7</v>
      </c>
      <c r="AV271">
        <v>3</v>
      </c>
      <c r="AW271">
        <v>6</v>
      </c>
      <c r="AX271">
        <v>1</v>
      </c>
      <c r="AY271">
        <v>5</v>
      </c>
      <c r="AZ271">
        <v>0</v>
      </c>
      <c r="BA271" s="2" t="s">
        <v>122</v>
      </c>
      <c r="BB271">
        <v>0</v>
      </c>
      <c r="BC271">
        <v>0</v>
      </c>
      <c r="BD271">
        <v>3</v>
      </c>
      <c r="BE271" s="2" t="s">
        <v>122</v>
      </c>
      <c r="BF271" s="2" t="s">
        <v>122</v>
      </c>
      <c r="BG271" s="2" t="s">
        <v>122</v>
      </c>
      <c r="BH271" s="2" t="s">
        <v>122</v>
      </c>
      <c r="BI271" s="2" t="s">
        <v>122</v>
      </c>
      <c r="BJ271" s="2" t="s">
        <v>122</v>
      </c>
      <c r="BK271" s="2" t="s">
        <v>122</v>
      </c>
      <c r="BL271" s="2" t="s">
        <v>122</v>
      </c>
      <c r="BM271" s="2" t="s">
        <v>125</v>
      </c>
      <c r="BN271" s="2" t="s">
        <v>122</v>
      </c>
      <c r="BO271" s="2" t="s">
        <v>122</v>
      </c>
      <c r="BP271" s="2" t="s">
        <v>122</v>
      </c>
      <c r="BQ271" s="2" t="s">
        <v>122</v>
      </c>
      <c r="BR271" s="2" t="s">
        <v>122</v>
      </c>
      <c r="BS271" s="2" t="s">
        <v>122</v>
      </c>
      <c r="BT271" s="2" t="s">
        <v>122</v>
      </c>
      <c r="BU271" s="2" t="s">
        <v>122</v>
      </c>
      <c r="BV271" s="2" t="s">
        <v>122</v>
      </c>
      <c r="BW271" s="2" t="s">
        <v>122</v>
      </c>
      <c r="BX271" s="2" t="s">
        <v>122</v>
      </c>
      <c r="BY271" s="2" t="s">
        <v>122</v>
      </c>
      <c r="BZ271" s="2" t="s">
        <v>122</v>
      </c>
      <c r="CA271" s="2" t="s">
        <v>122</v>
      </c>
      <c r="CB271" s="2" t="s">
        <v>122</v>
      </c>
      <c r="CC271" s="2" t="s">
        <v>122</v>
      </c>
      <c r="CD271" s="2" t="s">
        <v>122</v>
      </c>
      <c r="CE271" s="2" t="s">
        <v>122</v>
      </c>
      <c r="CF271">
        <v>2</v>
      </c>
      <c r="CG271" s="2" t="s">
        <v>122</v>
      </c>
      <c r="CH271">
        <v>2.2999999999999998</v>
      </c>
      <c r="CI271" s="2" t="s">
        <v>122</v>
      </c>
      <c r="CJ271" s="2" t="s">
        <v>122</v>
      </c>
      <c r="CK271" s="2" t="s">
        <v>122</v>
      </c>
      <c r="CL271" s="2" t="s">
        <v>125</v>
      </c>
      <c r="CM271" s="2" t="s">
        <v>122</v>
      </c>
      <c r="CN271" s="2" t="s">
        <v>122</v>
      </c>
      <c r="CO271" s="2" t="s">
        <v>125</v>
      </c>
      <c r="CP271" s="2" t="s">
        <v>122</v>
      </c>
      <c r="CQ271" s="2" t="s">
        <v>122</v>
      </c>
      <c r="CR271" s="2" t="s">
        <v>122</v>
      </c>
      <c r="CS271">
        <v>4</v>
      </c>
      <c r="CT271">
        <v>2</v>
      </c>
      <c r="CU271" s="43">
        <v>1</v>
      </c>
      <c r="CV271" cm="1">
        <f t="array" ref="CV271">_xlfn.IFS(CU271*1=2,1,CU271*1=4,1,TRUE,0)</f>
        <v>0</v>
      </c>
      <c r="CW271" cm="1">
        <f t="array" ref="CW271">_xlfn.IFS(CU271*1=1,1,CU271*1=2,1,TRUE,0)</f>
        <v>1</v>
      </c>
      <c r="CX271" s="3">
        <f t="shared" si="35"/>
        <v>0</v>
      </c>
      <c r="CY271" s="3">
        <f t="shared" si="36"/>
        <v>0</v>
      </c>
      <c r="CZ271" s="3" cm="1">
        <f t="array" ref="CZ271">_xlfn.IFS(BP271&lt;&gt;"", BP271, CV271=1,  AQ271, CV271=0,  AZ271)</f>
        <v>0</v>
      </c>
      <c r="DA271" s="36" cm="1">
        <f t="array" ref="DA271">_xlfn.IFS(BO271&lt;&gt;"", BO271, CV271=0,  AQ271, CV271=1,  AZ271)</f>
        <v>0</v>
      </c>
      <c r="DB271" s="36">
        <f t="shared" si="37"/>
        <v>-4.5</v>
      </c>
      <c r="DC271" s="3">
        <f t="shared" si="38"/>
        <v>-4.5</v>
      </c>
      <c r="DD271" s="3">
        <f t="shared" si="39"/>
        <v>-4.5</v>
      </c>
      <c r="DE271" s="3">
        <f t="shared" si="42"/>
        <v>-4.5</v>
      </c>
      <c r="DF271" s="3">
        <f t="shared" si="40"/>
        <v>-4.5</v>
      </c>
      <c r="DG271" s="3">
        <f t="shared" si="41"/>
        <v>-4.5</v>
      </c>
    </row>
    <row r="272" spans="1:111" x14ac:dyDescent="0.4">
      <c r="A272">
        <v>202511</v>
      </c>
      <c r="B272">
        <v>123</v>
      </c>
      <c r="C272" s="1">
        <v>45969.458067129628</v>
      </c>
      <c r="D272" s="1">
        <v>45969.467175925929</v>
      </c>
      <c r="E272">
        <v>0</v>
      </c>
      <c r="F272" s="2" t="s">
        <v>190</v>
      </c>
      <c r="G272">
        <v>100</v>
      </c>
      <c r="H272">
        <v>787</v>
      </c>
      <c r="I272">
        <v>1</v>
      </c>
      <c r="J272" s="1">
        <v>45969.467182488428</v>
      </c>
      <c r="K272" s="2" t="s">
        <v>191</v>
      </c>
      <c r="L272" s="2" t="s">
        <v>122</v>
      </c>
      <c r="M272" s="2" t="s">
        <v>122</v>
      </c>
      <c r="N272" s="2" t="s">
        <v>122</v>
      </c>
      <c r="O272" s="2" t="s">
        <v>122</v>
      </c>
      <c r="P272">
        <v>33.453200000000002</v>
      </c>
      <c r="Q272">
        <v>-112.0748</v>
      </c>
      <c r="R272" s="2" t="s">
        <v>129</v>
      </c>
      <c r="S272" s="2" t="s">
        <v>124</v>
      </c>
      <c r="T272">
        <v>4</v>
      </c>
      <c r="U272">
        <v>1</v>
      </c>
      <c r="V272">
        <v>1</v>
      </c>
      <c r="W272">
        <v>2</v>
      </c>
      <c r="X272">
        <v>1</v>
      </c>
      <c r="Y272">
        <v>3</v>
      </c>
      <c r="Z272">
        <v>3</v>
      </c>
      <c r="AA272">
        <v>1</v>
      </c>
      <c r="AB272" s="2" t="s">
        <v>122</v>
      </c>
      <c r="AC272" s="2" t="s">
        <v>122</v>
      </c>
      <c r="AD272" s="2" t="s">
        <v>122</v>
      </c>
      <c r="AE272" s="2" t="s">
        <v>122</v>
      </c>
      <c r="AF272" s="2" t="s">
        <v>122</v>
      </c>
      <c r="AG272">
        <v>3</v>
      </c>
      <c r="AH272">
        <v>4</v>
      </c>
      <c r="AI272">
        <v>2</v>
      </c>
      <c r="AJ272">
        <v>7</v>
      </c>
      <c r="AK272">
        <v>8</v>
      </c>
      <c r="AL272">
        <v>7</v>
      </c>
      <c r="AM272">
        <v>7</v>
      </c>
      <c r="AN272">
        <v>7</v>
      </c>
      <c r="AO272">
        <v>3</v>
      </c>
      <c r="AP272">
        <v>4</v>
      </c>
      <c r="AQ272" s="2" t="s">
        <v>122</v>
      </c>
      <c r="AR272" s="2" t="s">
        <v>122</v>
      </c>
      <c r="AS272">
        <v>5</v>
      </c>
      <c r="AT272">
        <v>7</v>
      </c>
      <c r="AU272">
        <v>6</v>
      </c>
      <c r="AV272">
        <v>6</v>
      </c>
      <c r="AW272">
        <v>5</v>
      </c>
      <c r="AX272">
        <v>3</v>
      </c>
      <c r="AY272">
        <v>3</v>
      </c>
      <c r="AZ272" s="2" t="s">
        <v>122</v>
      </c>
      <c r="BA272" s="2" t="s">
        <v>122</v>
      </c>
      <c r="BB272" s="2" t="s">
        <v>122</v>
      </c>
      <c r="BC272" s="2" t="s">
        <v>122</v>
      </c>
      <c r="BD272" s="2" t="s">
        <v>122</v>
      </c>
      <c r="BE272" s="2" t="s">
        <v>122</v>
      </c>
      <c r="BF272" s="2" t="s">
        <v>122</v>
      </c>
      <c r="BG272" s="2" t="s">
        <v>122</v>
      </c>
      <c r="BH272" s="2" t="s">
        <v>122</v>
      </c>
      <c r="BI272" s="2" t="s">
        <v>122</v>
      </c>
      <c r="BJ272" s="2" t="s">
        <v>122</v>
      </c>
      <c r="BK272" s="2" t="s">
        <v>122</v>
      </c>
      <c r="BL272" s="2" t="s">
        <v>122</v>
      </c>
      <c r="BM272" s="2" t="s">
        <v>122</v>
      </c>
      <c r="BN272" s="2" t="s">
        <v>122</v>
      </c>
      <c r="BO272">
        <v>6</v>
      </c>
      <c r="BP272" s="2" t="s">
        <v>122</v>
      </c>
      <c r="BQ272">
        <v>2</v>
      </c>
      <c r="BR272" s="2" t="s">
        <v>125</v>
      </c>
      <c r="BS272" s="2" t="s">
        <v>125</v>
      </c>
      <c r="BT272" s="2" t="s">
        <v>125</v>
      </c>
      <c r="BU272" s="2" t="s">
        <v>122</v>
      </c>
      <c r="BV272" s="2" t="s">
        <v>125</v>
      </c>
      <c r="BW272" s="2" t="s">
        <v>125</v>
      </c>
      <c r="BX272" s="2" t="s">
        <v>122</v>
      </c>
      <c r="BY272" s="2" t="s">
        <v>122</v>
      </c>
      <c r="BZ272" s="2" t="s">
        <v>122</v>
      </c>
      <c r="CA272">
        <v>3</v>
      </c>
      <c r="CB272">
        <v>6.5</v>
      </c>
      <c r="CC272">
        <v>2</v>
      </c>
      <c r="CD272">
        <v>6.5</v>
      </c>
      <c r="CE272">
        <v>2</v>
      </c>
      <c r="CF272">
        <v>2</v>
      </c>
      <c r="CG272" s="2" t="s">
        <v>122</v>
      </c>
      <c r="CH272">
        <v>5</v>
      </c>
      <c r="CI272" s="2" t="s">
        <v>122</v>
      </c>
      <c r="CJ272" s="2" t="s">
        <v>122</v>
      </c>
      <c r="CK272" s="2" t="s">
        <v>122</v>
      </c>
      <c r="CL272" s="2" t="s">
        <v>125</v>
      </c>
      <c r="CM272" s="2" t="s">
        <v>122</v>
      </c>
      <c r="CN272" s="2" t="s">
        <v>122</v>
      </c>
      <c r="CO272" s="2" t="s">
        <v>122</v>
      </c>
      <c r="CP272" s="2" t="s">
        <v>122</v>
      </c>
      <c r="CQ272" s="2" t="s">
        <v>122</v>
      </c>
      <c r="CR272" s="2" t="s">
        <v>122</v>
      </c>
      <c r="CS272">
        <v>4</v>
      </c>
      <c r="CT272">
        <v>6</v>
      </c>
      <c r="CU272" s="43">
        <v>3</v>
      </c>
      <c r="CV272" cm="1">
        <f t="array" ref="CV272">_xlfn.IFS(CU272*1=2,1,CU272*1=4,1,TRUE,0)</f>
        <v>0</v>
      </c>
      <c r="CW272" cm="1">
        <f t="array" ref="CW272">_xlfn.IFS(CU272*1=1,1,CU272*1=2,1,TRUE,0)</f>
        <v>0</v>
      </c>
      <c r="CX272" s="3">
        <f t="shared" si="35"/>
        <v>6.5</v>
      </c>
      <c r="CY272" s="3">
        <f t="shared" si="36"/>
        <v>6.5</v>
      </c>
      <c r="CZ272" s="3" t="str" cm="1">
        <f t="array" ref="CZ272">_xlfn.IFS(BP272&lt;&gt;"", BP272, CV272=1,  AQ272, CV272=0,  AZ272)</f>
        <v/>
      </c>
      <c r="DA272" s="36" cm="1">
        <f t="array" ref="DA272">_xlfn.IFS(BO272&lt;&gt;"", BO272, CV272=0,  AQ272, CV272=1,  AZ272)</f>
        <v>6</v>
      </c>
      <c r="DB272" s="36">
        <f t="shared" si="37"/>
        <v>2.5</v>
      </c>
      <c r="DC272" s="3">
        <f t="shared" si="38"/>
        <v>2.5</v>
      </c>
      <c r="DD272" s="3">
        <f t="shared" si="39"/>
        <v>2.5</v>
      </c>
      <c r="DE272" s="60"/>
      <c r="DF272" s="3">
        <f t="shared" si="40"/>
        <v>2.5</v>
      </c>
      <c r="DG272" s="3">
        <f t="shared" si="41"/>
        <v>2</v>
      </c>
    </row>
    <row r="273" spans="1:112" x14ac:dyDescent="0.4">
      <c r="A273">
        <v>202511</v>
      </c>
      <c r="B273">
        <v>456</v>
      </c>
      <c r="C273" s="5">
        <v>45969.458101851851</v>
      </c>
      <c r="D273" s="5">
        <v>45969.461909722224</v>
      </c>
      <c r="E273" s="3">
        <v>0</v>
      </c>
      <c r="F273" s="4" t="s">
        <v>327</v>
      </c>
      <c r="G273" s="3">
        <v>100</v>
      </c>
      <c r="H273" s="3">
        <v>328</v>
      </c>
      <c r="I273" s="3">
        <v>1</v>
      </c>
      <c r="J273" s="5">
        <v>45969.461914143518</v>
      </c>
      <c r="K273" s="4" t="s">
        <v>326</v>
      </c>
      <c r="L273" s="4" t="s">
        <v>122</v>
      </c>
      <c r="M273" s="4" t="s">
        <v>122</v>
      </c>
      <c r="N273" s="4" t="s">
        <v>122</v>
      </c>
      <c r="O273" s="4" t="s">
        <v>122</v>
      </c>
      <c r="P273" s="3">
        <v>32.250300000000003</v>
      </c>
      <c r="Q273" s="3">
        <v>-110.94499999999999</v>
      </c>
      <c r="R273" s="4" t="s">
        <v>129</v>
      </c>
      <c r="S273" s="4" t="s">
        <v>124</v>
      </c>
      <c r="T273" s="3">
        <v>4</v>
      </c>
      <c r="U273" s="3">
        <v>1</v>
      </c>
      <c r="V273" s="3">
        <v>1</v>
      </c>
      <c r="W273" s="3">
        <v>2</v>
      </c>
      <c r="X273" s="3">
        <v>1</v>
      </c>
      <c r="Y273" s="3">
        <v>1</v>
      </c>
      <c r="Z273" s="3">
        <v>1</v>
      </c>
      <c r="AA273" s="3">
        <v>1</v>
      </c>
      <c r="AB273" s="4" t="s">
        <v>122</v>
      </c>
      <c r="AC273" s="4" t="s">
        <v>122</v>
      </c>
      <c r="AD273" s="4" t="s">
        <v>122</v>
      </c>
      <c r="AE273" s="4" t="s">
        <v>122</v>
      </c>
      <c r="AF273" s="4" t="s">
        <v>122</v>
      </c>
      <c r="AG273" s="3">
        <v>3</v>
      </c>
      <c r="AH273" s="3">
        <v>5</v>
      </c>
      <c r="AI273" s="3">
        <v>2</v>
      </c>
      <c r="AJ273" s="3">
        <v>3</v>
      </c>
      <c r="AK273" s="3">
        <v>5</v>
      </c>
      <c r="AL273" s="3">
        <v>7</v>
      </c>
      <c r="AM273" s="3">
        <v>3</v>
      </c>
      <c r="AN273" s="3">
        <v>6</v>
      </c>
      <c r="AO273" s="3">
        <v>3</v>
      </c>
      <c r="AP273" s="3">
        <v>4</v>
      </c>
      <c r="AQ273" s="3">
        <v>5</v>
      </c>
      <c r="AR273" s="3">
        <v>2</v>
      </c>
      <c r="AS273" s="3">
        <v>6</v>
      </c>
      <c r="AT273" s="3">
        <v>5</v>
      </c>
      <c r="AU273" s="3">
        <v>7</v>
      </c>
      <c r="AV273" s="3">
        <v>4</v>
      </c>
      <c r="AW273" s="3">
        <v>6</v>
      </c>
      <c r="AX273" s="3">
        <v>3</v>
      </c>
      <c r="AY273" s="3">
        <v>3</v>
      </c>
      <c r="AZ273" s="3">
        <v>5.5</v>
      </c>
      <c r="BA273" s="3">
        <v>3</v>
      </c>
      <c r="BB273" s="3">
        <v>6</v>
      </c>
      <c r="BC273" s="3">
        <v>5.5</v>
      </c>
      <c r="BD273" s="3">
        <v>2</v>
      </c>
      <c r="BE273" s="4" t="s">
        <v>125</v>
      </c>
      <c r="BF273" s="4" t="s">
        <v>122</v>
      </c>
      <c r="BG273" s="4" t="s">
        <v>122</v>
      </c>
      <c r="BH273" s="4" t="s">
        <v>122</v>
      </c>
      <c r="BI273" s="4" t="s">
        <v>122</v>
      </c>
      <c r="BJ273" s="4" t="s">
        <v>122</v>
      </c>
      <c r="BK273" s="4" t="s">
        <v>122</v>
      </c>
      <c r="BL273" s="4" t="s">
        <v>122</v>
      </c>
      <c r="BM273" s="4" t="s">
        <v>122</v>
      </c>
      <c r="BN273" s="4" t="s">
        <v>122</v>
      </c>
      <c r="BO273" s="4" t="s">
        <v>122</v>
      </c>
      <c r="BP273" s="4" t="s">
        <v>122</v>
      </c>
      <c r="BQ273" s="4" t="s">
        <v>122</v>
      </c>
      <c r="BR273" s="4" t="s">
        <v>122</v>
      </c>
      <c r="BS273" s="4" t="s">
        <v>122</v>
      </c>
      <c r="BT273" s="4" t="s">
        <v>122</v>
      </c>
      <c r="BU273" s="4" t="s">
        <v>122</v>
      </c>
      <c r="BV273" s="4" t="s">
        <v>122</v>
      </c>
      <c r="BW273" s="4" t="s">
        <v>122</v>
      </c>
      <c r="BX273" s="4" t="s">
        <v>122</v>
      </c>
      <c r="BY273" s="4" t="s">
        <v>122</v>
      </c>
      <c r="BZ273" s="4" t="s">
        <v>122</v>
      </c>
      <c r="CA273" s="4" t="s">
        <v>122</v>
      </c>
      <c r="CB273" s="4" t="s">
        <v>122</v>
      </c>
      <c r="CC273" s="4" t="s">
        <v>122</v>
      </c>
      <c r="CD273" s="4" t="s">
        <v>122</v>
      </c>
      <c r="CE273" s="4" t="s">
        <v>122</v>
      </c>
      <c r="CF273" s="3">
        <v>2</v>
      </c>
      <c r="CG273" s="4" t="s">
        <v>122</v>
      </c>
      <c r="CH273" s="3">
        <v>2.7</v>
      </c>
      <c r="CI273" s="4" t="s">
        <v>122</v>
      </c>
      <c r="CJ273" s="4" t="s">
        <v>122</v>
      </c>
      <c r="CK273" s="4" t="s">
        <v>122</v>
      </c>
      <c r="CL273" s="4" t="s">
        <v>122</v>
      </c>
      <c r="CM273" s="4" t="s">
        <v>122</v>
      </c>
      <c r="CN273" s="4" t="s">
        <v>122</v>
      </c>
      <c r="CO273" s="4" t="s">
        <v>125</v>
      </c>
      <c r="CP273" s="4" t="s">
        <v>122</v>
      </c>
      <c r="CQ273" s="4" t="s">
        <v>122</v>
      </c>
      <c r="CR273" s="4" t="s">
        <v>122</v>
      </c>
      <c r="CS273" s="3">
        <v>5</v>
      </c>
      <c r="CT273" s="3">
        <v>2</v>
      </c>
      <c r="CU273" s="42">
        <v>2</v>
      </c>
      <c r="CV273" cm="1">
        <f t="array" ref="CV273">_xlfn.IFS(CU273*1=2,1,CU273*1=4,1,TRUE,0)</f>
        <v>1</v>
      </c>
      <c r="CW273" cm="1">
        <f t="array" ref="CW273">_xlfn.IFS(CU273*1=1,1,CU273*1=2,1,TRUE,0)</f>
        <v>1</v>
      </c>
      <c r="CX273" s="3">
        <f t="shared" si="35"/>
        <v>6</v>
      </c>
      <c r="CY273" s="3">
        <f t="shared" si="36"/>
        <v>5.5</v>
      </c>
      <c r="CZ273" s="3" cm="1">
        <f t="array" ref="CZ273">_xlfn.IFS(BP273&lt;&gt;"", BP273, CV273=1,  AQ273, CV273=0,  AZ273)</f>
        <v>5</v>
      </c>
      <c r="DA273" s="36" cm="1">
        <f t="array" ref="DA273">_xlfn.IFS(BO273&lt;&gt;"", BO273, CV273=0,  AQ273, CV273=1,  AZ273)</f>
        <v>5.5</v>
      </c>
      <c r="DB273" s="36">
        <f t="shared" si="37"/>
        <v>0.5</v>
      </c>
      <c r="DC273" s="3">
        <f t="shared" si="38"/>
        <v>1</v>
      </c>
      <c r="DD273" s="3">
        <f t="shared" si="39"/>
        <v>0</v>
      </c>
      <c r="DE273" s="3">
        <f t="shared" si="42"/>
        <v>0.5</v>
      </c>
      <c r="DF273" s="3">
        <f t="shared" si="40"/>
        <v>0.5</v>
      </c>
      <c r="DG273" s="3">
        <f t="shared" si="41"/>
        <v>1</v>
      </c>
    </row>
    <row r="274" spans="1:112" x14ac:dyDescent="0.4">
      <c r="A274">
        <v>202511</v>
      </c>
      <c r="B274">
        <v>123</v>
      </c>
      <c r="C274" s="1">
        <v>45969.458113425928</v>
      </c>
      <c r="D274" s="1">
        <v>45969.464317129627</v>
      </c>
      <c r="E274">
        <v>0</v>
      </c>
      <c r="F274" s="2" t="s">
        <v>188</v>
      </c>
      <c r="G274">
        <v>100</v>
      </c>
      <c r="H274">
        <v>536</v>
      </c>
      <c r="I274">
        <v>1</v>
      </c>
      <c r="J274" s="1">
        <v>45969.464328969909</v>
      </c>
      <c r="K274" s="2" t="s">
        <v>189</v>
      </c>
      <c r="L274" s="2" t="s">
        <v>122</v>
      </c>
      <c r="M274" s="2" t="s">
        <v>122</v>
      </c>
      <c r="N274" s="2" t="s">
        <v>122</v>
      </c>
      <c r="O274" s="2" t="s">
        <v>122</v>
      </c>
      <c r="P274">
        <v>33.434199999999997</v>
      </c>
      <c r="Q274">
        <v>-111.8454</v>
      </c>
      <c r="R274" s="2" t="s">
        <v>129</v>
      </c>
      <c r="S274" s="2" t="s">
        <v>124</v>
      </c>
      <c r="T274">
        <v>4</v>
      </c>
      <c r="U274">
        <v>1</v>
      </c>
      <c r="V274">
        <v>2</v>
      </c>
      <c r="W274">
        <v>2</v>
      </c>
      <c r="X274">
        <v>2</v>
      </c>
      <c r="Y274">
        <v>4</v>
      </c>
      <c r="Z274">
        <v>4</v>
      </c>
      <c r="AA274">
        <v>4</v>
      </c>
      <c r="AB274" s="2" t="s">
        <v>122</v>
      </c>
      <c r="AC274" s="2" t="s">
        <v>125</v>
      </c>
      <c r="AD274" s="2" t="s">
        <v>122</v>
      </c>
      <c r="AE274" s="2" t="s">
        <v>122</v>
      </c>
      <c r="AF274" s="2" t="s">
        <v>122</v>
      </c>
      <c r="AG274">
        <v>2</v>
      </c>
      <c r="AH274">
        <v>7.5</v>
      </c>
      <c r="AI274">
        <v>3</v>
      </c>
      <c r="AJ274">
        <v>8</v>
      </c>
      <c r="AK274">
        <v>7</v>
      </c>
      <c r="AL274">
        <v>8</v>
      </c>
      <c r="AM274">
        <v>8</v>
      </c>
      <c r="AN274">
        <v>8</v>
      </c>
      <c r="AO274">
        <v>2</v>
      </c>
      <c r="AP274">
        <v>3</v>
      </c>
      <c r="AQ274">
        <v>7.5</v>
      </c>
      <c r="AR274">
        <v>3</v>
      </c>
      <c r="AS274">
        <v>8</v>
      </c>
      <c r="AT274">
        <v>8</v>
      </c>
      <c r="AU274">
        <v>8</v>
      </c>
      <c r="AV274">
        <v>8</v>
      </c>
      <c r="AW274">
        <v>8</v>
      </c>
      <c r="AX274">
        <v>2</v>
      </c>
      <c r="AY274">
        <v>3</v>
      </c>
      <c r="AZ274">
        <v>7.5</v>
      </c>
      <c r="BA274">
        <v>3</v>
      </c>
      <c r="BB274">
        <v>6.5</v>
      </c>
      <c r="BC274">
        <v>6.5</v>
      </c>
      <c r="BD274">
        <v>3</v>
      </c>
      <c r="BE274" s="2" t="s">
        <v>122</v>
      </c>
      <c r="BF274" s="2" t="s">
        <v>125</v>
      </c>
      <c r="BG274" s="2" t="s">
        <v>125</v>
      </c>
      <c r="BH274" s="2" t="s">
        <v>125</v>
      </c>
      <c r="BI274" s="2" t="s">
        <v>122</v>
      </c>
      <c r="BJ274" s="2" t="s">
        <v>125</v>
      </c>
      <c r="BK274" s="2" t="s">
        <v>122</v>
      </c>
      <c r="BL274" s="2" t="s">
        <v>125</v>
      </c>
      <c r="BM274" s="2" t="s">
        <v>122</v>
      </c>
      <c r="BN274">
        <v>3</v>
      </c>
      <c r="BO274" s="2" t="s">
        <v>122</v>
      </c>
      <c r="BP274" s="2" t="s">
        <v>122</v>
      </c>
      <c r="BQ274" s="2" t="s">
        <v>122</v>
      </c>
      <c r="BR274" s="2" t="s">
        <v>122</v>
      </c>
      <c r="BS274" s="2" t="s">
        <v>122</v>
      </c>
      <c r="BT274" s="2" t="s">
        <v>122</v>
      </c>
      <c r="BU274" s="2" t="s">
        <v>122</v>
      </c>
      <c r="BV274" s="2" t="s">
        <v>122</v>
      </c>
      <c r="BW274" s="2" t="s">
        <v>122</v>
      </c>
      <c r="BX274" s="2" t="s">
        <v>122</v>
      </c>
      <c r="BY274" s="2" t="s">
        <v>122</v>
      </c>
      <c r="BZ274" s="2" t="s">
        <v>122</v>
      </c>
      <c r="CA274" s="2" t="s">
        <v>122</v>
      </c>
      <c r="CB274" s="2" t="s">
        <v>122</v>
      </c>
      <c r="CC274" s="2" t="s">
        <v>122</v>
      </c>
      <c r="CD274" s="2" t="s">
        <v>122</v>
      </c>
      <c r="CE274" s="2" t="s">
        <v>122</v>
      </c>
      <c r="CF274">
        <v>1</v>
      </c>
      <c r="CG274" s="2" t="s">
        <v>122</v>
      </c>
      <c r="CH274">
        <v>6</v>
      </c>
      <c r="CI274" s="2" t="s">
        <v>122</v>
      </c>
      <c r="CJ274" s="2" t="s">
        <v>122</v>
      </c>
      <c r="CK274" s="2" t="s">
        <v>122</v>
      </c>
      <c r="CL274" s="2" t="s">
        <v>122</v>
      </c>
      <c r="CM274" s="2" t="s">
        <v>122</v>
      </c>
      <c r="CN274" s="2" t="s">
        <v>122</v>
      </c>
      <c r="CO274" s="2" t="s">
        <v>125</v>
      </c>
      <c r="CP274" s="2" t="s">
        <v>122</v>
      </c>
      <c r="CQ274" s="2" t="s">
        <v>122</v>
      </c>
      <c r="CR274" s="2" t="s">
        <v>122</v>
      </c>
      <c r="CS274">
        <v>4</v>
      </c>
      <c r="CT274">
        <v>5</v>
      </c>
      <c r="CU274" s="43">
        <v>1</v>
      </c>
      <c r="CV274" cm="1">
        <f t="array" ref="CV274">_xlfn.IFS(CU274*1=2,1,CU274*1=4,1,TRUE,0)</f>
        <v>0</v>
      </c>
      <c r="CW274" cm="1">
        <f t="array" ref="CW274">_xlfn.IFS(CU274*1=1,1,CU274*1=2,1,TRUE,0)</f>
        <v>1</v>
      </c>
      <c r="CX274" s="3">
        <f t="shared" si="35"/>
        <v>6.5</v>
      </c>
      <c r="CY274" s="3">
        <f t="shared" si="36"/>
        <v>6.5</v>
      </c>
      <c r="CZ274" s="3" cm="1">
        <f t="array" ref="CZ274">_xlfn.IFS(BP274&lt;&gt;"", BP274, CV274=1,  AQ274, CV274=0,  AZ274)</f>
        <v>7.5</v>
      </c>
      <c r="DA274" s="36" cm="1">
        <f t="array" ref="DA274">_xlfn.IFS(BO274&lt;&gt;"", BO274, CV274=0,  AQ274, CV274=1,  AZ274)</f>
        <v>7.5</v>
      </c>
      <c r="DB274" s="36">
        <f t="shared" si="37"/>
        <v>-1</v>
      </c>
      <c r="DC274" s="3">
        <f t="shared" si="38"/>
        <v>-1</v>
      </c>
      <c r="DD274" s="3">
        <f t="shared" si="39"/>
        <v>0</v>
      </c>
      <c r="DE274" s="3">
        <f t="shared" si="42"/>
        <v>-1</v>
      </c>
      <c r="DF274" s="3">
        <f t="shared" si="40"/>
        <v>0</v>
      </c>
      <c r="DG274" s="3">
        <f t="shared" si="41"/>
        <v>-1</v>
      </c>
    </row>
    <row r="275" spans="1:112" x14ac:dyDescent="0.4">
      <c r="A275">
        <v>202511</v>
      </c>
      <c r="B275">
        <v>456</v>
      </c>
      <c r="C275" s="5">
        <v>45969.460555555554</v>
      </c>
      <c r="D275" s="5">
        <v>45969.463900462964</v>
      </c>
      <c r="E275" s="3">
        <v>0</v>
      </c>
      <c r="F275" s="4" t="s">
        <v>260</v>
      </c>
      <c r="G275" s="3">
        <v>98</v>
      </c>
      <c r="H275" s="3">
        <v>288</v>
      </c>
      <c r="I275" s="3">
        <v>0</v>
      </c>
      <c r="J275" s="5">
        <v>45971.528607442131</v>
      </c>
      <c r="K275" s="4" t="s">
        <v>259</v>
      </c>
      <c r="L275" s="4" t="s">
        <v>122</v>
      </c>
      <c r="M275" s="4" t="s">
        <v>122</v>
      </c>
      <c r="N275" s="4" t="s">
        <v>122</v>
      </c>
      <c r="O275" s="4" t="s">
        <v>122</v>
      </c>
      <c r="P275" s="3">
        <v>32.145299999999999</v>
      </c>
      <c r="Q275" s="3">
        <v>-110.9456</v>
      </c>
      <c r="R275" s="4" t="s">
        <v>129</v>
      </c>
      <c r="S275" s="4" t="s">
        <v>124</v>
      </c>
      <c r="T275" s="3">
        <v>4</v>
      </c>
      <c r="U275" s="3">
        <v>1</v>
      </c>
      <c r="V275" s="3">
        <v>3</v>
      </c>
      <c r="W275" s="3">
        <v>3</v>
      </c>
      <c r="X275" s="3">
        <v>2</v>
      </c>
      <c r="Y275" s="3">
        <v>4</v>
      </c>
      <c r="Z275" s="3">
        <v>4</v>
      </c>
      <c r="AA275" s="3">
        <v>4</v>
      </c>
      <c r="AB275" s="4" t="s">
        <v>125</v>
      </c>
      <c r="AC275" s="4" t="s">
        <v>125</v>
      </c>
      <c r="AD275" s="4" t="s">
        <v>125</v>
      </c>
      <c r="AE275" s="4" t="s">
        <v>122</v>
      </c>
      <c r="AF275" s="4" t="s">
        <v>122</v>
      </c>
      <c r="AG275" s="3">
        <v>4</v>
      </c>
      <c r="AH275" s="3">
        <v>6</v>
      </c>
      <c r="AI275" s="3">
        <v>3</v>
      </c>
      <c r="AJ275" s="3">
        <v>7</v>
      </c>
      <c r="AK275" s="3">
        <v>7</v>
      </c>
      <c r="AL275" s="3">
        <v>8</v>
      </c>
      <c r="AM275" s="3">
        <v>7</v>
      </c>
      <c r="AN275" s="3">
        <v>8</v>
      </c>
      <c r="AO275" s="3">
        <v>4</v>
      </c>
      <c r="AP275" s="3">
        <v>4</v>
      </c>
      <c r="AQ275" s="4" t="s">
        <v>122</v>
      </c>
      <c r="AR275" s="4" t="s">
        <v>122</v>
      </c>
      <c r="AS275" s="3">
        <v>7</v>
      </c>
      <c r="AT275" s="3">
        <v>6</v>
      </c>
      <c r="AU275" s="3">
        <v>7</v>
      </c>
      <c r="AV275" s="3">
        <v>8</v>
      </c>
      <c r="AW275" s="3">
        <v>6</v>
      </c>
      <c r="AX275" s="3">
        <v>2</v>
      </c>
      <c r="AY275" s="3">
        <v>2</v>
      </c>
      <c r="AZ275" s="4" t="s">
        <v>122</v>
      </c>
      <c r="BA275" s="4" t="s">
        <v>122</v>
      </c>
      <c r="BB275" s="4" t="s">
        <v>122</v>
      </c>
      <c r="BC275" s="4" t="s">
        <v>122</v>
      </c>
      <c r="BD275" s="4" t="s">
        <v>122</v>
      </c>
      <c r="BE275" s="4" t="s">
        <v>122</v>
      </c>
      <c r="BF275" s="4" t="s">
        <v>122</v>
      </c>
      <c r="BG275" s="4" t="s">
        <v>122</v>
      </c>
      <c r="BH275" s="4" t="s">
        <v>122</v>
      </c>
      <c r="BI275" s="4" t="s">
        <v>122</v>
      </c>
      <c r="BJ275" s="4" t="s">
        <v>122</v>
      </c>
      <c r="BK275" s="4" t="s">
        <v>122</v>
      </c>
      <c r="BL275" s="4" t="s">
        <v>122</v>
      </c>
      <c r="BM275" s="4" t="s">
        <v>122</v>
      </c>
      <c r="BN275" s="4" t="s">
        <v>122</v>
      </c>
      <c r="BO275" s="3">
        <v>6.5</v>
      </c>
      <c r="BP275" s="3">
        <v>6.5</v>
      </c>
      <c r="BQ275" s="3">
        <v>3</v>
      </c>
      <c r="BR275" s="4" t="s">
        <v>125</v>
      </c>
      <c r="BS275" s="4" t="s">
        <v>122</v>
      </c>
      <c r="BT275" s="4" t="s">
        <v>122</v>
      </c>
      <c r="BU275" s="4" t="s">
        <v>122</v>
      </c>
      <c r="BV275" s="4" t="s">
        <v>122</v>
      </c>
      <c r="BW275" s="4" t="s">
        <v>122</v>
      </c>
      <c r="BX275" s="4" t="s">
        <v>122</v>
      </c>
      <c r="BY275" s="4" t="s">
        <v>122</v>
      </c>
      <c r="BZ275" s="4" t="s">
        <v>122</v>
      </c>
      <c r="CA275" s="3">
        <v>1</v>
      </c>
      <c r="CB275" s="3">
        <v>6</v>
      </c>
      <c r="CC275" s="3">
        <v>2</v>
      </c>
      <c r="CD275" s="3">
        <v>5.5</v>
      </c>
      <c r="CE275" s="3">
        <v>2</v>
      </c>
      <c r="CF275" s="3">
        <v>1</v>
      </c>
      <c r="CG275" s="4" t="s">
        <v>122</v>
      </c>
      <c r="CH275" s="3">
        <v>2.2999999999999998</v>
      </c>
      <c r="CI275" s="4" t="s">
        <v>122</v>
      </c>
      <c r="CJ275" s="4" t="s">
        <v>122</v>
      </c>
      <c r="CK275" s="4" t="s">
        <v>122</v>
      </c>
      <c r="CL275" s="4" t="s">
        <v>122</v>
      </c>
      <c r="CM275" s="4" t="s">
        <v>122</v>
      </c>
      <c r="CN275" s="4" t="s">
        <v>122</v>
      </c>
      <c r="CO275" s="4" t="s">
        <v>125</v>
      </c>
      <c r="CP275" s="4" t="s">
        <v>122</v>
      </c>
      <c r="CQ275" s="4" t="s">
        <v>122</v>
      </c>
      <c r="CR275" s="4" t="s">
        <v>122</v>
      </c>
      <c r="CS275" s="3">
        <v>3</v>
      </c>
      <c r="CT275" s="3">
        <v>4</v>
      </c>
      <c r="CU275" s="42">
        <v>4</v>
      </c>
      <c r="CV275" cm="1">
        <f t="array" ref="CV275">_xlfn.IFS(CU275*1=2,1,CU275*1=4,1,TRUE,0)</f>
        <v>1</v>
      </c>
      <c r="CW275" cm="1">
        <f t="array" ref="CW275">_xlfn.IFS(CU275*1=1,1,CU275*1=2,1,TRUE,0)</f>
        <v>0</v>
      </c>
      <c r="CX275" s="3">
        <f t="shared" si="35"/>
        <v>6</v>
      </c>
      <c r="CY275" s="3">
        <f t="shared" si="36"/>
        <v>5.5</v>
      </c>
      <c r="CZ275" s="3" cm="1">
        <f t="array" ref="CZ275">_xlfn.IFS(BP275&lt;&gt;"", BP275, CV275=1,  AQ275, CV275=0,  AZ275)</f>
        <v>6.5</v>
      </c>
      <c r="DA275" s="36" cm="1">
        <f t="array" ref="DA275">_xlfn.IFS(BO275&lt;&gt;"", BO275, CV275=0,  AQ275, CV275=1,  AZ275)</f>
        <v>6.5</v>
      </c>
      <c r="DB275" s="36">
        <f t="shared" si="37"/>
        <v>-0.5</v>
      </c>
      <c r="DC275" s="3">
        <f t="shared" si="38"/>
        <v>0</v>
      </c>
      <c r="DD275" s="3">
        <f t="shared" si="39"/>
        <v>-0.5</v>
      </c>
      <c r="DE275" s="3">
        <f t="shared" si="42"/>
        <v>0.5</v>
      </c>
      <c r="DF275" s="3">
        <f t="shared" si="40"/>
        <v>0</v>
      </c>
      <c r="DG275" s="3">
        <f t="shared" si="41"/>
        <v>0.5</v>
      </c>
    </row>
    <row r="276" spans="1:112" x14ac:dyDescent="0.4">
      <c r="A276">
        <v>202511</v>
      </c>
      <c r="B276">
        <v>456</v>
      </c>
      <c r="C276" s="5">
        <v>45969.461342592593</v>
      </c>
      <c r="D276" s="5">
        <v>45969.465474537035</v>
      </c>
      <c r="E276" s="3">
        <v>0</v>
      </c>
      <c r="F276" s="4" t="s">
        <v>325</v>
      </c>
      <c r="G276" s="3">
        <v>100</v>
      </c>
      <c r="H276" s="3">
        <v>357</v>
      </c>
      <c r="I276" s="3">
        <v>1</v>
      </c>
      <c r="J276" s="5">
        <v>45969.46548230324</v>
      </c>
      <c r="K276" s="4" t="s">
        <v>324</v>
      </c>
      <c r="L276" s="4" t="s">
        <v>122</v>
      </c>
      <c r="M276" s="4" t="s">
        <v>122</v>
      </c>
      <c r="N276" s="4" t="s">
        <v>122</v>
      </c>
      <c r="O276" s="4" t="s">
        <v>122</v>
      </c>
      <c r="P276" s="3">
        <v>36.122</v>
      </c>
      <c r="Q276" s="3">
        <v>-115.086</v>
      </c>
      <c r="R276" s="4" t="s">
        <v>129</v>
      </c>
      <c r="S276" s="4" t="s">
        <v>124</v>
      </c>
      <c r="T276" s="3">
        <v>4</v>
      </c>
      <c r="U276" s="3">
        <v>1</v>
      </c>
      <c r="V276" s="3">
        <v>2</v>
      </c>
      <c r="W276" s="3">
        <v>2</v>
      </c>
      <c r="X276" s="3">
        <v>1</v>
      </c>
      <c r="Y276" s="3">
        <v>4</v>
      </c>
      <c r="Z276" s="3">
        <v>4</v>
      </c>
      <c r="AA276" s="3">
        <v>3</v>
      </c>
      <c r="AB276" s="4" t="s">
        <v>122</v>
      </c>
      <c r="AC276" s="4" t="s">
        <v>122</v>
      </c>
      <c r="AD276" s="4" t="s">
        <v>122</v>
      </c>
      <c r="AE276" s="4" t="s">
        <v>122</v>
      </c>
      <c r="AF276" s="4" t="s">
        <v>122</v>
      </c>
      <c r="AG276" s="3">
        <v>3</v>
      </c>
      <c r="AH276" s="3">
        <v>5</v>
      </c>
      <c r="AI276" s="3">
        <v>2</v>
      </c>
      <c r="AJ276" s="3">
        <v>6</v>
      </c>
      <c r="AK276" s="3">
        <v>6</v>
      </c>
      <c r="AL276" s="3">
        <v>5</v>
      </c>
      <c r="AM276" s="3">
        <v>5</v>
      </c>
      <c r="AN276" s="3">
        <v>5</v>
      </c>
      <c r="AO276" s="3">
        <v>2</v>
      </c>
      <c r="AP276" s="3">
        <v>3</v>
      </c>
      <c r="AQ276" s="3">
        <v>4.5</v>
      </c>
      <c r="AR276" s="3">
        <v>2</v>
      </c>
      <c r="AS276" s="3">
        <v>3</v>
      </c>
      <c r="AT276" s="3">
        <v>4</v>
      </c>
      <c r="AU276" s="3">
        <v>6</v>
      </c>
      <c r="AV276" s="3">
        <v>2</v>
      </c>
      <c r="AW276" s="3">
        <v>5</v>
      </c>
      <c r="AX276" s="3">
        <v>4</v>
      </c>
      <c r="AY276" s="3">
        <v>4</v>
      </c>
      <c r="AZ276" s="3">
        <v>4</v>
      </c>
      <c r="BA276" s="3">
        <v>2</v>
      </c>
      <c r="BB276" s="3">
        <v>4</v>
      </c>
      <c r="BC276" s="3">
        <v>6</v>
      </c>
      <c r="BD276" s="3">
        <v>2</v>
      </c>
      <c r="BE276" s="4" t="s">
        <v>125</v>
      </c>
      <c r="BF276" s="4" t="s">
        <v>122</v>
      </c>
      <c r="BG276" s="4" t="s">
        <v>122</v>
      </c>
      <c r="BH276" s="4" t="s">
        <v>122</v>
      </c>
      <c r="BI276" s="4" t="s">
        <v>122</v>
      </c>
      <c r="BJ276" s="4" t="s">
        <v>122</v>
      </c>
      <c r="BK276" s="4" t="s">
        <v>122</v>
      </c>
      <c r="BL276" s="4" t="s">
        <v>125</v>
      </c>
      <c r="BM276" s="4" t="s">
        <v>122</v>
      </c>
      <c r="BN276" s="3">
        <v>7</v>
      </c>
      <c r="BO276" s="4" t="s">
        <v>122</v>
      </c>
      <c r="BP276" s="4" t="s">
        <v>122</v>
      </c>
      <c r="BQ276" s="4" t="s">
        <v>122</v>
      </c>
      <c r="BR276" s="4" t="s">
        <v>122</v>
      </c>
      <c r="BS276" s="4" t="s">
        <v>122</v>
      </c>
      <c r="BT276" s="4" t="s">
        <v>122</v>
      </c>
      <c r="BU276" s="4" t="s">
        <v>122</v>
      </c>
      <c r="BV276" s="4" t="s">
        <v>122</v>
      </c>
      <c r="BW276" s="4" t="s">
        <v>122</v>
      </c>
      <c r="BX276" s="4" t="s">
        <v>122</v>
      </c>
      <c r="BY276" s="4" t="s">
        <v>122</v>
      </c>
      <c r="BZ276" s="4" t="s">
        <v>122</v>
      </c>
      <c r="CA276" s="4" t="s">
        <v>122</v>
      </c>
      <c r="CB276" s="4" t="s">
        <v>122</v>
      </c>
      <c r="CC276" s="4" t="s">
        <v>122</v>
      </c>
      <c r="CD276" s="4" t="s">
        <v>122</v>
      </c>
      <c r="CE276" s="4" t="s">
        <v>122</v>
      </c>
      <c r="CF276" s="3">
        <v>2</v>
      </c>
      <c r="CG276" s="4" t="s">
        <v>122</v>
      </c>
      <c r="CH276" s="3">
        <v>2.2999999999999998</v>
      </c>
      <c r="CI276" s="4" t="s">
        <v>122</v>
      </c>
      <c r="CJ276" s="4" t="s">
        <v>122</v>
      </c>
      <c r="CK276" s="4" t="s">
        <v>122</v>
      </c>
      <c r="CL276" s="4" t="s">
        <v>122</v>
      </c>
      <c r="CM276" s="4" t="s">
        <v>122</v>
      </c>
      <c r="CN276" s="4" t="s">
        <v>122</v>
      </c>
      <c r="CO276" s="4" t="s">
        <v>125</v>
      </c>
      <c r="CP276" s="4" t="s">
        <v>122</v>
      </c>
      <c r="CQ276" s="4" t="s">
        <v>122</v>
      </c>
      <c r="CR276" s="4" t="s">
        <v>122</v>
      </c>
      <c r="CS276" s="3">
        <v>4</v>
      </c>
      <c r="CT276" s="3">
        <v>3</v>
      </c>
      <c r="CU276" s="42">
        <v>2</v>
      </c>
      <c r="CV276" cm="1">
        <f t="array" ref="CV276">_xlfn.IFS(CU276*1=2,1,CU276*1=4,1,TRUE,0)</f>
        <v>1</v>
      </c>
      <c r="CW276" cm="1">
        <f t="array" ref="CW276">_xlfn.IFS(CU276*1=1,1,CU276*1=2,1,TRUE,0)</f>
        <v>1</v>
      </c>
      <c r="CX276" s="3">
        <f t="shared" si="35"/>
        <v>4</v>
      </c>
      <c r="CY276" s="3">
        <f t="shared" si="36"/>
        <v>6</v>
      </c>
      <c r="CZ276" s="3" cm="1">
        <f t="array" ref="CZ276">_xlfn.IFS(BP276&lt;&gt;"", BP276, CV276=1,  AQ276, CV276=0,  AZ276)</f>
        <v>4.5</v>
      </c>
      <c r="DA276" s="36" cm="1">
        <f t="array" ref="DA276">_xlfn.IFS(BO276&lt;&gt;"", BO276, CV276=0,  AQ276, CV276=1,  AZ276)</f>
        <v>4</v>
      </c>
      <c r="DB276" s="36">
        <f t="shared" si="37"/>
        <v>1</v>
      </c>
      <c r="DC276" s="3">
        <f t="shared" si="38"/>
        <v>-1</v>
      </c>
      <c r="DD276" s="3">
        <f t="shared" si="39"/>
        <v>-0.5</v>
      </c>
      <c r="DE276" s="3">
        <f t="shared" si="42"/>
        <v>1</v>
      </c>
      <c r="DF276" s="3">
        <f t="shared" si="40"/>
        <v>-1</v>
      </c>
      <c r="DG276" s="3">
        <f t="shared" si="41"/>
        <v>-1</v>
      </c>
    </row>
    <row r="277" spans="1:112" x14ac:dyDescent="0.4">
      <c r="A277">
        <v>202511</v>
      </c>
      <c r="B277">
        <v>456</v>
      </c>
      <c r="C277" s="5">
        <v>45969.462650462963</v>
      </c>
      <c r="D277" s="5">
        <v>45969.467280092591</v>
      </c>
      <c r="E277" s="3">
        <v>0</v>
      </c>
      <c r="F277" s="4" t="s">
        <v>323</v>
      </c>
      <c r="G277" s="3">
        <v>100</v>
      </c>
      <c r="H277" s="3">
        <v>400</v>
      </c>
      <c r="I277" s="3">
        <v>1</v>
      </c>
      <c r="J277" s="5">
        <v>45969.467293148147</v>
      </c>
      <c r="K277" s="4" t="s">
        <v>322</v>
      </c>
      <c r="L277" s="4" t="s">
        <v>122</v>
      </c>
      <c r="M277" s="4" t="s">
        <v>122</v>
      </c>
      <c r="N277" s="4" t="s">
        <v>122</v>
      </c>
      <c r="O277" s="4" t="s">
        <v>122</v>
      </c>
      <c r="P277" s="3">
        <v>36.172400000000003</v>
      </c>
      <c r="Q277" s="3">
        <v>-115.0677</v>
      </c>
      <c r="R277" s="4" t="s">
        <v>129</v>
      </c>
      <c r="S277" s="4" t="s">
        <v>124</v>
      </c>
      <c r="T277" s="3">
        <v>4</v>
      </c>
      <c r="U277" s="3">
        <v>0</v>
      </c>
      <c r="V277" s="3">
        <v>1</v>
      </c>
      <c r="W277" s="3">
        <v>1</v>
      </c>
      <c r="X277" s="3">
        <v>1</v>
      </c>
      <c r="Y277" s="3">
        <v>1</v>
      </c>
      <c r="Z277" s="3">
        <v>1</v>
      </c>
      <c r="AA277" s="3">
        <v>1</v>
      </c>
      <c r="AB277" s="4" t="s">
        <v>122</v>
      </c>
      <c r="AC277" s="4" t="s">
        <v>122</v>
      </c>
      <c r="AD277" s="4" t="s">
        <v>122</v>
      </c>
      <c r="AE277" s="4" t="s">
        <v>122</v>
      </c>
      <c r="AF277" s="4" t="s">
        <v>122</v>
      </c>
      <c r="AG277" s="3">
        <v>4</v>
      </c>
      <c r="AH277" s="3">
        <v>6</v>
      </c>
      <c r="AI277" s="3">
        <v>2</v>
      </c>
      <c r="AJ277" s="3">
        <v>8</v>
      </c>
      <c r="AK277" s="3">
        <v>8</v>
      </c>
      <c r="AL277" s="3">
        <v>8</v>
      </c>
      <c r="AM277" s="3">
        <v>8</v>
      </c>
      <c r="AN277" s="3">
        <v>8</v>
      </c>
      <c r="AO277" s="3">
        <v>3</v>
      </c>
      <c r="AP277" s="3">
        <v>3</v>
      </c>
      <c r="AQ277" s="4" t="s">
        <v>122</v>
      </c>
      <c r="AR277" s="4" t="s">
        <v>122</v>
      </c>
      <c r="AS277" s="3">
        <v>6</v>
      </c>
      <c r="AT277" s="3">
        <v>5</v>
      </c>
      <c r="AU277" s="3">
        <v>5</v>
      </c>
      <c r="AV277" s="3">
        <v>4</v>
      </c>
      <c r="AW277" s="3">
        <v>4</v>
      </c>
      <c r="AX277" s="3">
        <v>3</v>
      </c>
      <c r="AY277" s="3">
        <v>2</v>
      </c>
      <c r="AZ277" s="4" t="s">
        <v>122</v>
      </c>
      <c r="BA277" s="4" t="s">
        <v>122</v>
      </c>
      <c r="BB277" s="4" t="s">
        <v>122</v>
      </c>
      <c r="BC277" s="4" t="s">
        <v>122</v>
      </c>
      <c r="BD277" s="4" t="s">
        <v>122</v>
      </c>
      <c r="BE277" s="4" t="s">
        <v>122</v>
      </c>
      <c r="BF277" s="4" t="s">
        <v>122</v>
      </c>
      <c r="BG277" s="4" t="s">
        <v>122</v>
      </c>
      <c r="BH277" s="4" t="s">
        <v>122</v>
      </c>
      <c r="BI277" s="4" t="s">
        <v>122</v>
      </c>
      <c r="BJ277" s="4" t="s">
        <v>122</v>
      </c>
      <c r="BK277" s="4" t="s">
        <v>122</v>
      </c>
      <c r="BL277" s="4" t="s">
        <v>122</v>
      </c>
      <c r="BM277" s="4" t="s">
        <v>122</v>
      </c>
      <c r="BN277" s="4" t="s">
        <v>122</v>
      </c>
      <c r="BO277" s="3">
        <v>6</v>
      </c>
      <c r="BP277" s="3">
        <v>6</v>
      </c>
      <c r="BQ277" s="3">
        <v>2</v>
      </c>
      <c r="BR277" s="4" t="s">
        <v>122</v>
      </c>
      <c r="BS277" s="4" t="s">
        <v>122</v>
      </c>
      <c r="BT277" s="4" t="s">
        <v>122</v>
      </c>
      <c r="BU277" s="4" t="s">
        <v>122</v>
      </c>
      <c r="BV277" s="4" t="s">
        <v>122</v>
      </c>
      <c r="BW277" s="4" t="s">
        <v>122</v>
      </c>
      <c r="BX277" s="4" t="s">
        <v>122</v>
      </c>
      <c r="BY277" s="4" t="s">
        <v>122</v>
      </c>
      <c r="BZ277" s="4" t="s">
        <v>125</v>
      </c>
      <c r="CA277" s="4" t="s">
        <v>122</v>
      </c>
      <c r="CB277" s="3">
        <v>4</v>
      </c>
      <c r="CC277" s="3">
        <v>2</v>
      </c>
      <c r="CD277" s="3">
        <v>6</v>
      </c>
      <c r="CE277" s="3">
        <v>2</v>
      </c>
      <c r="CF277" s="3">
        <v>2</v>
      </c>
      <c r="CG277" s="4" t="s">
        <v>122</v>
      </c>
      <c r="CH277" s="3">
        <v>6</v>
      </c>
      <c r="CI277" s="4" t="s">
        <v>122</v>
      </c>
      <c r="CJ277" s="4" t="s">
        <v>122</v>
      </c>
      <c r="CK277" s="4" t="s">
        <v>122</v>
      </c>
      <c r="CL277" s="4" t="s">
        <v>122</v>
      </c>
      <c r="CM277" s="4" t="s">
        <v>122</v>
      </c>
      <c r="CN277" s="4" t="s">
        <v>122</v>
      </c>
      <c r="CO277" s="4" t="s">
        <v>125</v>
      </c>
      <c r="CP277" s="4" t="s">
        <v>122</v>
      </c>
      <c r="CQ277" s="4" t="s">
        <v>122</v>
      </c>
      <c r="CR277" s="4" t="s">
        <v>122</v>
      </c>
      <c r="CS277" s="3">
        <v>5</v>
      </c>
      <c r="CT277" s="3">
        <v>6</v>
      </c>
      <c r="CU277" s="42">
        <v>4</v>
      </c>
      <c r="CV277" cm="1">
        <f t="array" ref="CV277">_xlfn.IFS(CU277*1=2,1,CU277*1=4,1,TRUE,0)</f>
        <v>1</v>
      </c>
      <c r="CW277" cm="1">
        <f t="array" ref="CW277">_xlfn.IFS(CU277*1=1,1,CU277*1=2,1,TRUE,0)</f>
        <v>0</v>
      </c>
      <c r="CX277" s="3">
        <f t="shared" si="35"/>
        <v>4</v>
      </c>
      <c r="CY277" s="3">
        <f t="shared" si="36"/>
        <v>6</v>
      </c>
      <c r="CZ277" s="3" cm="1">
        <f t="array" ref="CZ277">_xlfn.IFS(BP277&lt;&gt;"", BP277, CV277=1,  AQ277, CV277=0,  AZ277)</f>
        <v>6</v>
      </c>
      <c r="DA277" s="36" cm="1">
        <f t="array" ref="DA277">_xlfn.IFS(BO277&lt;&gt;"", BO277, CV277=0,  AQ277, CV277=1,  AZ277)</f>
        <v>6</v>
      </c>
      <c r="DB277" s="36">
        <f t="shared" si="37"/>
        <v>0</v>
      </c>
      <c r="DC277" s="3">
        <f t="shared" si="38"/>
        <v>-2</v>
      </c>
      <c r="DD277" s="3">
        <f t="shared" si="39"/>
        <v>0</v>
      </c>
      <c r="DE277" s="3">
        <f t="shared" si="42"/>
        <v>0</v>
      </c>
      <c r="DF277" s="3">
        <f t="shared" si="40"/>
        <v>-2</v>
      </c>
      <c r="DG277" s="3">
        <f t="shared" si="41"/>
        <v>0</v>
      </c>
    </row>
    <row r="278" spans="1:112" x14ac:dyDescent="0.4">
      <c r="A278">
        <v>202511</v>
      </c>
      <c r="B278">
        <v>456</v>
      </c>
      <c r="C278" s="5">
        <v>45969.466863425929</v>
      </c>
      <c r="D278" s="5">
        <v>45969.470208333332</v>
      </c>
      <c r="E278" s="3">
        <v>0</v>
      </c>
      <c r="F278" s="4" t="s">
        <v>237</v>
      </c>
      <c r="G278" s="3">
        <v>100</v>
      </c>
      <c r="H278" s="3">
        <v>289</v>
      </c>
      <c r="I278" s="3">
        <v>1</v>
      </c>
      <c r="J278" s="5">
        <v>45969.470215810186</v>
      </c>
      <c r="K278" s="4" t="s">
        <v>321</v>
      </c>
      <c r="L278" s="4" t="s">
        <v>122</v>
      </c>
      <c r="M278" s="4" t="s">
        <v>122</v>
      </c>
      <c r="N278" s="4" t="s">
        <v>122</v>
      </c>
      <c r="O278" s="4" t="s">
        <v>122</v>
      </c>
      <c r="P278" s="3">
        <v>36.199100000000001</v>
      </c>
      <c r="Q278" s="3">
        <v>-115.11199999999999</v>
      </c>
      <c r="R278" s="4" t="s">
        <v>129</v>
      </c>
      <c r="S278" s="4" t="s">
        <v>124</v>
      </c>
      <c r="T278" s="3">
        <v>4</v>
      </c>
      <c r="U278" s="3">
        <v>1</v>
      </c>
      <c r="V278" s="3">
        <v>2</v>
      </c>
      <c r="W278" s="3">
        <v>2</v>
      </c>
      <c r="X278" s="3">
        <v>1</v>
      </c>
      <c r="Y278" s="3">
        <v>1</v>
      </c>
      <c r="Z278" s="3">
        <v>3</v>
      </c>
      <c r="AA278" s="3">
        <v>4</v>
      </c>
      <c r="AB278" s="4" t="s">
        <v>122</v>
      </c>
      <c r="AC278" s="4" t="s">
        <v>122</v>
      </c>
      <c r="AD278" s="4" t="s">
        <v>122</v>
      </c>
      <c r="AE278" s="4" t="s">
        <v>122</v>
      </c>
      <c r="AF278" s="4" t="s">
        <v>122</v>
      </c>
      <c r="AG278" s="3">
        <v>3</v>
      </c>
      <c r="AH278" s="3">
        <v>0</v>
      </c>
      <c r="AI278" s="4" t="s">
        <v>122</v>
      </c>
      <c r="AJ278" s="3">
        <v>7</v>
      </c>
      <c r="AK278" s="3">
        <v>9</v>
      </c>
      <c r="AL278" s="3">
        <v>7</v>
      </c>
      <c r="AM278" s="3">
        <v>7</v>
      </c>
      <c r="AN278" s="3">
        <v>7</v>
      </c>
      <c r="AO278" s="3">
        <v>3</v>
      </c>
      <c r="AP278" s="3">
        <v>4</v>
      </c>
      <c r="AQ278" s="3">
        <v>0</v>
      </c>
      <c r="AR278" s="4" t="s">
        <v>122</v>
      </c>
      <c r="AS278" s="3">
        <v>8</v>
      </c>
      <c r="AT278" s="3">
        <v>7</v>
      </c>
      <c r="AU278" s="3">
        <v>8</v>
      </c>
      <c r="AV278" s="3">
        <v>8</v>
      </c>
      <c r="AW278" s="3">
        <v>8</v>
      </c>
      <c r="AX278" s="3">
        <v>3</v>
      </c>
      <c r="AY278" s="3">
        <v>4</v>
      </c>
      <c r="AZ278" s="3">
        <v>6</v>
      </c>
      <c r="BA278" s="3">
        <v>2</v>
      </c>
      <c r="BB278" s="3">
        <v>0</v>
      </c>
      <c r="BC278" s="3">
        <v>0</v>
      </c>
      <c r="BD278" s="3">
        <v>2</v>
      </c>
      <c r="BE278" s="4" t="s">
        <v>125</v>
      </c>
      <c r="BF278" s="4" t="s">
        <v>122</v>
      </c>
      <c r="BG278" s="4" t="s">
        <v>125</v>
      </c>
      <c r="BH278" s="4" t="s">
        <v>122</v>
      </c>
      <c r="BI278" s="4" t="s">
        <v>125</v>
      </c>
      <c r="BJ278" s="4" t="s">
        <v>122</v>
      </c>
      <c r="BK278" s="4" t="s">
        <v>122</v>
      </c>
      <c r="BL278" s="4" t="s">
        <v>122</v>
      </c>
      <c r="BM278" s="4" t="s">
        <v>122</v>
      </c>
      <c r="BN278" s="3">
        <v>3</v>
      </c>
      <c r="BO278" s="4" t="s">
        <v>122</v>
      </c>
      <c r="BP278" s="4" t="s">
        <v>122</v>
      </c>
      <c r="BQ278" s="4" t="s">
        <v>122</v>
      </c>
      <c r="BR278" s="4" t="s">
        <v>122</v>
      </c>
      <c r="BS278" s="4" t="s">
        <v>122</v>
      </c>
      <c r="BT278" s="4" t="s">
        <v>122</v>
      </c>
      <c r="BU278" s="4" t="s">
        <v>122</v>
      </c>
      <c r="BV278" s="4" t="s">
        <v>122</v>
      </c>
      <c r="BW278" s="4" t="s">
        <v>122</v>
      </c>
      <c r="BX278" s="4" t="s">
        <v>122</v>
      </c>
      <c r="BY278" s="4" t="s">
        <v>122</v>
      </c>
      <c r="BZ278" s="4" t="s">
        <v>122</v>
      </c>
      <c r="CA278" s="4" t="s">
        <v>122</v>
      </c>
      <c r="CB278" s="4" t="s">
        <v>122</v>
      </c>
      <c r="CC278" s="4" t="s">
        <v>122</v>
      </c>
      <c r="CD278" s="4" t="s">
        <v>122</v>
      </c>
      <c r="CE278" s="4" t="s">
        <v>122</v>
      </c>
      <c r="CF278" s="3">
        <v>1</v>
      </c>
      <c r="CG278" s="4" t="s">
        <v>122</v>
      </c>
      <c r="CH278" s="3">
        <v>4</v>
      </c>
      <c r="CI278" s="4" t="s">
        <v>122</v>
      </c>
      <c r="CJ278" s="4" t="s">
        <v>122</v>
      </c>
      <c r="CK278" s="4" t="s">
        <v>122</v>
      </c>
      <c r="CL278" s="4" t="s">
        <v>122</v>
      </c>
      <c r="CM278" s="4" t="s">
        <v>122</v>
      </c>
      <c r="CN278" s="4" t="s">
        <v>122</v>
      </c>
      <c r="CO278" s="4" t="s">
        <v>125</v>
      </c>
      <c r="CP278" s="4" t="s">
        <v>122</v>
      </c>
      <c r="CQ278" s="4" t="s">
        <v>122</v>
      </c>
      <c r="CR278" s="4" t="s">
        <v>122</v>
      </c>
      <c r="CS278" s="3">
        <v>3</v>
      </c>
      <c r="CT278" s="3">
        <v>2</v>
      </c>
      <c r="CU278" s="42">
        <v>2</v>
      </c>
      <c r="CV278" cm="1">
        <f t="array" ref="CV278">_xlfn.IFS(CU278*1=2,1,CU278*1=4,1,TRUE,0)</f>
        <v>1</v>
      </c>
      <c r="CW278" cm="1">
        <f t="array" ref="CW278">_xlfn.IFS(CU278*1=1,1,CU278*1=2,1,TRUE,0)</f>
        <v>1</v>
      </c>
      <c r="CX278" s="3">
        <f t="shared" si="35"/>
        <v>0</v>
      </c>
      <c r="CY278" s="3">
        <f t="shared" si="36"/>
        <v>0</v>
      </c>
      <c r="CZ278" s="3" cm="1">
        <f t="array" ref="CZ278">_xlfn.IFS(BP278&lt;&gt;"", BP278, CV278=1,  AQ278, CV278=0,  AZ278)</f>
        <v>0</v>
      </c>
      <c r="DA278" s="36" cm="1">
        <f t="array" ref="DA278">_xlfn.IFS(BO278&lt;&gt;"", BO278, CV278=0,  AQ278, CV278=1,  AZ278)</f>
        <v>6</v>
      </c>
      <c r="DB278" s="36">
        <f t="shared" si="37"/>
        <v>0</v>
      </c>
      <c r="DC278" s="3">
        <f t="shared" si="38"/>
        <v>0</v>
      </c>
      <c r="DD278" s="3">
        <f t="shared" si="39"/>
        <v>0</v>
      </c>
      <c r="DE278" s="3">
        <f t="shared" si="42"/>
        <v>0</v>
      </c>
      <c r="DF278" s="3">
        <f t="shared" si="40"/>
        <v>6</v>
      </c>
      <c r="DG278" s="3">
        <f t="shared" si="41"/>
        <v>0</v>
      </c>
    </row>
    <row r="279" spans="1:112" x14ac:dyDescent="0.4">
      <c r="A279">
        <v>202511</v>
      </c>
      <c r="B279">
        <v>456</v>
      </c>
      <c r="C279" s="5">
        <v>45969.467974537038</v>
      </c>
      <c r="D279" s="5">
        <v>45969.471851851849</v>
      </c>
      <c r="E279" s="3">
        <v>0</v>
      </c>
      <c r="F279" s="4" t="s">
        <v>320</v>
      </c>
      <c r="G279" s="3">
        <v>100</v>
      </c>
      <c r="H279" s="3">
        <v>335</v>
      </c>
      <c r="I279" s="3">
        <v>1</v>
      </c>
      <c r="J279" s="5">
        <v>45969.471859814817</v>
      </c>
      <c r="K279" s="4" t="s">
        <v>319</v>
      </c>
      <c r="L279" s="4" t="s">
        <v>122</v>
      </c>
      <c r="M279" s="4" t="s">
        <v>122</v>
      </c>
      <c r="N279" s="4" t="s">
        <v>122</v>
      </c>
      <c r="O279" s="4" t="s">
        <v>122</v>
      </c>
      <c r="P279" s="3">
        <v>32.250300000000003</v>
      </c>
      <c r="Q279" s="3">
        <v>-110.94499999999999</v>
      </c>
      <c r="R279" s="4" t="s">
        <v>129</v>
      </c>
      <c r="S279" s="4" t="s">
        <v>124</v>
      </c>
      <c r="T279" s="3">
        <v>4</v>
      </c>
      <c r="U279" s="3">
        <v>1</v>
      </c>
      <c r="V279" s="3">
        <v>5</v>
      </c>
      <c r="W279" s="3">
        <v>2</v>
      </c>
      <c r="X279" s="3">
        <v>2</v>
      </c>
      <c r="Y279" s="3">
        <v>3</v>
      </c>
      <c r="Z279" s="3">
        <v>5</v>
      </c>
      <c r="AA279" s="3">
        <v>3</v>
      </c>
      <c r="AB279" s="4" t="s">
        <v>122</v>
      </c>
      <c r="AC279" s="4" t="s">
        <v>125</v>
      </c>
      <c r="AD279" s="4" t="s">
        <v>122</v>
      </c>
      <c r="AE279" s="4" t="s">
        <v>122</v>
      </c>
      <c r="AF279" s="4" t="s">
        <v>122</v>
      </c>
      <c r="AG279" s="3">
        <v>2</v>
      </c>
      <c r="AH279" s="3">
        <v>6</v>
      </c>
      <c r="AI279" s="3">
        <v>3</v>
      </c>
      <c r="AJ279" s="3">
        <v>3</v>
      </c>
      <c r="AK279" s="3">
        <v>6</v>
      </c>
      <c r="AL279" s="3">
        <v>5</v>
      </c>
      <c r="AM279" s="3">
        <v>2</v>
      </c>
      <c r="AN279" s="3">
        <v>3</v>
      </c>
      <c r="AO279" s="3">
        <v>3</v>
      </c>
      <c r="AP279" s="3">
        <v>1</v>
      </c>
      <c r="AQ279" s="3">
        <v>2</v>
      </c>
      <c r="AR279" s="3">
        <v>3</v>
      </c>
      <c r="AS279" s="3">
        <v>2</v>
      </c>
      <c r="AT279" s="3">
        <v>8</v>
      </c>
      <c r="AU279" s="3">
        <v>4</v>
      </c>
      <c r="AV279" s="3">
        <v>1</v>
      </c>
      <c r="AW279" s="3">
        <v>3</v>
      </c>
      <c r="AX279" s="3">
        <v>4</v>
      </c>
      <c r="AY279" s="3">
        <v>1</v>
      </c>
      <c r="AZ279" s="3">
        <v>2</v>
      </c>
      <c r="BA279" s="3">
        <v>3</v>
      </c>
      <c r="BB279" s="3">
        <v>2</v>
      </c>
      <c r="BC279" s="3">
        <v>2</v>
      </c>
      <c r="BD279" s="3">
        <v>3</v>
      </c>
      <c r="BE279" s="4" t="s">
        <v>125</v>
      </c>
      <c r="BF279" s="4" t="s">
        <v>122</v>
      </c>
      <c r="BG279" s="4" t="s">
        <v>122</v>
      </c>
      <c r="BH279" s="4" t="s">
        <v>122</v>
      </c>
      <c r="BI279" s="4" t="s">
        <v>122</v>
      </c>
      <c r="BJ279" s="4" t="s">
        <v>122</v>
      </c>
      <c r="BK279" s="4" t="s">
        <v>122</v>
      </c>
      <c r="BL279" s="4" t="s">
        <v>122</v>
      </c>
      <c r="BM279" s="4" t="s">
        <v>122</v>
      </c>
      <c r="BN279" s="4" t="s">
        <v>122</v>
      </c>
      <c r="BO279" s="4" t="s">
        <v>122</v>
      </c>
      <c r="BP279" s="4" t="s">
        <v>122</v>
      </c>
      <c r="BQ279" s="4" t="s">
        <v>122</v>
      </c>
      <c r="BR279" s="4" t="s">
        <v>122</v>
      </c>
      <c r="BS279" s="4" t="s">
        <v>122</v>
      </c>
      <c r="BT279" s="4" t="s">
        <v>122</v>
      </c>
      <c r="BU279" s="4" t="s">
        <v>122</v>
      </c>
      <c r="BV279" s="4" t="s">
        <v>122</v>
      </c>
      <c r="BW279" s="4" t="s">
        <v>122</v>
      </c>
      <c r="BX279" s="4" t="s">
        <v>122</v>
      </c>
      <c r="BY279" s="4" t="s">
        <v>122</v>
      </c>
      <c r="BZ279" s="4" t="s">
        <v>122</v>
      </c>
      <c r="CA279" s="4" t="s">
        <v>122</v>
      </c>
      <c r="CB279" s="4" t="s">
        <v>122</v>
      </c>
      <c r="CC279" s="4" t="s">
        <v>122</v>
      </c>
      <c r="CD279" s="4" t="s">
        <v>122</v>
      </c>
      <c r="CE279" s="4" t="s">
        <v>122</v>
      </c>
      <c r="CF279" s="3">
        <v>1</v>
      </c>
      <c r="CG279" s="4" t="s">
        <v>122</v>
      </c>
      <c r="CH279" s="3">
        <v>4</v>
      </c>
      <c r="CI279" s="4" t="s">
        <v>122</v>
      </c>
      <c r="CJ279" s="4" t="s">
        <v>122</v>
      </c>
      <c r="CK279" s="4" t="s">
        <v>122</v>
      </c>
      <c r="CL279" s="4" t="s">
        <v>122</v>
      </c>
      <c r="CM279" s="4" t="s">
        <v>122</v>
      </c>
      <c r="CN279" s="4" t="s">
        <v>122</v>
      </c>
      <c r="CO279" s="4" t="s">
        <v>125</v>
      </c>
      <c r="CP279" s="4" t="s">
        <v>122</v>
      </c>
      <c r="CQ279" s="4" t="s">
        <v>122</v>
      </c>
      <c r="CR279" s="4" t="s">
        <v>122</v>
      </c>
      <c r="CS279" s="3">
        <v>5</v>
      </c>
      <c r="CT279" s="3">
        <v>6</v>
      </c>
      <c r="CU279" s="42">
        <v>2</v>
      </c>
      <c r="CV279" cm="1">
        <f t="array" ref="CV279">_xlfn.IFS(CU279*1=2,1,CU279*1=4,1,TRUE,0)</f>
        <v>1</v>
      </c>
      <c r="CW279" cm="1">
        <f t="array" ref="CW279">_xlfn.IFS(CU279*1=1,1,CU279*1=2,1,TRUE,0)</f>
        <v>1</v>
      </c>
      <c r="CX279" s="3">
        <f t="shared" si="35"/>
        <v>2</v>
      </c>
      <c r="CY279" s="3">
        <f t="shared" si="36"/>
        <v>2</v>
      </c>
      <c r="CZ279" s="3" cm="1">
        <f t="array" ref="CZ279">_xlfn.IFS(BP279&lt;&gt;"", BP279, CV279=1,  AQ279, CV279=0,  AZ279)</f>
        <v>2</v>
      </c>
      <c r="DA279" s="36" cm="1">
        <f t="array" ref="DA279">_xlfn.IFS(BO279&lt;&gt;"", BO279, CV279=0,  AQ279, CV279=1,  AZ279)</f>
        <v>2</v>
      </c>
      <c r="DB279" s="36">
        <f t="shared" si="37"/>
        <v>-4</v>
      </c>
      <c r="DC279" s="3">
        <f t="shared" si="38"/>
        <v>-4</v>
      </c>
      <c r="DD279" s="3">
        <f t="shared" si="39"/>
        <v>-4</v>
      </c>
      <c r="DE279" s="3">
        <f t="shared" si="42"/>
        <v>-4</v>
      </c>
      <c r="DF279" s="3">
        <f t="shared" si="40"/>
        <v>-4</v>
      </c>
      <c r="DG279" s="3">
        <f t="shared" si="41"/>
        <v>-4</v>
      </c>
    </row>
    <row r="280" spans="1:112" x14ac:dyDescent="0.4">
      <c r="A280">
        <v>202511</v>
      </c>
      <c r="B280">
        <v>123</v>
      </c>
      <c r="C280" s="1">
        <v>45969.468368055554</v>
      </c>
      <c r="D280" s="1">
        <v>45969.472743055558</v>
      </c>
      <c r="E280">
        <v>0</v>
      </c>
      <c r="F280" s="2" t="s">
        <v>194</v>
      </c>
      <c r="G280">
        <v>100</v>
      </c>
      <c r="H280">
        <v>377</v>
      </c>
      <c r="I280">
        <v>1</v>
      </c>
      <c r="J280" s="1">
        <v>45969.472751805559</v>
      </c>
      <c r="K280" s="2" t="s">
        <v>195</v>
      </c>
      <c r="L280" s="2" t="s">
        <v>122</v>
      </c>
      <c r="M280" s="2" t="s">
        <v>122</v>
      </c>
      <c r="N280" s="2" t="s">
        <v>122</v>
      </c>
      <c r="O280" s="2" t="s">
        <v>122</v>
      </c>
      <c r="P280">
        <v>37.1038</v>
      </c>
      <c r="Q280">
        <v>-113.57640000000001</v>
      </c>
      <c r="R280" s="2" t="s">
        <v>129</v>
      </c>
      <c r="S280" s="2" t="s">
        <v>124</v>
      </c>
      <c r="T280">
        <v>4</v>
      </c>
      <c r="U280">
        <v>1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 s="2" t="s">
        <v>122</v>
      </c>
      <c r="AC280" s="2" t="s">
        <v>122</v>
      </c>
      <c r="AD280" s="2" t="s">
        <v>122</v>
      </c>
      <c r="AE280" s="2" t="s">
        <v>122</v>
      </c>
      <c r="AF280" s="2" t="s">
        <v>122</v>
      </c>
      <c r="AG280">
        <v>2</v>
      </c>
      <c r="AH280">
        <v>4</v>
      </c>
      <c r="AI280">
        <v>3</v>
      </c>
      <c r="AJ280">
        <v>7</v>
      </c>
      <c r="AK280">
        <v>7</v>
      </c>
      <c r="AL280">
        <v>6</v>
      </c>
      <c r="AM280">
        <v>6</v>
      </c>
      <c r="AN280">
        <v>7</v>
      </c>
      <c r="AO280">
        <v>1</v>
      </c>
      <c r="AP280">
        <v>2</v>
      </c>
      <c r="AQ280" s="2" t="s">
        <v>122</v>
      </c>
      <c r="AR280" s="2" t="s">
        <v>122</v>
      </c>
      <c r="AS280">
        <v>3</v>
      </c>
      <c r="AT280">
        <v>5</v>
      </c>
      <c r="AU280">
        <v>7</v>
      </c>
      <c r="AV280">
        <v>3</v>
      </c>
      <c r="AW280">
        <v>5</v>
      </c>
      <c r="AX280">
        <v>4</v>
      </c>
      <c r="AY280">
        <v>2</v>
      </c>
      <c r="AZ280" s="2" t="s">
        <v>122</v>
      </c>
      <c r="BA280" s="2" t="s">
        <v>122</v>
      </c>
      <c r="BB280" s="2" t="s">
        <v>122</v>
      </c>
      <c r="BC280" s="2" t="s">
        <v>122</v>
      </c>
      <c r="BD280" s="2" t="s">
        <v>122</v>
      </c>
      <c r="BE280" s="2" t="s">
        <v>122</v>
      </c>
      <c r="BF280" s="2" t="s">
        <v>122</v>
      </c>
      <c r="BG280" s="2" t="s">
        <v>122</v>
      </c>
      <c r="BH280" s="2" t="s">
        <v>122</v>
      </c>
      <c r="BI280" s="2" t="s">
        <v>122</v>
      </c>
      <c r="BJ280" s="2" t="s">
        <v>122</v>
      </c>
      <c r="BK280" s="2" t="s">
        <v>122</v>
      </c>
      <c r="BL280" s="2" t="s">
        <v>122</v>
      </c>
      <c r="BM280" s="2" t="s">
        <v>122</v>
      </c>
      <c r="BN280" s="2" t="s">
        <v>122</v>
      </c>
      <c r="BO280">
        <v>2</v>
      </c>
      <c r="BP280">
        <v>6</v>
      </c>
      <c r="BQ280">
        <v>2</v>
      </c>
      <c r="BR280" s="2" t="s">
        <v>125</v>
      </c>
      <c r="BS280" s="2" t="s">
        <v>125</v>
      </c>
      <c r="BT280" s="2" t="s">
        <v>122</v>
      </c>
      <c r="BU280" s="2" t="s">
        <v>122</v>
      </c>
      <c r="BV280" s="2" t="s">
        <v>125</v>
      </c>
      <c r="BW280" s="2" t="s">
        <v>122</v>
      </c>
      <c r="BX280" s="2" t="s">
        <v>122</v>
      </c>
      <c r="BY280" s="2" t="s">
        <v>122</v>
      </c>
      <c r="BZ280" s="2" t="s">
        <v>122</v>
      </c>
      <c r="CA280">
        <v>4</v>
      </c>
      <c r="CB280">
        <v>4.5</v>
      </c>
      <c r="CC280">
        <v>2</v>
      </c>
      <c r="CD280">
        <v>0</v>
      </c>
      <c r="CE280" s="2" t="s">
        <v>122</v>
      </c>
      <c r="CF280">
        <v>2</v>
      </c>
      <c r="CG280" s="2" t="s">
        <v>122</v>
      </c>
      <c r="CH280">
        <v>3</v>
      </c>
      <c r="CI280" s="2" t="s">
        <v>122</v>
      </c>
      <c r="CJ280" s="2" t="s">
        <v>122</v>
      </c>
      <c r="CK280" s="2" t="s">
        <v>125</v>
      </c>
      <c r="CL280" s="2" t="s">
        <v>122</v>
      </c>
      <c r="CM280" s="2" t="s">
        <v>122</v>
      </c>
      <c r="CN280" s="2" t="s">
        <v>122</v>
      </c>
      <c r="CO280" s="2" t="s">
        <v>122</v>
      </c>
      <c r="CP280" s="2" t="s">
        <v>122</v>
      </c>
      <c r="CQ280" s="2" t="s">
        <v>122</v>
      </c>
      <c r="CR280" s="2" t="s">
        <v>122</v>
      </c>
      <c r="CS280">
        <v>4</v>
      </c>
      <c r="CT280">
        <v>4</v>
      </c>
      <c r="CU280" s="43">
        <v>3</v>
      </c>
      <c r="CV280" cm="1">
        <f t="array" ref="CV280">_xlfn.IFS(CU280*1=2,1,CU280*1=4,1,TRUE,0)</f>
        <v>0</v>
      </c>
      <c r="CW280" cm="1">
        <f t="array" ref="CW280">_xlfn.IFS(CU280*1=1,1,CU280*1=2,1,TRUE,0)</f>
        <v>0</v>
      </c>
      <c r="CX280" s="3">
        <f t="shared" si="35"/>
        <v>4.5</v>
      </c>
      <c r="CY280" s="3">
        <f t="shared" si="36"/>
        <v>0</v>
      </c>
      <c r="CZ280" s="3" cm="1">
        <f t="array" ref="CZ280">_xlfn.IFS(BP280&lt;&gt;"", BP280, CV280=1,  AQ280, CV280=0,  AZ280)</f>
        <v>6</v>
      </c>
      <c r="DA280" s="36" cm="1">
        <f t="array" ref="DA280">_xlfn.IFS(BO280&lt;&gt;"", BO280, CV280=0,  AQ280, CV280=1,  AZ280)</f>
        <v>2</v>
      </c>
      <c r="DB280" s="36">
        <f t="shared" si="37"/>
        <v>-4</v>
      </c>
      <c r="DC280" s="3">
        <f t="shared" si="38"/>
        <v>0.5</v>
      </c>
      <c r="DD280" s="3">
        <f t="shared" si="39"/>
        <v>-4</v>
      </c>
      <c r="DE280" s="3">
        <f t="shared" si="42"/>
        <v>2</v>
      </c>
      <c r="DF280" s="3">
        <f t="shared" si="40"/>
        <v>0.5</v>
      </c>
      <c r="DG280" s="3">
        <f t="shared" si="41"/>
        <v>-2</v>
      </c>
    </row>
    <row r="281" spans="1:112" x14ac:dyDescent="0.4">
      <c r="A281">
        <v>202511</v>
      </c>
      <c r="B281">
        <v>123</v>
      </c>
      <c r="C281" s="1">
        <v>45969.468391203707</v>
      </c>
      <c r="D281" s="1">
        <v>45969.471770833334</v>
      </c>
      <c r="E281">
        <v>0</v>
      </c>
      <c r="F281" s="2" t="s">
        <v>192</v>
      </c>
      <c r="G281">
        <v>100</v>
      </c>
      <c r="H281">
        <v>292</v>
      </c>
      <c r="I281">
        <v>1</v>
      </c>
      <c r="J281" s="1">
        <v>45969.471784745372</v>
      </c>
      <c r="K281" s="2" t="s">
        <v>193</v>
      </c>
      <c r="L281" s="2" t="s">
        <v>122</v>
      </c>
      <c r="M281" s="2" t="s">
        <v>122</v>
      </c>
      <c r="N281" s="2" t="s">
        <v>122</v>
      </c>
      <c r="O281" s="2" t="s">
        <v>122</v>
      </c>
      <c r="P281">
        <v>32.250300000000003</v>
      </c>
      <c r="Q281">
        <v>-110.94499999999999</v>
      </c>
      <c r="R281" s="2" t="s">
        <v>129</v>
      </c>
      <c r="S281" s="2" t="s">
        <v>124</v>
      </c>
      <c r="T281">
        <v>4</v>
      </c>
      <c r="U281">
        <v>1</v>
      </c>
      <c r="V281">
        <v>2</v>
      </c>
      <c r="W281">
        <v>1</v>
      </c>
      <c r="X281">
        <v>1</v>
      </c>
      <c r="Y281">
        <v>1</v>
      </c>
      <c r="Z281">
        <v>1</v>
      </c>
      <c r="AA281">
        <v>1</v>
      </c>
      <c r="AB281" s="2" t="s">
        <v>122</v>
      </c>
      <c r="AC281" s="2" t="s">
        <v>122</v>
      </c>
      <c r="AD281" s="2" t="s">
        <v>122</v>
      </c>
      <c r="AE281" s="2" t="s">
        <v>122</v>
      </c>
      <c r="AF281" s="2" t="s">
        <v>122</v>
      </c>
      <c r="AG281">
        <v>4</v>
      </c>
      <c r="AH281">
        <v>6</v>
      </c>
      <c r="AI281">
        <v>2</v>
      </c>
      <c r="AJ281">
        <v>7</v>
      </c>
      <c r="AK281">
        <v>5</v>
      </c>
      <c r="AL281">
        <v>6</v>
      </c>
      <c r="AM281">
        <v>6</v>
      </c>
      <c r="AN281">
        <v>5</v>
      </c>
      <c r="AO281">
        <v>1</v>
      </c>
      <c r="AP281">
        <v>3</v>
      </c>
      <c r="AQ281">
        <v>6</v>
      </c>
      <c r="AR281">
        <v>2</v>
      </c>
      <c r="AS281">
        <v>6</v>
      </c>
      <c r="AT281">
        <v>5</v>
      </c>
      <c r="AU281">
        <v>5</v>
      </c>
      <c r="AV281">
        <v>6</v>
      </c>
      <c r="AW281">
        <v>5</v>
      </c>
      <c r="AX281">
        <v>4</v>
      </c>
      <c r="AY281">
        <v>2</v>
      </c>
      <c r="AZ281">
        <v>6</v>
      </c>
      <c r="BA281">
        <v>2</v>
      </c>
      <c r="BB281">
        <v>6</v>
      </c>
      <c r="BC281">
        <v>6</v>
      </c>
      <c r="BD281">
        <v>2</v>
      </c>
      <c r="BE281" s="2" t="s">
        <v>125</v>
      </c>
      <c r="BF281" s="2" t="s">
        <v>122</v>
      </c>
      <c r="BG281" s="2" t="s">
        <v>122</v>
      </c>
      <c r="BH281" s="2" t="s">
        <v>122</v>
      </c>
      <c r="BI281" s="2" t="s">
        <v>122</v>
      </c>
      <c r="BJ281" s="2" t="s">
        <v>122</v>
      </c>
      <c r="BK281" s="2" t="s">
        <v>122</v>
      </c>
      <c r="BL281" s="2" t="s">
        <v>122</v>
      </c>
      <c r="BM281" s="2" t="s">
        <v>122</v>
      </c>
      <c r="BN281" s="2" t="s">
        <v>122</v>
      </c>
      <c r="BO281" s="2" t="s">
        <v>122</v>
      </c>
      <c r="BP281" s="2" t="s">
        <v>122</v>
      </c>
      <c r="BQ281" s="2" t="s">
        <v>122</v>
      </c>
      <c r="BR281" s="2" t="s">
        <v>122</v>
      </c>
      <c r="BS281" s="2" t="s">
        <v>122</v>
      </c>
      <c r="BT281" s="2" t="s">
        <v>122</v>
      </c>
      <c r="BU281" s="2" t="s">
        <v>122</v>
      </c>
      <c r="BV281" s="2" t="s">
        <v>122</v>
      </c>
      <c r="BW281" s="2" t="s">
        <v>122</v>
      </c>
      <c r="BX281" s="2" t="s">
        <v>122</v>
      </c>
      <c r="BY281" s="2" t="s">
        <v>122</v>
      </c>
      <c r="BZ281" s="2" t="s">
        <v>122</v>
      </c>
      <c r="CA281" s="2" t="s">
        <v>122</v>
      </c>
      <c r="CB281" s="2" t="s">
        <v>122</v>
      </c>
      <c r="CC281" s="2" t="s">
        <v>122</v>
      </c>
      <c r="CD281" s="2" t="s">
        <v>122</v>
      </c>
      <c r="CE281" s="2" t="s">
        <v>122</v>
      </c>
      <c r="CF281">
        <v>2</v>
      </c>
      <c r="CG281" s="2" t="s">
        <v>122</v>
      </c>
      <c r="CH281">
        <v>3</v>
      </c>
      <c r="CI281" s="2" t="s">
        <v>122</v>
      </c>
      <c r="CJ281" s="2" t="s">
        <v>122</v>
      </c>
      <c r="CK281" s="2" t="s">
        <v>122</v>
      </c>
      <c r="CL281" s="2" t="s">
        <v>122</v>
      </c>
      <c r="CM281" s="2" t="s">
        <v>122</v>
      </c>
      <c r="CN281" s="2" t="s">
        <v>122</v>
      </c>
      <c r="CO281" s="2" t="s">
        <v>125</v>
      </c>
      <c r="CP281" s="2" t="s">
        <v>122</v>
      </c>
      <c r="CQ281" s="2" t="s">
        <v>122</v>
      </c>
      <c r="CR281" s="2" t="s">
        <v>122</v>
      </c>
      <c r="CS281">
        <v>4</v>
      </c>
      <c r="CT281">
        <v>5</v>
      </c>
      <c r="CU281" s="43">
        <v>1</v>
      </c>
      <c r="CV281" cm="1">
        <f t="array" ref="CV281">_xlfn.IFS(CU281*1=2,1,CU281*1=4,1,TRUE,0)</f>
        <v>0</v>
      </c>
      <c r="CW281" cm="1">
        <f t="array" ref="CW281">_xlfn.IFS(CU281*1=1,1,CU281*1=2,1,TRUE,0)</f>
        <v>1</v>
      </c>
      <c r="CX281" s="3">
        <f t="shared" si="35"/>
        <v>6</v>
      </c>
      <c r="CY281" s="3">
        <f t="shared" si="36"/>
        <v>6</v>
      </c>
      <c r="CZ281" s="3" cm="1">
        <f t="array" ref="CZ281">_xlfn.IFS(BP281&lt;&gt;"", BP281, CV281=1,  AQ281, CV281=0,  AZ281)</f>
        <v>6</v>
      </c>
      <c r="DA281" s="36" cm="1">
        <f t="array" ref="DA281">_xlfn.IFS(BO281&lt;&gt;"", BO281, CV281=0,  AQ281, CV281=1,  AZ281)</f>
        <v>6</v>
      </c>
      <c r="DB281" s="36">
        <f t="shared" si="37"/>
        <v>0</v>
      </c>
      <c r="DC281" s="3">
        <f t="shared" si="38"/>
        <v>0</v>
      </c>
      <c r="DD281" s="3">
        <f t="shared" si="39"/>
        <v>0</v>
      </c>
      <c r="DE281" s="3">
        <f t="shared" si="42"/>
        <v>0</v>
      </c>
      <c r="DF281" s="3">
        <f t="shared" si="40"/>
        <v>0</v>
      </c>
      <c r="DG281" s="3">
        <f t="shared" si="41"/>
        <v>0</v>
      </c>
    </row>
    <row r="282" spans="1:112" x14ac:dyDescent="0.4">
      <c r="A282">
        <v>202511</v>
      </c>
      <c r="B282">
        <v>456</v>
      </c>
      <c r="C282" s="5">
        <v>45969.468472222223</v>
      </c>
      <c r="D282" s="5">
        <v>45969.472812499997</v>
      </c>
      <c r="E282" s="3">
        <v>0</v>
      </c>
      <c r="F282" s="4" t="s">
        <v>318</v>
      </c>
      <c r="G282" s="3">
        <v>100</v>
      </c>
      <c r="H282" s="3">
        <v>375</v>
      </c>
      <c r="I282" s="3">
        <v>1</v>
      </c>
      <c r="J282" s="5">
        <v>45969.47281738426</v>
      </c>
      <c r="K282" s="4" t="s">
        <v>317</v>
      </c>
      <c r="L282" s="4" t="s">
        <v>122</v>
      </c>
      <c r="M282" s="4" t="s">
        <v>122</v>
      </c>
      <c r="N282" s="4" t="s">
        <v>122</v>
      </c>
      <c r="O282" s="4" t="s">
        <v>122</v>
      </c>
      <c r="P282" s="3">
        <v>36.203800000000001</v>
      </c>
      <c r="Q282" s="3">
        <v>-115.2255</v>
      </c>
      <c r="R282" s="4" t="s">
        <v>129</v>
      </c>
      <c r="S282" s="4" t="s">
        <v>124</v>
      </c>
      <c r="T282" s="3">
        <v>4</v>
      </c>
      <c r="U282" s="3">
        <v>1</v>
      </c>
      <c r="V282" s="3">
        <v>2</v>
      </c>
      <c r="W282" s="3">
        <v>2</v>
      </c>
      <c r="X282" s="3">
        <v>2</v>
      </c>
      <c r="Y282" s="3">
        <v>1</v>
      </c>
      <c r="Z282" s="3">
        <v>2</v>
      </c>
      <c r="AA282" s="3">
        <v>1</v>
      </c>
      <c r="AB282" s="4" t="s">
        <v>125</v>
      </c>
      <c r="AC282" s="4" t="s">
        <v>122</v>
      </c>
      <c r="AD282" s="4" t="s">
        <v>122</v>
      </c>
      <c r="AE282" s="4" t="s">
        <v>122</v>
      </c>
      <c r="AF282" s="4" t="s">
        <v>122</v>
      </c>
      <c r="AG282" s="3">
        <v>3</v>
      </c>
      <c r="AH282" s="3">
        <v>2</v>
      </c>
      <c r="AI282" s="3">
        <v>2</v>
      </c>
      <c r="AJ282" s="3">
        <v>8</v>
      </c>
      <c r="AK282" s="3">
        <v>9</v>
      </c>
      <c r="AL282" s="3">
        <v>8</v>
      </c>
      <c r="AM282" s="3">
        <v>7</v>
      </c>
      <c r="AN282" s="3">
        <v>7</v>
      </c>
      <c r="AO282" s="3">
        <v>2</v>
      </c>
      <c r="AP282" s="3">
        <v>3</v>
      </c>
      <c r="AQ282" s="4" t="s">
        <v>122</v>
      </c>
      <c r="AR282" s="4" t="s">
        <v>122</v>
      </c>
      <c r="AS282" s="3">
        <v>6</v>
      </c>
      <c r="AT282" s="3">
        <v>6</v>
      </c>
      <c r="AU282" s="3">
        <v>7</v>
      </c>
      <c r="AV282" s="3">
        <v>4</v>
      </c>
      <c r="AW282" s="3">
        <v>4</v>
      </c>
      <c r="AX282" s="3">
        <v>4</v>
      </c>
      <c r="AY282" s="3">
        <v>1</v>
      </c>
      <c r="AZ282" s="4" t="s">
        <v>122</v>
      </c>
      <c r="BA282" s="4" t="s">
        <v>122</v>
      </c>
      <c r="BB282" s="4" t="s">
        <v>122</v>
      </c>
      <c r="BC282" s="4" t="s">
        <v>122</v>
      </c>
      <c r="BD282" s="4" t="s">
        <v>122</v>
      </c>
      <c r="BE282" s="4" t="s">
        <v>122</v>
      </c>
      <c r="BF282" s="4" t="s">
        <v>122</v>
      </c>
      <c r="BG282" s="4" t="s">
        <v>122</v>
      </c>
      <c r="BH282" s="4" t="s">
        <v>122</v>
      </c>
      <c r="BI282" s="4" t="s">
        <v>122</v>
      </c>
      <c r="BJ282" s="4" t="s">
        <v>122</v>
      </c>
      <c r="BK282" s="4" t="s">
        <v>122</v>
      </c>
      <c r="BL282" s="4" t="s">
        <v>122</v>
      </c>
      <c r="BM282" s="4" t="s">
        <v>122</v>
      </c>
      <c r="BN282" s="4" t="s">
        <v>122</v>
      </c>
      <c r="BO282" s="3">
        <v>2</v>
      </c>
      <c r="BP282" s="3">
        <v>4.5</v>
      </c>
      <c r="BQ282" s="3">
        <v>2</v>
      </c>
      <c r="BR282" s="4" t="s">
        <v>125</v>
      </c>
      <c r="BS282" s="4" t="s">
        <v>122</v>
      </c>
      <c r="BT282" s="4" t="s">
        <v>122</v>
      </c>
      <c r="BU282" s="4" t="s">
        <v>122</v>
      </c>
      <c r="BV282" s="4" t="s">
        <v>125</v>
      </c>
      <c r="BW282" s="4" t="s">
        <v>125</v>
      </c>
      <c r="BX282" s="4" t="s">
        <v>125</v>
      </c>
      <c r="BY282" s="4" t="s">
        <v>122</v>
      </c>
      <c r="BZ282" s="4" t="s">
        <v>122</v>
      </c>
      <c r="CA282" s="3">
        <v>1</v>
      </c>
      <c r="CB282" s="3">
        <v>5</v>
      </c>
      <c r="CC282" s="3">
        <v>2</v>
      </c>
      <c r="CD282" s="3">
        <v>2</v>
      </c>
      <c r="CE282" s="3">
        <v>2</v>
      </c>
      <c r="CF282" s="3">
        <v>2</v>
      </c>
      <c r="CG282" s="4" t="s">
        <v>122</v>
      </c>
      <c r="CH282" s="3">
        <v>2.7</v>
      </c>
      <c r="CI282" s="4" t="s">
        <v>122</v>
      </c>
      <c r="CJ282" s="4" t="s">
        <v>122</v>
      </c>
      <c r="CK282" s="4" t="s">
        <v>122</v>
      </c>
      <c r="CL282" s="4" t="s">
        <v>125</v>
      </c>
      <c r="CM282" s="4" t="s">
        <v>122</v>
      </c>
      <c r="CN282" s="4" t="s">
        <v>122</v>
      </c>
      <c r="CO282" s="4" t="s">
        <v>122</v>
      </c>
      <c r="CP282" s="4" t="s">
        <v>122</v>
      </c>
      <c r="CQ282" s="4" t="s">
        <v>122</v>
      </c>
      <c r="CR282" s="4" t="s">
        <v>122</v>
      </c>
      <c r="CS282" s="3">
        <v>5</v>
      </c>
      <c r="CT282" s="3">
        <v>3</v>
      </c>
      <c r="CU282" s="42">
        <v>4</v>
      </c>
      <c r="CV282" cm="1">
        <f t="array" ref="CV282">_xlfn.IFS(CU282*1=2,1,CU282*1=4,1,TRUE,0)</f>
        <v>1</v>
      </c>
      <c r="CW282" cm="1">
        <f t="array" ref="CW282">_xlfn.IFS(CU282*1=1,1,CU282*1=2,1,TRUE,0)</f>
        <v>0</v>
      </c>
      <c r="CX282" s="3">
        <f t="shared" si="35"/>
        <v>5</v>
      </c>
      <c r="CY282" s="3">
        <f t="shared" si="36"/>
        <v>2</v>
      </c>
      <c r="CZ282" s="3" cm="1">
        <f t="array" ref="CZ282">_xlfn.IFS(BP282&lt;&gt;"", BP282, CV282=1,  AQ282, CV282=0,  AZ282)</f>
        <v>4.5</v>
      </c>
      <c r="DA282" s="36" cm="1">
        <f t="array" ref="DA282">_xlfn.IFS(BO282&lt;&gt;"", BO282, CV282=0,  AQ282, CV282=1,  AZ282)</f>
        <v>2</v>
      </c>
      <c r="DB282" s="36">
        <f t="shared" si="37"/>
        <v>0</v>
      </c>
      <c r="DC282" s="3">
        <f t="shared" si="38"/>
        <v>3</v>
      </c>
      <c r="DD282" s="3">
        <f t="shared" si="39"/>
        <v>0</v>
      </c>
      <c r="DE282" s="3">
        <f t="shared" si="42"/>
        <v>2.5</v>
      </c>
      <c r="DF282" s="3">
        <f t="shared" si="40"/>
        <v>3</v>
      </c>
      <c r="DG282" s="3">
        <f t="shared" si="41"/>
        <v>0</v>
      </c>
    </row>
    <row r="283" spans="1:112" x14ac:dyDescent="0.4">
      <c r="A283">
        <v>202511</v>
      </c>
      <c r="B283">
        <v>123</v>
      </c>
      <c r="C283" s="1">
        <v>45969.473090277781</v>
      </c>
      <c r="D283" s="1">
        <v>45969.477986111109</v>
      </c>
      <c r="E283">
        <v>0</v>
      </c>
      <c r="F283" s="2" t="s">
        <v>196</v>
      </c>
      <c r="G283">
        <v>100</v>
      </c>
      <c r="H283">
        <v>422</v>
      </c>
      <c r="I283">
        <v>1</v>
      </c>
      <c r="J283" s="1">
        <v>45969.477996250003</v>
      </c>
      <c r="K283" s="2" t="s">
        <v>197</v>
      </c>
      <c r="L283" s="2" t="s">
        <v>122</v>
      </c>
      <c r="M283" s="2" t="s">
        <v>122</v>
      </c>
      <c r="N283" s="2" t="s">
        <v>122</v>
      </c>
      <c r="O283" s="2" t="s">
        <v>122</v>
      </c>
      <c r="P283">
        <v>33.453200000000002</v>
      </c>
      <c r="Q283">
        <v>-112.0748</v>
      </c>
      <c r="R283" s="2" t="s">
        <v>129</v>
      </c>
      <c r="S283" s="2" t="s">
        <v>124</v>
      </c>
      <c r="T283">
        <v>4</v>
      </c>
      <c r="U283">
        <v>0</v>
      </c>
      <c r="V283">
        <v>1</v>
      </c>
      <c r="W283">
        <v>1</v>
      </c>
      <c r="X283">
        <v>1</v>
      </c>
      <c r="Y283">
        <v>3</v>
      </c>
      <c r="Z283">
        <v>3</v>
      </c>
      <c r="AA283">
        <v>3</v>
      </c>
      <c r="AB283" s="2" t="s">
        <v>122</v>
      </c>
      <c r="AC283" s="2" t="s">
        <v>122</v>
      </c>
      <c r="AD283" s="2" t="s">
        <v>122</v>
      </c>
      <c r="AE283" s="2" t="s">
        <v>122</v>
      </c>
      <c r="AF283" s="2" t="s">
        <v>122</v>
      </c>
      <c r="AG283">
        <v>4</v>
      </c>
      <c r="AH283">
        <v>7</v>
      </c>
      <c r="AI283">
        <v>2</v>
      </c>
      <c r="AJ283">
        <v>4</v>
      </c>
      <c r="AK283">
        <v>3</v>
      </c>
      <c r="AL283">
        <v>7</v>
      </c>
      <c r="AM283">
        <v>2</v>
      </c>
      <c r="AN283">
        <v>6</v>
      </c>
      <c r="AO283">
        <v>4</v>
      </c>
      <c r="AP283">
        <v>3</v>
      </c>
      <c r="AQ283" s="2" t="s">
        <v>122</v>
      </c>
      <c r="AR283" s="2" t="s">
        <v>122</v>
      </c>
      <c r="AS283">
        <v>3</v>
      </c>
      <c r="AT283">
        <v>3</v>
      </c>
      <c r="AU283">
        <v>7</v>
      </c>
      <c r="AV283">
        <v>7</v>
      </c>
      <c r="AW283">
        <v>6</v>
      </c>
      <c r="AX283">
        <v>3</v>
      </c>
      <c r="AY283">
        <v>4</v>
      </c>
      <c r="AZ283" s="2" t="s">
        <v>122</v>
      </c>
      <c r="BA283" s="2" t="s">
        <v>122</v>
      </c>
      <c r="BB283" s="2" t="s">
        <v>122</v>
      </c>
      <c r="BC283" s="2" t="s">
        <v>122</v>
      </c>
      <c r="BD283" s="2" t="s">
        <v>122</v>
      </c>
      <c r="BE283" s="2" t="s">
        <v>122</v>
      </c>
      <c r="BF283" s="2" t="s">
        <v>122</v>
      </c>
      <c r="BG283" s="2" t="s">
        <v>122</v>
      </c>
      <c r="BH283" s="2" t="s">
        <v>122</v>
      </c>
      <c r="BI283" s="2" t="s">
        <v>122</v>
      </c>
      <c r="BJ283" s="2" t="s">
        <v>122</v>
      </c>
      <c r="BK283" s="2" t="s">
        <v>122</v>
      </c>
      <c r="BL283" s="2" t="s">
        <v>122</v>
      </c>
      <c r="BM283" s="2" t="s">
        <v>122</v>
      </c>
      <c r="BN283" s="2" t="s">
        <v>122</v>
      </c>
      <c r="BO283">
        <v>2</v>
      </c>
      <c r="BP283">
        <v>5</v>
      </c>
      <c r="BQ283">
        <v>2</v>
      </c>
      <c r="BR283" s="2" t="s">
        <v>125</v>
      </c>
      <c r="BS283" s="2" t="s">
        <v>125</v>
      </c>
      <c r="BT283" s="2" t="s">
        <v>122</v>
      </c>
      <c r="BU283" s="2" t="s">
        <v>122</v>
      </c>
      <c r="BV283" s="2" t="s">
        <v>125</v>
      </c>
      <c r="BW283" s="2" t="s">
        <v>122</v>
      </c>
      <c r="BX283" s="2" t="s">
        <v>122</v>
      </c>
      <c r="BY283" s="2" t="s">
        <v>122</v>
      </c>
      <c r="BZ283" s="2" t="s">
        <v>122</v>
      </c>
      <c r="CA283">
        <v>1</v>
      </c>
      <c r="CB283">
        <v>5.5</v>
      </c>
      <c r="CC283">
        <v>2</v>
      </c>
      <c r="CD283">
        <v>6.5</v>
      </c>
      <c r="CE283">
        <v>2</v>
      </c>
      <c r="CF283">
        <v>2</v>
      </c>
      <c r="CG283" s="2" t="s">
        <v>122</v>
      </c>
      <c r="CH283">
        <v>1</v>
      </c>
      <c r="CI283" s="2" t="s">
        <v>122</v>
      </c>
      <c r="CJ283" s="2" t="s">
        <v>122</v>
      </c>
      <c r="CK283" s="2" t="s">
        <v>122</v>
      </c>
      <c r="CL283" s="2" t="s">
        <v>122</v>
      </c>
      <c r="CM283" s="2" t="s">
        <v>122</v>
      </c>
      <c r="CN283" s="2" t="s">
        <v>122</v>
      </c>
      <c r="CO283" s="2" t="s">
        <v>125</v>
      </c>
      <c r="CP283" s="2" t="s">
        <v>122</v>
      </c>
      <c r="CQ283" s="2" t="s">
        <v>122</v>
      </c>
      <c r="CR283" s="2" t="s">
        <v>122</v>
      </c>
      <c r="CS283">
        <v>2</v>
      </c>
      <c r="CT283">
        <v>5</v>
      </c>
      <c r="CU283" s="43">
        <v>3</v>
      </c>
      <c r="CV283" cm="1">
        <f t="array" ref="CV283">_xlfn.IFS(CU283*1=2,1,CU283*1=4,1,TRUE,0)</f>
        <v>0</v>
      </c>
      <c r="CW283" cm="1">
        <f t="array" ref="CW283">_xlfn.IFS(CU283*1=1,1,CU283*1=2,1,TRUE,0)</f>
        <v>0</v>
      </c>
      <c r="CX283" s="3">
        <f t="shared" si="35"/>
        <v>5.5</v>
      </c>
      <c r="CY283" s="3">
        <f t="shared" si="36"/>
        <v>6.5</v>
      </c>
      <c r="CZ283" s="3" cm="1">
        <f t="array" ref="CZ283">_xlfn.IFS(BP283&lt;&gt;"", BP283, CV283=1,  AQ283, CV283=0,  AZ283)</f>
        <v>5</v>
      </c>
      <c r="DA283" s="36" cm="1">
        <f t="array" ref="DA283">_xlfn.IFS(BO283&lt;&gt;"", BO283, CV283=0,  AQ283, CV283=1,  AZ283)</f>
        <v>2</v>
      </c>
      <c r="DB283" s="36">
        <f t="shared" si="37"/>
        <v>-0.5</v>
      </c>
      <c r="DC283" s="3">
        <f t="shared" si="38"/>
        <v>-1.5</v>
      </c>
      <c r="DD283" s="3">
        <f t="shared" si="39"/>
        <v>-0.5</v>
      </c>
      <c r="DE283" s="3">
        <f t="shared" si="42"/>
        <v>-2</v>
      </c>
      <c r="DF283" s="3">
        <f t="shared" si="40"/>
        <v>-1.5</v>
      </c>
      <c r="DG283" s="3">
        <f t="shared" si="41"/>
        <v>-5</v>
      </c>
    </row>
    <row r="284" spans="1:112" x14ac:dyDescent="0.4">
      <c r="A284">
        <v>202511</v>
      </c>
      <c r="B284">
        <v>123</v>
      </c>
      <c r="C284" s="1">
        <v>45969.474305555559</v>
      </c>
      <c r="D284" s="1">
        <v>45969.479699074072</v>
      </c>
      <c r="E284">
        <v>0</v>
      </c>
      <c r="F284" s="2" t="s">
        <v>200</v>
      </c>
      <c r="G284">
        <v>100</v>
      </c>
      <c r="H284">
        <v>465</v>
      </c>
      <c r="I284">
        <v>1</v>
      </c>
      <c r="J284" s="1">
        <v>45969.479711689812</v>
      </c>
      <c r="K284" s="2" t="s">
        <v>201</v>
      </c>
      <c r="L284" s="2" t="s">
        <v>122</v>
      </c>
      <c r="M284" s="2" t="s">
        <v>122</v>
      </c>
      <c r="N284" s="2" t="s">
        <v>122</v>
      </c>
      <c r="O284" s="2" t="s">
        <v>122</v>
      </c>
      <c r="P284">
        <v>32.250300000000003</v>
      </c>
      <c r="Q284">
        <v>-110.94499999999999</v>
      </c>
      <c r="R284" s="2" t="s">
        <v>129</v>
      </c>
      <c r="S284" s="2" t="s">
        <v>124</v>
      </c>
      <c r="T284">
        <v>4</v>
      </c>
      <c r="U284">
        <v>1</v>
      </c>
      <c r="V284">
        <v>2</v>
      </c>
      <c r="W284">
        <v>2</v>
      </c>
      <c r="X284">
        <v>2</v>
      </c>
      <c r="Y284">
        <v>2</v>
      </c>
      <c r="Z284">
        <v>1</v>
      </c>
      <c r="AA284">
        <v>1</v>
      </c>
      <c r="AB284" s="2" t="s">
        <v>122</v>
      </c>
      <c r="AC284" s="2" t="s">
        <v>125</v>
      </c>
      <c r="AD284" s="2" t="s">
        <v>122</v>
      </c>
      <c r="AE284" s="2" t="s">
        <v>122</v>
      </c>
      <c r="AF284" s="2" t="s">
        <v>122</v>
      </c>
      <c r="AG284">
        <v>2</v>
      </c>
      <c r="AH284">
        <v>4.5</v>
      </c>
      <c r="AI284">
        <v>2</v>
      </c>
      <c r="AJ284">
        <v>3</v>
      </c>
      <c r="AK284">
        <v>7</v>
      </c>
      <c r="AL284">
        <v>7</v>
      </c>
      <c r="AM284">
        <v>4</v>
      </c>
      <c r="AN284">
        <v>5</v>
      </c>
      <c r="AO284">
        <v>4</v>
      </c>
      <c r="AP284">
        <v>2</v>
      </c>
      <c r="AQ284">
        <v>4.5</v>
      </c>
      <c r="AR284">
        <v>2</v>
      </c>
      <c r="AS284">
        <v>6</v>
      </c>
      <c r="AT284">
        <v>7</v>
      </c>
      <c r="AU284">
        <v>5</v>
      </c>
      <c r="AV284">
        <v>7</v>
      </c>
      <c r="AW284">
        <v>6</v>
      </c>
      <c r="AX284">
        <v>3</v>
      </c>
      <c r="AY284">
        <v>3</v>
      </c>
      <c r="AZ284">
        <v>5</v>
      </c>
      <c r="BA284">
        <v>2</v>
      </c>
      <c r="BB284">
        <v>0</v>
      </c>
      <c r="BC284">
        <v>4.5</v>
      </c>
      <c r="BD284">
        <v>3</v>
      </c>
      <c r="BE284" s="2" t="s">
        <v>125</v>
      </c>
      <c r="BF284" s="2" t="s">
        <v>122</v>
      </c>
      <c r="BG284" s="2" t="s">
        <v>122</v>
      </c>
      <c r="BH284" s="2" t="s">
        <v>122</v>
      </c>
      <c r="BI284" s="2" t="s">
        <v>122</v>
      </c>
      <c r="BJ284" s="2" t="s">
        <v>122</v>
      </c>
      <c r="BK284" s="2" t="s">
        <v>125</v>
      </c>
      <c r="BL284" s="2" t="s">
        <v>125</v>
      </c>
      <c r="BM284" s="2" t="s">
        <v>122</v>
      </c>
      <c r="BN284">
        <v>7</v>
      </c>
      <c r="BO284" s="2" t="s">
        <v>122</v>
      </c>
      <c r="BP284" s="2" t="s">
        <v>122</v>
      </c>
      <c r="BQ284" s="2" t="s">
        <v>122</v>
      </c>
      <c r="BR284" s="2" t="s">
        <v>122</v>
      </c>
      <c r="BS284" s="2" t="s">
        <v>122</v>
      </c>
      <c r="BT284" s="2" t="s">
        <v>122</v>
      </c>
      <c r="BU284" s="2" t="s">
        <v>122</v>
      </c>
      <c r="BV284" s="2" t="s">
        <v>122</v>
      </c>
      <c r="BW284" s="2" t="s">
        <v>122</v>
      </c>
      <c r="BX284" s="2" t="s">
        <v>122</v>
      </c>
      <c r="BY284" s="2" t="s">
        <v>122</v>
      </c>
      <c r="BZ284" s="2" t="s">
        <v>122</v>
      </c>
      <c r="CA284" s="2" t="s">
        <v>122</v>
      </c>
      <c r="CB284" s="2" t="s">
        <v>122</v>
      </c>
      <c r="CC284" s="2" t="s">
        <v>122</v>
      </c>
      <c r="CD284" s="2" t="s">
        <v>122</v>
      </c>
      <c r="CE284" s="2" t="s">
        <v>122</v>
      </c>
      <c r="CF284">
        <v>1</v>
      </c>
      <c r="CG284" s="2" t="s">
        <v>122</v>
      </c>
      <c r="CH284">
        <v>2.2999999999999998</v>
      </c>
      <c r="CI284" s="2" t="s">
        <v>125</v>
      </c>
      <c r="CJ284" s="2" t="s">
        <v>125</v>
      </c>
      <c r="CK284" s="2" t="s">
        <v>122</v>
      </c>
      <c r="CL284" s="2" t="s">
        <v>122</v>
      </c>
      <c r="CM284" s="2" t="s">
        <v>122</v>
      </c>
      <c r="CN284" s="2" t="s">
        <v>122</v>
      </c>
      <c r="CO284" s="2" t="s">
        <v>122</v>
      </c>
      <c r="CP284" s="2" t="s">
        <v>122</v>
      </c>
      <c r="CQ284" s="2" t="s">
        <v>122</v>
      </c>
      <c r="CR284" s="2" t="s">
        <v>122</v>
      </c>
      <c r="CS284">
        <v>3</v>
      </c>
      <c r="CT284">
        <v>-999</v>
      </c>
      <c r="CU284" s="43">
        <v>1</v>
      </c>
      <c r="CV284" cm="1">
        <f t="array" ref="CV284">_xlfn.IFS(CU284*1=2,1,CU284*1=4,1,TRUE,0)</f>
        <v>0</v>
      </c>
      <c r="CW284" cm="1">
        <f t="array" ref="CW284">_xlfn.IFS(CU284*1=1,1,CU284*1=2,1,TRUE,0)</f>
        <v>1</v>
      </c>
      <c r="CX284" s="3">
        <f t="shared" si="35"/>
        <v>0</v>
      </c>
      <c r="CY284" s="3">
        <f t="shared" si="36"/>
        <v>4.5</v>
      </c>
      <c r="CZ284" s="3" cm="1">
        <f t="array" ref="CZ284">_xlfn.IFS(BP284&lt;&gt;"", BP284, CV284=1,  AQ284, CV284=0,  AZ284)</f>
        <v>5</v>
      </c>
      <c r="DA284" s="36" cm="1">
        <f t="array" ref="DA284">_xlfn.IFS(BO284&lt;&gt;"", BO284, CV284=0,  AQ284, CV284=1,  AZ284)</f>
        <v>4.5</v>
      </c>
      <c r="DB284" s="36">
        <f t="shared" si="37"/>
        <v>0</v>
      </c>
      <c r="DC284" s="3">
        <f t="shared" si="38"/>
        <v>-4.5</v>
      </c>
      <c r="DD284" s="3">
        <f t="shared" si="39"/>
        <v>0.5</v>
      </c>
      <c r="DE284" s="3">
        <f t="shared" si="42"/>
        <v>0</v>
      </c>
      <c r="DF284" s="3">
        <f t="shared" si="40"/>
        <v>0</v>
      </c>
      <c r="DG284" s="3">
        <f t="shared" si="41"/>
        <v>-4.5</v>
      </c>
    </row>
    <row r="285" spans="1:112" x14ac:dyDescent="0.4">
      <c r="A285">
        <v>202511</v>
      </c>
      <c r="B285">
        <v>456</v>
      </c>
      <c r="C285" s="5">
        <v>45969.474722222221</v>
      </c>
      <c r="D285" s="5">
        <v>45969.478310185186</v>
      </c>
      <c r="E285" s="3">
        <v>0</v>
      </c>
      <c r="F285" s="4" t="s">
        <v>316</v>
      </c>
      <c r="G285" s="3">
        <v>100</v>
      </c>
      <c r="H285" s="3">
        <v>309</v>
      </c>
      <c r="I285" s="3">
        <v>1</v>
      </c>
      <c r="J285" s="5">
        <v>45969.478314398148</v>
      </c>
      <c r="K285" s="4" t="s">
        <v>315</v>
      </c>
      <c r="L285" s="4" t="s">
        <v>122</v>
      </c>
      <c r="M285" s="4" t="s">
        <v>122</v>
      </c>
      <c r="N285" s="4" t="s">
        <v>122</v>
      </c>
      <c r="O285" s="4" t="s">
        <v>122</v>
      </c>
      <c r="P285" s="3">
        <v>33.508000000000003</v>
      </c>
      <c r="Q285" s="3">
        <v>-112.09950000000001</v>
      </c>
      <c r="R285" s="4" t="s">
        <v>129</v>
      </c>
      <c r="S285" s="4" t="s">
        <v>124</v>
      </c>
      <c r="T285" s="3">
        <v>4</v>
      </c>
      <c r="U285" s="3">
        <v>1</v>
      </c>
      <c r="V285" s="3">
        <v>4</v>
      </c>
      <c r="W285" s="3">
        <v>4</v>
      </c>
      <c r="X285" s="3">
        <v>1</v>
      </c>
      <c r="Y285" s="3">
        <v>3</v>
      </c>
      <c r="Z285" s="3">
        <v>1</v>
      </c>
      <c r="AA285" s="3">
        <v>1</v>
      </c>
      <c r="AB285" s="4" t="s">
        <v>122</v>
      </c>
      <c r="AC285" s="4" t="s">
        <v>122</v>
      </c>
      <c r="AD285" s="4" t="s">
        <v>122</v>
      </c>
      <c r="AE285" s="4" t="s">
        <v>122</v>
      </c>
      <c r="AF285" s="4" t="s">
        <v>122</v>
      </c>
      <c r="AG285" s="3">
        <v>2</v>
      </c>
      <c r="AH285" s="3">
        <v>5</v>
      </c>
      <c r="AI285" s="3">
        <v>2</v>
      </c>
      <c r="AJ285" s="3">
        <v>9</v>
      </c>
      <c r="AK285" s="3">
        <v>9</v>
      </c>
      <c r="AL285" s="3">
        <v>5</v>
      </c>
      <c r="AM285" s="3">
        <v>9</v>
      </c>
      <c r="AN285" s="3">
        <v>9</v>
      </c>
      <c r="AO285" s="3">
        <v>1</v>
      </c>
      <c r="AP285" s="3">
        <v>3</v>
      </c>
      <c r="AQ285" s="3">
        <v>5</v>
      </c>
      <c r="AR285" s="3">
        <v>2</v>
      </c>
      <c r="AS285" s="3">
        <v>7</v>
      </c>
      <c r="AT285" s="3">
        <v>7</v>
      </c>
      <c r="AU285" s="3">
        <v>6</v>
      </c>
      <c r="AV285" s="3">
        <v>6</v>
      </c>
      <c r="AW285" s="3">
        <v>5</v>
      </c>
      <c r="AX285" s="3">
        <v>2</v>
      </c>
      <c r="AY285" s="3">
        <v>4</v>
      </c>
      <c r="AZ285" s="3">
        <v>5</v>
      </c>
      <c r="BA285" s="3">
        <v>2</v>
      </c>
      <c r="BB285" s="4" t="s">
        <v>122</v>
      </c>
      <c r="BC285" s="3">
        <v>5</v>
      </c>
      <c r="BD285" s="3">
        <v>2</v>
      </c>
      <c r="BE285" s="4" t="s">
        <v>125</v>
      </c>
      <c r="BF285" s="4" t="s">
        <v>122</v>
      </c>
      <c r="BG285" s="4" t="s">
        <v>125</v>
      </c>
      <c r="BH285" s="4" t="s">
        <v>122</v>
      </c>
      <c r="BI285" s="4" t="s">
        <v>125</v>
      </c>
      <c r="BJ285" s="4" t="s">
        <v>122</v>
      </c>
      <c r="BK285" s="4" t="s">
        <v>122</v>
      </c>
      <c r="BL285" s="4" t="s">
        <v>122</v>
      </c>
      <c r="BM285" s="4" t="s">
        <v>122</v>
      </c>
      <c r="BN285" s="3">
        <v>1</v>
      </c>
      <c r="BO285" s="4" t="s">
        <v>122</v>
      </c>
      <c r="BP285" s="4" t="s">
        <v>122</v>
      </c>
      <c r="BQ285" s="4" t="s">
        <v>122</v>
      </c>
      <c r="BR285" s="4" t="s">
        <v>122</v>
      </c>
      <c r="BS285" s="4" t="s">
        <v>122</v>
      </c>
      <c r="BT285" s="4" t="s">
        <v>122</v>
      </c>
      <c r="BU285" s="4" t="s">
        <v>122</v>
      </c>
      <c r="BV285" s="4" t="s">
        <v>122</v>
      </c>
      <c r="BW285" s="4" t="s">
        <v>122</v>
      </c>
      <c r="BX285" s="4" t="s">
        <v>122</v>
      </c>
      <c r="BY285" s="4" t="s">
        <v>122</v>
      </c>
      <c r="BZ285" s="4" t="s">
        <v>122</v>
      </c>
      <c r="CA285" s="4" t="s">
        <v>122</v>
      </c>
      <c r="CB285" s="4" t="s">
        <v>122</v>
      </c>
      <c r="CC285" s="4" t="s">
        <v>122</v>
      </c>
      <c r="CD285" s="4" t="s">
        <v>122</v>
      </c>
      <c r="CE285" s="4" t="s">
        <v>122</v>
      </c>
      <c r="CF285" s="3">
        <v>2</v>
      </c>
      <c r="CG285" s="4" t="s">
        <v>122</v>
      </c>
      <c r="CH285" s="3">
        <v>3</v>
      </c>
      <c r="CI285" s="4" t="s">
        <v>122</v>
      </c>
      <c r="CJ285" s="4" t="s">
        <v>122</v>
      </c>
      <c r="CK285" s="4" t="s">
        <v>122</v>
      </c>
      <c r="CL285" s="4" t="s">
        <v>122</v>
      </c>
      <c r="CM285" s="4" t="s">
        <v>122</v>
      </c>
      <c r="CN285" s="4" t="s">
        <v>122</v>
      </c>
      <c r="CO285" s="4" t="s">
        <v>125</v>
      </c>
      <c r="CP285" s="4" t="s">
        <v>122</v>
      </c>
      <c r="CQ285" s="4" t="s">
        <v>122</v>
      </c>
      <c r="CR285" s="4" t="s">
        <v>122</v>
      </c>
      <c r="CS285" s="3">
        <v>5</v>
      </c>
      <c r="CT285" s="3">
        <v>5</v>
      </c>
      <c r="CU285" s="42">
        <v>2</v>
      </c>
      <c r="CV285" cm="1">
        <f t="array" ref="CV285">_xlfn.IFS(CU285*1=2,1,CU285*1=4,1,TRUE,0)</f>
        <v>1</v>
      </c>
      <c r="CW285" cm="1">
        <f t="array" ref="CW285">_xlfn.IFS(CU285*1=1,1,CU285*1=2,1,TRUE,0)</f>
        <v>1</v>
      </c>
      <c r="CX285" s="60" t="str">
        <f t="shared" si="35"/>
        <v/>
      </c>
      <c r="CY285" s="3">
        <f t="shared" si="36"/>
        <v>5</v>
      </c>
      <c r="CZ285" s="3" cm="1">
        <f t="array" ref="CZ285">_xlfn.IFS(BP285&lt;&gt;"", BP285, CV285=1,  AQ285, CV285=0,  AZ285)</f>
        <v>5</v>
      </c>
      <c r="DA285" s="36" cm="1">
        <f t="array" ref="DA285">_xlfn.IFS(BO285&lt;&gt;"", BO285, CV285=0,  AQ285, CV285=1,  AZ285)</f>
        <v>5</v>
      </c>
      <c r="DB285" s="36">
        <f t="shared" si="37"/>
        <v>0</v>
      </c>
      <c r="DC285" s="60"/>
      <c r="DD285" s="3">
        <f t="shared" si="39"/>
        <v>0</v>
      </c>
      <c r="DE285" s="3">
        <f t="shared" si="42"/>
        <v>0</v>
      </c>
      <c r="DF285" s="3">
        <f t="shared" si="40"/>
        <v>0</v>
      </c>
      <c r="DG285" s="60"/>
      <c r="DH285" s="60"/>
    </row>
    <row r="286" spans="1:112" x14ac:dyDescent="0.4">
      <c r="A286">
        <v>202511</v>
      </c>
      <c r="B286">
        <v>123</v>
      </c>
      <c r="C286" s="1">
        <v>45969.475011574075</v>
      </c>
      <c r="D286" s="1">
        <v>45969.479108796295</v>
      </c>
      <c r="E286">
        <v>0</v>
      </c>
      <c r="F286" s="2" t="s">
        <v>198</v>
      </c>
      <c r="G286">
        <v>100</v>
      </c>
      <c r="H286">
        <v>354</v>
      </c>
      <c r="I286">
        <v>1</v>
      </c>
      <c r="J286" s="1">
        <v>45969.479117129631</v>
      </c>
      <c r="K286" s="2" t="s">
        <v>199</v>
      </c>
      <c r="L286" s="2" t="s">
        <v>122</v>
      </c>
      <c r="M286" s="2" t="s">
        <v>122</v>
      </c>
      <c r="N286" s="2" t="s">
        <v>122</v>
      </c>
      <c r="O286" s="2" t="s">
        <v>122</v>
      </c>
      <c r="P286">
        <v>36.168500000000002</v>
      </c>
      <c r="Q286">
        <v>-115.1164</v>
      </c>
      <c r="R286" s="2" t="s">
        <v>129</v>
      </c>
      <c r="S286" s="2" t="s">
        <v>124</v>
      </c>
      <c r="T286">
        <v>4</v>
      </c>
      <c r="U286">
        <v>1</v>
      </c>
      <c r="V286">
        <v>4</v>
      </c>
      <c r="W286">
        <v>1</v>
      </c>
      <c r="X286">
        <v>2</v>
      </c>
      <c r="Y286">
        <v>3</v>
      </c>
      <c r="Z286">
        <v>3</v>
      </c>
      <c r="AA286">
        <v>3</v>
      </c>
      <c r="AB286" s="2" t="s">
        <v>125</v>
      </c>
      <c r="AC286" s="2" t="s">
        <v>122</v>
      </c>
      <c r="AD286" s="2" t="s">
        <v>122</v>
      </c>
      <c r="AE286" s="2" t="s">
        <v>122</v>
      </c>
      <c r="AF286" s="2" t="s">
        <v>122</v>
      </c>
      <c r="AG286">
        <v>2</v>
      </c>
      <c r="AH286">
        <v>8</v>
      </c>
      <c r="AI286">
        <v>3</v>
      </c>
      <c r="AJ286">
        <v>7</v>
      </c>
      <c r="AK286">
        <v>8</v>
      </c>
      <c r="AL286">
        <v>9</v>
      </c>
      <c r="AM286">
        <v>8</v>
      </c>
      <c r="AN286">
        <v>8</v>
      </c>
      <c r="AO286">
        <v>2</v>
      </c>
      <c r="AP286">
        <v>3</v>
      </c>
      <c r="AQ286" s="2" t="s">
        <v>122</v>
      </c>
      <c r="AR286" s="2" t="s">
        <v>122</v>
      </c>
      <c r="AS286">
        <v>2</v>
      </c>
      <c r="AT286">
        <v>3</v>
      </c>
      <c r="AU286">
        <v>3</v>
      </c>
      <c r="AV286">
        <v>2</v>
      </c>
      <c r="AW286">
        <v>3</v>
      </c>
      <c r="AX286">
        <v>4</v>
      </c>
      <c r="AY286">
        <v>3</v>
      </c>
      <c r="AZ286" s="2" t="s">
        <v>122</v>
      </c>
      <c r="BA286" s="2" t="s">
        <v>122</v>
      </c>
      <c r="BB286" s="2" t="s">
        <v>122</v>
      </c>
      <c r="BC286" s="2" t="s">
        <v>122</v>
      </c>
      <c r="BD286" s="2" t="s">
        <v>122</v>
      </c>
      <c r="BE286" s="2" t="s">
        <v>122</v>
      </c>
      <c r="BF286" s="2" t="s">
        <v>122</v>
      </c>
      <c r="BG286" s="2" t="s">
        <v>122</v>
      </c>
      <c r="BH286" s="2" t="s">
        <v>122</v>
      </c>
      <c r="BI286" s="2" t="s">
        <v>122</v>
      </c>
      <c r="BJ286" s="2" t="s">
        <v>122</v>
      </c>
      <c r="BK286" s="2" t="s">
        <v>122</v>
      </c>
      <c r="BL286" s="2" t="s">
        <v>122</v>
      </c>
      <c r="BM286" s="2" t="s">
        <v>122</v>
      </c>
      <c r="BN286" s="2" t="s">
        <v>122</v>
      </c>
      <c r="BO286">
        <v>6</v>
      </c>
      <c r="BP286">
        <v>2</v>
      </c>
      <c r="BQ286">
        <v>2</v>
      </c>
      <c r="BR286" s="2" t="s">
        <v>125</v>
      </c>
      <c r="BS286" s="2" t="s">
        <v>122</v>
      </c>
      <c r="BT286" s="2" t="s">
        <v>122</v>
      </c>
      <c r="BU286" s="2" t="s">
        <v>122</v>
      </c>
      <c r="BV286" s="2" t="s">
        <v>122</v>
      </c>
      <c r="BW286" s="2" t="s">
        <v>122</v>
      </c>
      <c r="BX286" s="2" t="s">
        <v>122</v>
      </c>
      <c r="BY286" s="2" t="s">
        <v>122</v>
      </c>
      <c r="BZ286" s="2" t="s">
        <v>122</v>
      </c>
      <c r="CA286" s="2" t="s">
        <v>122</v>
      </c>
      <c r="CB286">
        <v>2</v>
      </c>
      <c r="CC286">
        <v>3</v>
      </c>
      <c r="CD286">
        <v>0</v>
      </c>
      <c r="CE286" s="2" t="s">
        <v>122</v>
      </c>
      <c r="CF286">
        <v>1</v>
      </c>
      <c r="CG286" s="2" t="s">
        <v>122</v>
      </c>
      <c r="CH286">
        <v>4</v>
      </c>
      <c r="CI286" s="2" t="s">
        <v>122</v>
      </c>
      <c r="CJ286" s="2" t="s">
        <v>122</v>
      </c>
      <c r="CK286" s="2" t="s">
        <v>122</v>
      </c>
      <c r="CL286" s="2" t="s">
        <v>122</v>
      </c>
      <c r="CM286" s="2" t="s">
        <v>122</v>
      </c>
      <c r="CN286" s="2" t="s">
        <v>122</v>
      </c>
      <c r="CO286" s="2" t="s">
        <v>125</v>
      </c>
      <c r="CP286" s="2" t="s">
        <v>122</v>
      </c>
      <c r="CQ286" s="2" t="s">
        <v>122</v>
      </c>
      <c r="CR286" s="2" t="s">
        <v>122</v>
      </c>
      <c r="CS286">
        <v>4</v>
      </c>
      <c r="CT286">
        <v>6</v>
      </c>
      <c r="CU286" s="43">
        <v>3</v>
      </c>
      <c r="CV286" cm="1">
        <f t="array" ref="CV286">_xlfn.IFS(CU286*1=2,1,CU286*1=4,1,TRUE,0)</f>
        <v>0</v>
      </c>
      <c r="CW286" cm="1">
        <f t="array" ref="CW286">_xlfn.IFS(CU286*1=1,1,CU286*1=2,1,TRUE,0)</f>
        <v>0</v>
      </c>
      <c r="CX286" s="3">
        <f t="shared" si="35"/>
        <v>2</v>
      </c>
      <c r="CY286" s="3">
        <f t="shared" si="36"/>
        <v>0</v>
      </c>
      <c r="CZ286" s="3" cm="1">
        <f t="array" ref="CZ286">_xlfn.IFS(BP286&lt;&gt;"", BP286, CV286=1,  AQ286, CV286=0,  AZ286)</f>
        <v>2</v>
      </c>
      <c r="DA286" s="36" cm="1">
        <f t="array" ref="DA286">_xlfn.IFS(BO286&lt;&gt;"", BO286, CV286=0,  AQ286, CV286=1,  AZ286)</f>
        <v>6</v>
      </c>
      <c r="DB286" s="36">
        <f t="shared" si="37"/>
        <v>-8</v>
      </c>
      <c r="DC286" s="3">
        <f t="shared" si="38"/>
        <v>-6</v>
      </c>
      <c r="DD286" s="3">
        <f t="shared" si="39"/>
        <v>-8</v>
      </c>
      <c r="DE286" s="3">
        <f t="shared" si="42"/>
        <v>-6</v>
      </c>
      <c r="DF286" s="3">
        <f t="shared" si="40"/>
        <v>-6</v>
      </c>
      <c r="DG286" s="3">
        <f t="shared" si="41"/>
        <v>-2</v>
      </c>
    </row>
    <row r="287" spans="1:112" x14ac:dyDescent="0.4">
      <c r="A287">
        <v>202511</v>
      </c>
      <c r="B287">
        <v>456</v>
      </c>
      <c r="C287" s="5">
        <v>45969.475972222222</v>
      </c>
      <c r="D287" s="5">
        <v>45969.479467592595</v>
      </c>
      <c r="E287" s="3">
        <v>0</v>
      </c>
      <c r="F287" s="4" t="s">
        <v>314</v>
      </c>
      <c r="G287" s="3">
        <v>100</v>
      </c>
      <c r="H287" s="3">
        <v>301</v>
      </c>
      <c r="I287" s="3">
        <v>1</v>
      </c>
      <c r="J287" s="5">
        <v>45969.479472500003</v>
      </c>
      <c r="K287" s="4" t="s">
        <v>313</v>
      </c>
      <c r="L287" s="4" t="s">
        <v>122</v>
      </c>
      <c r="M287" s="4" t="s">
        <v>122</v>
      </c>
      <c r="N287" s="4" t="s">
        <v>122</v>
      </c>
      <c r="O287" s="4" t="s">
        <v>122</v>
      </c>
      <c r="P287" s="3">
        <v>32.250300000000003</v>
      </c>
      <c r="Q287" s="3">
        <v>-110.94499999999999</v>
      </c>
      <c r="R287" s="4" t="s">
        <v>129</v>
      </c>
      <c r="S287" s="4" t="s">
        <v>124</v>
      </c>
      <c r="T287" s="3">
        <v>4</v>
      </c>
      <c r="U287" s="3">
        <v>1</v>
      </c>
      <c r="V287" s="3">
        <v>1</v>
      </c>
      <c r="W287" s="3">
        <v>1</v>
      </c>
      <c r="X287" s="3">
        <v>1</v>
      </c>
      <c r="Y287" s="3">
        <v>2</v>
      </c>
      <c r="Z287" s="3">
        <v>1</v>
      </c>
      <c r="AA287" s="3">
        <v>1</v>
      </c>
      <c r="AB287" s="4" t="s">
        <v>122</v>
      </c>
      <c r="AC287" s="4" t="s">
        <v>122</v>
      </c>
      <c r="AD287" s="4" t="s">
        <v>122</v>
      </c>
      <c r="AE287" s="4" t="s">
        <v>122</v>
      </c>
      <c r="AF287" s="4" t="s">
        <v>122</v>
      </c>
      <c r="AG287" s="3">
        <v>3</v>
      </c>
      <c r="AH287" s="3">
        <v>4</v>
      </c>
      <c r="AI287" s="3">
        <v>2</v>
      </c>
      <c r="AJ287" s="3">
        <v>6</v>
      </c>
      <c r="AK287" s="3">
        <v>6</v>
      </c>
      <c r="AL287" s="3">
        <v>5</v>
      </c>
      <c r="AM287" s="3">
        <v>5</v>
      </c>
      <c r="AN287" s="3">
        <v>5</v>
      </c>
      <c r="AO287" s="3">
        <v>4</v>
      </c>
      <c r="AP287" s="3">
        <v>2</v>
      </c>
      <c r="AQ287" s="3">
        <v>0</v>
      </c>
      <c r="AR287" s="4" t="s">
        <v>122</v>
      </c>
      <c r="AS287" s="3">
        <v>3</v>
      </c>
      <c r="AT287" s="3">
        <v>6</v>
      </c>
      <c r="AU287" s="3">
        <v>5</v>
      </c>
      <c r="AV287" s="3">
        <v>3</v>
      </c>
      <c r="AW287" s="3">
        <v>5</v>
      </c>
      <c r="AX287" s="3">
        <v>2</v>
      </c>
      <c r="AY287" s="3">
        <v>3</v>
      </c>
      <c r="AZ287" s="3">
        <v>0</v>
      </c>
      <c r="BA287" s="4" t="s">
        <v>122</v>
      </c>
      <c r="BB287" s="3">
        <v>0</v>
      </c>
      <c r="BC287" s="3">
        <v>0</v>
      </c>
      <c r="BD287" s="3">
        <v>3</v>
      </c>
      <c r="BE287" s="4" t="s">
        <v>125</v>
      </c>
      <c r="BF287" s="4" t="s">
        <v>122</v>
      </c>
      <c r="BG287" s="4" t="s">
        <v>122</v>
      </c>
      <c r="BH287" s="4" t="s">
        <v>122</v>
      </c>
      <c r="BI287" s="4" t="s">
        <v>125</v>
      </c>
      <c r="BJ287" s="4" t="s">
        <v>122</v>
      </c>
      <c r="BK287" s="4" t="s">
        <v>122</v>
      </c>
      <c r="BL287" s="4" t="s">
        <v>122</v>
      </c>
      <c r="BM287" s="4" t="s">
        <v>122</v>
      </c>
      <c r="BN287" s="3">
        <v>4</v>
      </c>
      <c r="BO287" s="4" t="s">
        <v>122</v>
      </c>
      <c r="BP287" s="4" t="s">
        <v>122</v>
      </c>
      <c r="BQ287" s="4" t="s">
        <v>122</v>
      </c>
      <c r="BR287" s="4" t="s">
        <v>122</v>
      </c>
      <c r="BS287" s="4" t="s">
        <v>122</v>
      </c>
      <c r="BT287" s="4" t="s">
        <v>122</v>
      </c>
      <c r="BU287" s="4" t="s">
        <v>122</v>
      </c>
      <c r="BV287" s="4" t="s">
        <v>122</v>
      </c>
      <c r="BW287" s="4" t="s">
        <v>122</v>
      </c>
      <c r="BX287" s="4" t="s">
        <v>122</v>
      </c>
      <c r="BY287" s="4" t="s">
        <v>122</v>
      </c>
      <c r="BZ287" s="4" t="s">
        <v>122</v>
      </c>
      <c r="CA287" s="4" t="s">
        <v>122</v>
      </c>
      <c r="CB287" s="4" t="s">
        <v>122</v>
      </c>
      <c r="CC287" s="4" t="s">
        <v>122</v>
      </c>
      <c r="CD287" s="4" t="s">
        <v>122</v>
      </c>
      <c r="CE287" s="4" t="s">
        <v>122</v>
      </c>
      <c r="CF287" s="3">
        <v>2</v>
      </c>
      <c r="CG287" s="4" t="s">
        <v>122</v>
      </c>
      <c r="CH287" s="3">
        <v>1</v>
      </c>
      <c r="CI287" s="4" t="s">
        <v>122</v>
      </c>
      <c r="CJ287" s="4" t="s">
        <v>122</v>
      </c>
      <c r="CK287" s="4" t="s">
        <v>122</v>
      </c>
      <c r="CL287" s="4" t="s">
        <v>122</v>
      </c>
      <c r="CM287" s="4" t="s">
        <v>122</v>
      </c>
      <c r="CN287" s="4" t="s">
        <v>122</v>
      </c>
      <c r="CO287" s="4" t="s">
        <v>125</v>
      </c>
      <c r="CP287" s="4" t="s">
        <v>122</v>
      </c>
      <c r="CQ287" s="4" t="s">
        <v>122</v>
      </c>
      <c r="CR287" s="4" t="s">
        <v>122</v>
      </c>
      <c r="CS287" s="3">
        <v>3</v>
      </c>
      <c r="CT287" s="3">
        <v>-999</v>
      </c>
      <c r="CU287" s="42">
        <v>2</v>
      </c>
      <c r="CV287" cm="1">
        <f t="array" ref="CV287">_xlfn.IFS(CU287*1=2,1,CU287*1=4,1,TRUE,0)</f>
        <v>1</v>
      </c>
      <c r="CW287" cm="1">
        <f t="array" ref="CW287">_xlfn.IFS(CU287*1=1,1,CU287*1=2,1,TRUE,0)</f>
        <v>1</v>
      </c>
      <c r="CX287" s="3">
        <f t="shared" si="35"/>
        <v>0</v>
      </c>
      <c r="CY287" s="3">
        <f t="shared" si="36"/>
        <v>0</v>
      </c>
      <c r="CZ287" s="3" cm="1">
        <f t="array" ref="CZ287">_xlfn.IFS(BP287&lt;&gt;"", BP287, CV287=1,  AQ287, CV287=0,  AZ287)</f>
        <v>0</v>
      </c>
      <c r="DA287" s="36" cm="1">
        <f t="array" ref="DA287">_xlfn.IFS(BO287&lt;&gt;"", BO287, CV287=0,  AQ287, CV287=1,  AZ287)</f>
        <v>0</v>
      </c>
      <c r="DB287" s="36">
        <f t="shared" si="37"/>
        <v>-4</v>
      </c>
      <c r="DC287" s="3">
        <f t="shared" si="38"/>
        <v>-4</v>
      </c>
      <c r="DD287" s="3">
        <f t="shared" si="39"/>
        <v>-4</v>
      </c>
      <c r="DE287" s="3">
        <f t="shared" si="42"/>
        <v>-4</v>
      </c>
      <c r="DF287" s="3">
        <f t="shared" si="40"/>
        <v>-4</v>
      </c>
      <c r="DG287" s="3">
        <f t="shared" si="41"/>
        <v>-4</v>
      </c>
    </row>
    <row r="288" spans="1:112" x14ac:dyDescent="0.4">
      <c r="A288">
        <v>202511</v>
      </c>
      <c r="B288">
        <v>123</v>
      </c>
      <c r="C288" s="1">
        <v>45969.479201388887</v>
      </c>
      <c r="D288" s="1">
        <v>45969.483761574076</v>
      </c>
      <c r="E288">
        <v>0</v>
      </c>
      <c r="F288" s="2" t="s">
        <v>202</v>
      </c>
      <c r="G288">
        <v>100</v>
      </c>
      <c r="H288">
        <v>394</v>
      </c>
      <c r="I288">
        <v>1</v>
      </c>
      <c r="J288" s="1">
        <v>45969.483775034721</v>
      </c>
      <c r="K288" s="2" t="s">
        <v>203</v>
      </c>
      <c r="L288" s="2" t="s">
        <v>122</v>
      </c>
      <c r="M288" s="2" t="s">
        <v>122</v>
      </c>
      <c r="N288" s="2" t="s">
        <v>122</v>
      </c>
      <c r="O288" s="2" t="s">
        <v>122</v>
      </c>
      <c r="P288">
        <v>33.453200000000002</v>
      </c>
      <c r="Q288">
        <v>-112.0748</v>
      </c>
      <c r="R288" s="2" t="s">
        <v>129</v>
      </c>
      <c r="S288" s="2" t="s">
        <v>124</v>
      </c>
      <c r="T288">
        <v>4</v>
      </c>
      <c r="U288">
        <v>1</v>
      </c>
      <c r="V288">
        <v>2</v>
      </c>
      <c r="W288">
        <v>2</v>
      </c>
      <c r="X288">
        <v>1</v>
      </c>
      <c r="Y288">
        <v>2</v>
      </c>
      <c r="Z288">
        <v>2</v>
      </c>
      <c r="AA288">
        <v>2</v>
      </c>
      <c r="AB288" s="2" t="s">
        <v>122</v>
      </c>
      <c r="AC288" s="2" t="s">
        <v>122</v>
      </c>
      <c r="AD288" s="2" t="s">
        <v>122</v>
      </c>
      <c r="AE288" s="2" t="s">
        <v>122</v>
      </c>
      <c r="AF288" s="2" t="s">
        <v>122</v>
      </c>
      <c r="AG288">
        <v>4</v>
      </c>
      <c r="AH288">
        <v>8</v>
      </c>
      <c r="AI288">
        <v>2</v>
      </c>
      <c r="AJ288">
        <v>7</v>
      </c>
      <c r="AK288">
        <v>8</v>
      </c>
      <c r="AL288">
        <v>8</v>
      </c>
      <c r="AM288">
        <v>7</v>
      </c>
      <c r="AN288">
        <v>6</v>
      </c>
      <c r="AO288">
        <v>2</v>
      </c>
      <c r="AP288">
        <v>3</v>
      </c>
      <c r="AQ288">
        <v>6</v>
      </c>
      <c r="AR288">
        <v>2</v>
      </c>
      <c r="AS288">
        <v>6</v>
      </c>
      <c r="AT288">
        <v>8</v>
      </c>
      <c r="AU288">
        <v>4</v>
      </c>
      <c r="AV288">
        <v>4</v>
      </c>
      <c r="AW288">
        <v>7</v>
      </c>
      <c r="AX288">
        <v>3</v>
      </c>
      <c r="AY288">
        <v>4</v>
      </c>
      <c r="AZ288">
        <v>6</v>
      </c>
      <c r="BA288">
        <v>1</v>
      </c>
      <c r="BB288">
        <v>6</v>
      </c>
      <c r="BC288">
        <v>6</v>
      </c>
      <c r="BD288">
        <v>1</v>
      </c>
      <c r="BE288" s="2" t="s">
        <v>125</v>
      </c>
      <c r="BF288" s="2" t="s">
        <v>122</v>
      </c>
      <c r="BG288" s="2" t="s">
        <v>122</v>
      </c>
      <c r="BH288" s="2" t="s">
        <v>122</v>
      </c>
      <c r="BI288" s="2" t="s">
        <v>122</v>
      </c>
      <c r="BJ288" s="2" t="s">
        <v>122</v>
      </c>
      <c r="BK288" s="2" t="s">
        <v>122</v>
      </c>
      <c r="BL288" s="2" t="s">
        <v>122</v>
      </c>
      <c r="BM288" s="2" t="s">
        <v>122</v>
      </c>
      <c r="BN288" s="2" t="s">
        <v>122</v>
      </c>
      <c r="BO288" s="2" t="s">
        <v>122</v>
      </c>
      <c r="BP288" s="2" t="s">
        <v>122</v>
      </c>
      <c r="BQ288" s="2" t="s">
        <v>122</v>
      </c>
      <c r="BR288" s="2" t="s">
        <v>122</v>
      </c>
      <c r="BS288" s="2" t="s">
        <v>122</v>
      </c>
      <c r="BT288" s="2" t="s">
        <v>122</v>
      </c>
      <c r="BU288" s="2" t="s">
        <v>122</v>
      </c>
      <c r="BV288" s="2" t="s">
        <v>122</v>
      </c>
      <c r="BW288" s="2" t="s">
        <v>122</v>
      </c>
      <c r="BX288" s="2" t="s">
        <v>122</v>
      </c>
      <c r="BY288" s="2" t="s">
        <v>122</v>
      </c>
      <c r="BZ288" s="2" t="s">
        <v>122</v>
      </c>
      <c r="CA288" s="2" t="s">
        <v>122</v>
      </c>
      <c r="CB288" s="2" t="s">
        <v>122</v>
      </c>
      <c r="CC288" s="2" t="s">
        <v>122</v>
      </c>
      <c r="CD288" s="2" t="s">
        <v>122</v>
      </c>
      <c r="CE288" s="2" t="s">
        <v>122</v>
      </c>
      <c r="CF288">
        <v>1</v>
      </c>
      <c r="CG288" s="2" t="s">
        <v>122</v>
      </c>
      <c r="CH288">
        <v>4</v>
      </c>
      <c r="CI288" s="2" t="s">
        <v>122</v>
      </c>
      <c r="CJ288" s="2" t="s">
        <v>125</v>
      </c>
      <c r="CK288" s="2" t="s">
        <v>122</v>
      </c>
      <c r="CL288" s="2" t="s">
        <v>122</v>
      </c>
      <c r="CM288" s="2" t="s">
        <v>122</v>
      </c>
      <c r="CN288" s="2" t="s">
        <v>122</v>
      </c>
      <c r="CO288" s="2" t="s">
        <v>125</v>
      </c>
      <c r="CP288" s="2" t="s">
        <v>122</v>
      </c>
      <c r="CQ288" s="2" t="s">
        <v>122</v>
      </c>
      <c r="CR288" s="2" t="s">
        <v>122</v>
      </c>
      <c r="CS288">
        <v>4</v>
      </c>
      <c r="CT288">
        <v>5</v>
      </c>
      <c r="CU288" s="43">
        <v>1</v>
      </c>
      <c r="CV288" cm="1">
        <f t="array" ref="CV288">_xlfn.IFS(CU288*1=2,1,CU288*1=4,1,TRUE,0)</f>
        <v>0</v>
      </c>
      <c r="CW288" cm="1">
        <f t="array" ref="CW288">_xlfn.IFS(CU288*1=1,1,CU288*1=2,1,TRUE,0)</f>
        <v>1</v>
      </c>
      <c r="CX288" s="3">
        <f t="shared" si="35"/>
        <v>6</v>
      </c>
      <c r="CY288" s="3">
        <f t="shared" si="36"/>
        <v>6</v>
      </c>
      <c r="CZ288" s="3" cm="1">
        <f t="array" ref="CZ288">_xlfn.IFS(BP288&lt;&gt;"", BP288, CV288=1,  AQ288, CV288=0,  AZ288)</f>
        <v>6</v>
      </c>
      <c r="DA288" s="36" cm="1">
        <f t="array" ref="DA288">_xlfn.IFS(BO288&lt;&gt;"", BO288, CV288=0,  AQ288, CV288=1,  AZ288)</f>
        <v>6</v>
      </c>
      <c r="DB288" s="36">
        <f t="shared" si="37"/>
        <v>-2</v>
      </c>
      <c r="DC288" s="3">
        <f t="shared" si="38"/>
        <v>-2</v>
      </c>
      <c r="DD288" s="3">
        <f t="shared" si="39"/>
        <v>-2</v>
      </c>
      <c r="DE288" s="3">
        <f t="shared" si="42"/>
        <v>-2</v>
      </c>
      <c r="DF288" s="3">
        <f t="shared" si="40"/>
        <v>-2</v>
      </c>
      <c r="DG288" s="3">
        <f t="shared" si="41"/>
        <v>-2</v>
      </c>
    </row>
    <row r="289" spans="1:111" x14ac:dyDescent="0.4">
      <c r="A289">
        <v>202511</v>
      </c>
      <c r="B289">
        <v>456</v>
      </c>
      <c r="C289" s="5">
        <v>45969.484074074076</v>
      </c>
      <c r="D289" s="5">
        <v>45969.487488425926</v>
      </c>
      <c r="E289" s="3">
        <v>0</v>
      </c>
      <c r="F289" s="4" t="s">
        <v>312</v>
      </c>
      <c r="G289" s="3">
        <v>100</v>
      </c>
      <c r="H289" s="3">
        <v>294</v>
      </c>
      <c r="I289" s="3">
        <v>1</v>
      </c>
      <c r="J289" s="5">
        <v>45969.487496712965</v>
      </c>
      <c r="K289" s="4" t="s">
        <v>311</v>
      </c>
      <c r="L289" s="4" t="s">
        <v>122</v>
      </c>
      <c r="M289" s="4" t="s">
        <v>122</v>
      </c>
      <c r="N289" s="4" t="s">
        <v>122</v>
      </c>
      <c r="O289" s="4" t="s">
        <v>122</v>
      </c>
      <c r="P289" s="3">
        <v>36.128999999999998</v>
      </c>
      <c r="Q289" s="3">
        <v>-115.2765</v>
      </c>
      <c r="R289" s="4" t="s">
        <v>129</v>
      </c>
      <c r="S289" s="4" t="s">
        <v>124</v>
      </c>
      <c r="T289" s="3">
        <v>4</v>
      </c>
      <c r="U289" s="3">
        <v>0</v>
      </c>
      <c r="V289" s="3">
        <v>1</v>
      </c>
      <c r="W289" s="3">
        <v>1</v>
      </c>
      <c r="X289" s="3">
        <v>4</v>
      </c>
      <c r="Y289" s="3">
        <v>4</v>
      </c>
      <c r="Z289" s="3">
        <v>4</v>
      </c>
      <c r="AA289" s="3">
        <v>3</v>
      </c>
      <c r="AB289" s="4" t="s">
        <v>122</v>
      </c>
      <c r="AC289" s="4" t="s">
        <v>122</v>
      </c>
      <c r="AD289" s="4" t="s">
        <v>125</v>
      </c>
      <c r="AE289" s="4" t="s">
        <v>122</v>
      </c>
      <c r="AF289" s="4" t="s">
        <v>122</v>
      </c>
      <c r="AG289" s="3">
        <v>3</v>
      </c>
      <c r="AH289" s="3">
        <v>5.5</v>
      </c>
      <c r="AI289" s="3">
        <v>3</v>
      </c>
      <c r="AJ289" s="3">
        <v>9</v>
      </c>
      <c r="AK289" s="3">
        <v>8</v>
      </c>
      <c r="AL289" s="3">
        <v>8</v>
      </c>
      <c r="AM289" s="3">
        <v>9</v>
      </c>
      <c r="AN289" s="3">
        <v>9</v>
      </c>
      <c r="AO289" s="3">
        <v>3</v>
      </c>
      <c r="AP289" s="3">
        <v>3</v>
      </c>
      <c r="AQ289" s="4" t="s">
        <v>122</v>
      </c>
      <c r="AR289" s="4" t="s">
        <v>122</v>
      </c>
      <c r="AS289" s="3">
        <v>5</v>
      </c>
      <c r="AT289" s="3">
        <v>6</v>
      </c>
      <c r="AU289" s="3">
        <v>5</v>
      </c>
      <c r="AV289" s="3">
        <v>7</v>
      </c>
      <c r="AW289" s="3">
        <v>5</v>
      </c>
      <c r="AX289" s="3">
        <v>1</v>
      </c>
      <c r="AY289" s="3">
        <v>2</v>
      </c>
      <c r="AZ289" s="4" t="s">
        <v>122</v>
      </c>
      <c r="BA289" s="4" t="s">
        <v>122</v>
      </c>
      <c r="BB289" s="4" t="s">
        <v>122</v>
      </c>
      <c r="BC289" s="4" t="s">
        <v>122</v>
      </c>
      <c r="BD289" s="4" t="s">
        <v>122</v>
      </c>
      <c r="BE289" s="4" t="s">
        <v>122</v>
      </c>
      <c r="BF289" s="4" t="s">
        <v>122</v>
      </c>
      <c r="BG289" s="4" t="s">
        <v>122</v>
      </c>
      <c r="BH289" s="4" t="s">
        <v>122</v>
      </c>
      <c r="BI289" s="4" t="s">
        <v>122</v>
      </c>
      <c r="BJ289" s="4" t="s">
        <v>122</v>
      </c>
      <c r="BK289" s="4" t="s">
        <v>122</v>
      </c>
      <c r="BL289" s="4" t="s">
        <v>122</v>
      </c>
      <c r="BM289" s="4" t="s">
        <v>122</v>
      </c>
      <c r="BN289" s="4" t="s">
        <v>122</v>
      </c>
      <c r="BO289" s="3">
        <v>6.5</v>
      </c>
      <c r="BP289" s="3">
        <v>6.5</v>
      </c>
      <c r="BQ289" s="3">
        <v>3</v>
      </c>
      <c r="BR289" s="4" t="s">
        <v>125</v>
      </c>
      <c r="BS289" s="4" t="s">
        <v>122</v>
      </c>
      <c r="BT289" s="4" t="s">
        <v>122</v>
      </c>
      <c r="BU289" s="4" t="s">
        <v>122</v>
      </c>
      <c r="BV289" s="4" t="s">
        <v>122</v>
      </c>
      <c r="BW289" s="4" t="s">
        <v>125</v>
      </c>
      <c r="BX289" s="4" t="s">
        <v>122</v>
      </c>
      <c r="BY289" s="4" t="s">
        <v>122</v>
      </c>
      <c r="BZ289" s="4" t="s">
        <v>122</v>
      </c>
      <c r="CA289" s="3">
        <v>1</v>
      </c>
      <c r="CB289" s="3">
        <v>5.5</v>
      </c>
      <c r="CC289" s="3">
        <v>3</v>
      </c>
      <c r="CD289" s="3">
        <v>7</v>
      </c>
      <c r="CE289" s="3">
        <v>3</v>
      </c>
      <c r="CF289" s="3">
        <v>1</v>
      </c>
      <c r="CG289" s="4" t="s">
        <v>122</v>
      </c>
      <c r="CH289" s="3">
        <v>5</v>
      </c>
      <c r="CI289" s="4" t="s">
        <v>122</v>
      </c>
      <c r="CJ289" s="4" t="s">
        <v>122</v>
      </c>
      <c r="CK289" s="4" t="s">
        <v>122</v>
      </c>
      <c r="CL289" s="4" t="s">
        <v>122</v>
      </c>
      <c r="CM289" s="4" t="s">
        <v>122</v>
      </c>
      <c r="CN289" s="4" t="s">
        <v>122</v>
      </c>
      <c r="CO289" s="4" t="s">
        <v>125</v>
      </c>
      <c r="CP289" s="4" t="s">
        <v>122</v>
      </c>
      <c r="CQ289" s="4" t="s">
        <v>122</v>
      </c>
      <c r="CR289" s="4" t="s">
        <v>122</v>
      </c>
      <c r="CS289" s="3">
        <v>3</v>
      </c>
      <c r="CT289" s="3">
        <v>5</v>
      </c>
      <c r="CU289" s="42">
        <v>4</v>
      </c>
      <c r="CV289" cm="1">
        <f t="array" ref="CV289">_xlfn.IFS(CU289*1=2,1,CU289*1=4,1,TRUE,0)</f>
        <v>1</v>
      </c>
      <c r="CW289" cm="1">
        <f t="array" ref="CW289">_xlfn.IFS(CU289*1=1,1,CU289*1=2,1,TRUE,0)</f>
        <v>0</v>
      </c>
      <c r="CX289" s="3">
        <f t="shared" si="35"/>
        <v>5.5</v>
      </c>
      <c r="CY289" s="3">
        <f t="shared" si="36"/>
        <v>7</v>
      </c>
      <c r="CZ289" s="3" cm="1">
        <f t="array" ref="CZ289">_xlfn.IFS(BP289&lt;&gt;"", BP289, CV289=1,  AQ289, CV289=0,  AZ289)</f>
        <v>6.5</v>
      </c>
      <c r="DA289" s="36" cm="1">
        <f t="array" ref="DA289">_xlfn.IFS(BO289&lt;&gt;"", BO289, CV289=0,  AQ289, CV289=1,  AZ289)</f>
        <v>6.5</v>
      </c>
      <c r="DB289" s="36">
        <f t="shared" si="37"/>
        <v>1.5</v>
      </c>
      <c r="DC289" s="3">
        <f t="shared" si="38"/>
        <v>0</v>
      </c>
      <c r="DD289" s="3">
        <f t="shared" si="39"/>
        <v>1.5</v>
      </c>
      <c r="DE289" s="3">
        <f t="shared" si="42"/>
        <v>1</v>
      </c>
      <c r="DF289" s="3">
        <f t="shared" si="40"/>
        <v>0</v>
      </c>
      <c r="DG289" s="3">
        <f t="shared" si="41"/>
        <v>1</v>
      </c>
    </row>
    <row r="290" spans="1:111" x14ac:dyDescent="0.4">
      <c r="A290">
        <v>202511</v>
      </c>
      <c r="B290">
        <v>456</v>
      </c>
      <c r="C290" s="5">
        <v>45969.484965277778</v>
      </c>
      <c r="D290" s="5">
        <v>45969.491631944446</v>
      </c>
      <c r="E290" s="3">
        <v>0</v>
      </c>
      <c r="F290" s="4" t="s">
        <v>310</v>
      </c>
      <c r="G290" s="3">
        <v>100</v>
      </c>
      <c r="H290" s="3">
        <v>576</v>
      </c>
      <c r="I290" s="3">
        <v>1</v>
      </c>
      <c r="J290" s="5">
        <v>45969.491640057873</v>
      </c>
      <c r="K290" s="4" t="s">
        <v>309</v>
      </c>
      <c r="L290" s="4" t="s">
        <v>122</v>
      </c>
      <c r="M290" s="4" t="s">
        <v>122</v>
      </c>
      <c r="N290" s="4" t="s">
        <v>122</v>
      </c>
      <c r="O290" s="4" t="s">
        <v>122</v>
      </c>
      <c r="P290" s="3">
        <v>36.203800000000001</v>
      </c>
      <c r="Q290" s="3">
        <v>-115.2255</v>
      </c>
      <c r="R290" s="4" t="s">
        <v>129</v>
      </c>
      <c r="S290" s="4" t="s">
        <v>124</v>
      </c>
      <c r="T290" s="3">
        <v>4</v>
      </c>
      <c r="U290" s="3">
        <v>1</v>
      </c>
      <c r="V290" s="3">
        <v>5</v>
      </c>
      <c r="W290" s="3">
        <v>5</v>
      </c>
      <c r="X290" s="3">
        <v>1</v>
      </c>
      <c r="Y290" s="3">
        <v>1</v>
      </c>
      <c r="Z290" s="3">
        <v>1</v>
      </c>
      <c r="AA290" s="3">
        <v>1</v>
      </c>
      <c r="AB290" s="4" t="s">
        <v>122</v>
      </c>
      <c r="AC290" s="4" t="s">
        <v>122</v>
      </c>
      <c r="AD290" s="4" t="s">
        <v>122</v>
      </c>
      <c r="AE290" s="4" t="s">
        <v>122</v>
      </c>
      <c r="AF290" s="4" t="s">
        <v>122</v>
      </c>
      <c r="AG290" s="3">
        <v>3</v>
      </c>
      <c r="AH290" s="3">
        <v>0</v>
      </c>
      <c r="AI290" s="4" t="s">
        <v>122</v>
      </c>
      <c r="AJ290" s="3">
        <v>7</v>
      </c>
      <c r="AK290" s="3">
        <v>8</v>
      </c>
      <c r="AL290" s="3">
        <v>5</v>
      </c>
      <c r="AM290" s="3">
        <v>8</v>
      </c>
      <c r="AN290" s="3">
        <v>8</v>
      </c>
      <c r="AO290" s="3">
        <v>3</v>
      </c>
      <c r="AP290" s="3">
        <v>3</v>
      </c>
      <c r="AQ290" s="3">
        <v>6</v>
      </c>
      <c r="AR290" s="3">
        <v>2</v>
      </c>
      <c r="AS290" s="3">
        <v>4</v>
      </c>
      <c r="AT290" s="3">
        <v>7</v>
      </c>
      <c r="AU290" s="3">
        <v>7</v>
      </c>
      <c r="AV290" s="3">
        <v>3</v>
      </c>
      <c r="AW290" s="3">
        <v>6</v>
      </c>
      <c r="AX290" s="3">
        <v>2</v>
      </c>
      <c r="AY290" s="3">
        <v>2</v>
      </c>
      <c r="AZ290" s="3">
        <v>4</v>
      </c>
      <c r="BA290" s="3">
        <v>3</v>
      </c>
      <c r="BB290" s="3">
        <v>4</v>
      </c>
      <c r="BC290" s="3">
        <v>6</v>
      </c>
      <c r="BD290" s="3">
        <v>2</v>
      </c>
      <c r="BE290" s="4" t="s">
        <v>122</v>
      </c>
      <c r="BF290" s="4" t="s">
        <v>122</v>
      </c>
      <c r="BG290" s="4" t="s">
        <v>122</v>
      </c>
      <c r="BH290" s="4" t="s">
        <v>122</v>
      </c>
      <c r="BI290" s="4" t="s">
        <v>122</v>
      </c>
      <c r="BJ290" s="4" t="s">
        <v>122</v>
      </c>
      <c r="BK290" s="4" t="s">
        <v>122</v>
      </c>
      <c r="BL290" s="4" t="s">
        <v>122</v>
      </c>
      <c r="BM290" s="4" t="s">
        <v>125</v>
      </c>
      <c r="BN290" s="4" t="s">
        <v>122</v>
      </c>
      <c r="BO290" s="4" t="s">
        <v>122</v>
      </c>
      <c r="BP290" s="4" t="s">
        <v>122</v>
      </c>
      <c r="BQ290" s="4" t="s">
        <v>122</v>
      </c>
      <c r="BR290" s="4" t="s">
        <v>122</v>
      </c>
      <c r="BS290" s="4" t="s">
        <v>122</v>
      </c>
      <c r="BT290" s="4" t="s">
        <v>122</v>
      </c>
      <c r="BU290" s="4" t="s">
        <v>122</v>
      </c>
      <c r="BV290" s="4" t="s">
        <v>122</v>
      </c>
      <c r="BW290" s="4" t="s">
        <v>122</v>
      </c>
      <c r="BX290" s="4" t="s">
        <v>122</v>
      </c>
      <c r="BY290" s="4" t="s">
        <v>122</v>
      </c>
      <c r="BZ290" s="4" t="s">
        <v>122</v>
      </c>
      <c r="CA290" s="4" t="s">
        <v>122</v>
      </c>
      <c r="CB290" s="4" t="s">
        <v>122</v>
      </c>
      <c r="CC290" s="4" t="s">
        <v>122</v>
      </c>
      <c r="CD290" s="4" t="s">
        <v>122</v>
      </c>
      <c r="CE290" s="4" t="s">
        <v>122</v>
      </c>
      <c r="CF290" s="3">
        <v>1</v>
      </c>
      <c r="CG290" s="4" t="s">
        <v>122</v>
      </c>
      <c r="CH290" s="3">
        <v>6</v>
      </c>
      <c r="CI290" s="4" t="s">
        <v>122</v>
      </c>
      <c r="CJ290" s="4" t="s">
        <v>122</v>
      </c>
      <c r="CK290" s="4" t="s">
        <v>122</v>
      </c>
      <c r="CL290" s="4" t="s">
        <v>125</v>
      </c>
      <c r="CM290" s="4" t="s">
        <v>122</v>
      </c>
      <c r="CN290" s="4" t="s">
        <v>122</v>
      </c>
      <c r="CO290" s="4" t="s">
        <v>122</v>
      </c>
      <c r="CP290" s="4" t="s">
        <v>122</v>
      </c>
      <c r="CQ290" s="4" t="s">
        <v>122</v>
      </c>
      <c r="CR290" s="4" t="s">
        <v>122</v>
      </c>
      <c r="CS290" s="3">
        <v>2</v>
      </c>
      <c r="CT290" s="3">
        <v>6</v>
      </c>
      <c r="CU290" s="42">
        <v>2</v>
      </c>
      <c r="CV290" cm="1">
        <f t="array" ref="CV290">_xlfn.IFS(CU290*1=2,1,CU290*1=4,1,TRUE,0)</f>
        <v>1</v>
      </c>
      <c r="CW290" cm="1">
        <f t="array" ref="CW290">_xlfn.IFS(CU290*1=1,1,CU290*1=2,1,TRUE,0)</f>
        <v>1</v>
      </c>
      <c r="CX290" s="3">
        <f t="shared" si="35"/>
        <v>4</v>
      </c>
      <c r="CY290" s="3">
        <f t="shared" si="36"/>
        <v>6</v>
      </c>
      <c r="CZ290" s="3" cm="1">
        <f t="array" ref="CZ290">_xlfn.IFS(BP290&lt;&gt;"", BP290, CV290=1,  AQ290, CV290=0,  AZ290)</f>
        <v>6</v>
      </c>
      <c r="DA290" s="36" cm="1">
        <f t="array" ref="DA290">_xlfn.IFS(BO290&lt;&gt;"", BO290, CV290=0,  AQ290, CV290=1,  AZ290)</f>
        <v>4</v>
      </c>
      <c r="DB290" s="36">
        <f t="shared" si="37"/>
        <v>6</v>
      </c>
      <c r="DC290" s="3">
        <f t="shared" si="38"/>
        <v>4</v>
      </c>
      <c r="DD290" s="3">
        <f t="shared" si="39"/>
        <v>6</v>
      </c>
      <c r="DE290" s="3">
        <f t="shared" si="42"/>
        <v>6</v>
      </c>
      <c r="DF290" s="3">
        <f t="shared" si="40"/>
        <v>4</v>
      </c>
      <c r="DG290" s="3">
        <f t="shared" si="41"/>
        <v>4</v>
      </c>
    </row>
    <row r="291" spans="1:111" x14ac:dyDescent="0.4">
      <c r="A291">
        <v>202511</v>
      </c>
      <c r="B291">
        <v>123</v>
      </c>
      <c r="C291" s="1">
        <v>45969.485266203701</v>
      </c>
      <c r="D291" s="1">
        <v>45969.491412037038</v>
      </c>
      <c r="E291">
        <v>0</v>
      </c>
      <c r="F291" s="2" t="s">
        <v>204</v>
      </c>
      <c r="G291">
        <v>100</v>
      </c>
      <c r="H291">
        <v>530</v>
      </c>
      <c r="I291">
        <v>1</v>
      </c>
      <c r="J291" s="1">
        <v>45969.491420543978</v>
      </c>
      <c r="K291" s="2" t="s">
        <v>205</v>
      </c>
      <c r="L291" s="2" t="s">
        <v>122</v>
      </c>
      <c r="M291" s="2" t="s">
        <v>122</v>
      </c>
      <c r="N291" s="2" t="s">
        <v>122</v>
      </c>
      <c r="O291" s="2" t="s">
        <v>122</v>
      </c>
      <c r="P291">
        <v>36.215800000000002</v>
      </c>
      <c r="Q291">
        <v>-115.066</v>
      </c>
      <c r="R291" s="2" t="s">
        <v>129</v>
      </c>
      <c r="S291" s="2" t="s">
        <v>124</v>
      </c>
      <c r="T291">
        <v>4</v>
      </c>
      <c r="U291">
        <v>1</v>
      </c>
      <c r="V291">
        <v>3</v>
      </c>
      <c r="W291">
        <v>3</v>
      </c>
      <c r="X291">
        <v>1</v>
      </c>
      <c r="Y291">
        <v>2</v>
      </c>
      <c r="Z291">
        <v>1</v>
      </c>
      <c r="AA291">
        <v>1</v>
      </c>
      <c r="AB291" s="2" t="s">
        <v>122</v>
      </c>
      <c r="AC291" s="2" t="s">
        <v>122</v>
      </c>
      <c r="AD291" s="2" t="s">
        <v>122</v>
      </c>
      <c r="AE291" s="2" t="s">
        <v>122</v>
      </c>
      <c r="AF291" s="2" t="s">
        <v>122</v>
      </c>
      <c r="AG291">
        <v>2</v>
      </c>
      <c r="AH291">
        <v>5</v>
      </c>
      <c r="AI291">
        <v>2</v>
      </c>
      <c r="AJ291">
        <v>6</v>
      </c>
      <c r="AK291">
        <v>7</v>
      </c>
      <c r="AL291">
        <v>7</v>
      </c>
      <c r="AM291">
        <v>6</v>
      </c>
      <c r="AN291">
        <v>5</v>
      </c>
      <c r="AO291">
        <v>2</v>
      </c>
      <c r="AP291">
        <v>3</v>
      </c>
      <c r="AQ291" s="2" t="s">
        <v>122</v>
      </c>
      <c r="AR291" s="2" t="s">
        <v>122</v>
      </c>
      <c r="AS291">
        <v>4</v>
      </c>
      <c r="AT291">
        <v>5</v>
      </c>
      <c r="AU291">
        <v>5</v>
      </c>
      <c r="AV291">
        <v>4</v>
      </c>
      <c r="AW291">
        <v>7</v>
      </c>
      <c r="AX291">
        <v>1</v>
      </c>
      <c r="AY291">
        <v>4</v>
      </c>
      <c r="AZ291" s="2" t="s">
        <v>122</v>
      </c>
      <c r="BA291" s="2" t="s">
        <v>122</v>
      </c>
      <c r="BB291" s="2" t="s">
        <v>122</v>
      </c>
      <c r="BC291" s="2" t="s">
        <v>122</v>
      </c>
      <c r="BD291" s="2" t="s">
        <v>122</v>
      </c>
      <c r="BE291" s="2" t="s">
        <v>122</v>
      </c>
      <c r="BF291" s="2" t="s">
        <v>122</v>
      </c>
      <c r="BG291" s="2" t="s">
        <v>122</v>
      </c>
      <c r="BH291" s="2" t="s">
        <v>122</v>
      </c>
      <c r="BI291" s="2" t="s">
        <v>122</v>
      </c>
      <c r="BJ291" s="2" t="s">
        <v>122</v>
      </c>
      <c r="BK291" s="2" t="s">
        <v>122</v>
      </c>
      <c r="BL291" s="2" t="s">
        <v>122</v>
      </c>
      <c r="BM291" s="2" t="s">
        <v>122</v>
      </c>
      <c r="BN291" s="2" t="s">
        <v>122</v>
      </c>
      <c r="BO291">
        <v>5.5</v>
      </c>
      <c r="BP291">
        <v>5.5</v>
      </c>
      <c r="BQ291">
        <v>2</v>
      </c>
      <c r="BR291" s="2" t="s">
        <v>125</v>
      </c>
      <c r="BS291" s="2" t="s">
        <v>122</v>
      </c>
      <c r="BT291" s="2" t="s">
        <v>122</v>
      </c>
      <c r="BU291" s="2" t="s">
        <v>122</v>
      </c>
      <c r="BV291" s="2" t="s">
        <v>122</v>
      </c>
      <c r="BW291" s="2" t="s">
        <v>122</v>
      </c>
      <c r="BX291" s="2" t="s">
        <v>122</v>
      </c>
      <c r="BY291" s="2" t="s">
        <v>122</v>
      </c>
      <c r="BZ291" s="2" t="s">
        <v>122</v>
      </c>
      <c r="CA291" s="2" t="s">
        <v>122</v>
      </c>
      <c r="CB291">
        <v>5</v>
      </c>
      <c r="CC291">
        <v>2</v>
      </c>
      <c r="CD291">
        <v>4.5</v>
      </c>
      <c r="CE291">
        <v>1</v>
      </c>
      <c r="CF291">
        <v>2</v>
      </c>
      <c r="CG291" s="2" t="s">
        <v>122</v>
      </c>
      <c r="CH291">
        <v>2.2999999999999998</v>
      </c>
      <c r="CI291" s="2" t="s">
        <v>122</v>
      </c>
      <c r="CJ291" s="2" t="s">
        <v>122</v>
      </c>
      <c r="CK291" s="2" t="s">
        <v>122</v>
      </c>
      <c r="CL291" s="2" t="s">
        <v>125</v>
      </c>
      <c r="CM291" s="2" t="s">
        <v>122</v>
      </c>
      <c r="CN291" s="2" t="s">
        <v>122</v>
      </c>
      <c r="CO291" s="2" t="s">
        <v>122</v>
      </c>
      <c r="CP291" s="2" t="s">
        <v>122</v>
      </c>
      <c r="CQ291" s="2" t="s">
        <v>122</v>
      </c>
      <c r="CR291" s="2" t="s">
        <v>122</v>
      </c>
      <c r="CS291">
        <v>3</v>
      </c>
      <c r="CT291">
        <v>1</v>
      </c>
      <c r="CU291" s="43">
        <v>3</v>
      </c>
      <c r="CV291" cm="1">
        <f t="array" ref="CV291">_xlfn.IFS(CU291*1=2,1,CU291*1=4,1,TRUE,0)</f>
        <v>0</v>
      </c>
      <c r="CW291" cm="1">
        <f t="array" ref="CW291">_xlfn.IFS(CU291*1=1,1,CU291*1=2,1,TRUE,0)</f>
        <v>0</v>
      </c>
      <c r="CX291" s="3">
        <f t="shared" si="35"/>
        <v>5</v>
      </c>
      <c r="CY291" s="3">
        <f t="shared" si="36"/>
        <v>4.5</v>
      </c>
      <c r="CZ291" s="3" cm="1">
        <f t="array" ref="CZ291">_xlfn.IFS(BP291&lt;&gt;"", BP291, CV291=1,  AQ291, CV291=0,  AZ291)</f>
        <v>5.5</v>
      </c>
      <c r="DA291" s="36" cm="1">
        <f t="array" ref="DA291">_xlfn.IFS(BO291&lt;&gt;"", BO291, CV291=0,  AQ291, CV291=1,  AZ291)</f>
        <v>5.5</v>
      </c>
      <c r="DB291" s="36">
        <f t="shared" si="37"/>
        <v>-0.5</v>
      </c>
      <c r="DC291" s="3">
        <f t="shared" si="38"/>
        <v>0</v>
      </c>
      <c r="DD291" s="3">
        <f t="shared" si="39"/>
        <v>-0.5</v>
      </c>
      <c r="DE291" s="3">
        <f t="shared" si="42"/>
        <v>0.5</v>
      </c>
      <c r="DF291" s="3">
        <f t="shared" si="40"/>
        <v>0</v>
      </c>
      <c r="DG291" s="3">
        <f t="shared" si="41"/>
        <v>0.5</v>
      </c>
    </row>
    <row r="292" spans="1:111" x14ac:dyDescent="0.4">
      <c r="A292">
        <v>202511</v>
      </c>
      <c r="B292">
        <v>123</v>
      </c>
      <c r="C292" s="1">
        <v>45969.485312500001</v>
      </c>
      <c r="D292" s="1">
        <v>45969.493078703701</v>
      </c>
      <c r="E292">
        <v>0</v>
      </c>
      <c r="F292" s="2" t="s">
        <v>206</v>
      </c>
      <c r="G292">
        <v>100</v>
      </c>
      <c r="H292">
        <v>671</v>
      </c>
      <c r="I292">
        <v>1</v>
      </c>
      <c r="J292" s="1">
        <v>45969.493094490739</v>
      </c>
      <c r="K292" s="2" t="s">
        <v>207</v>
      </c>
      <c r="L292" s="2" t="s">
        <v>122</v>
      </c>
      <c r="M292" s="2" t="s">
        <v>122</v>
      </c>
      <c r="N292" s="2" t="s">
        <v>122</v>
      </c>
      <c r="O292" s="2" t="s">
        <v>122</v>
      </c>
      <c r="P292">
        <v>36.172400000000003</v>
      </c>
      <c r="Q292">
        <v>-115.0677</v>
      </c>
      <c r="R292" s="2" t="s">
        <v>129</v>
      </c>
      <c r="S292" s="2" t="s">
        <v>124</v>
      </c>
      <c r="T292">
        <v>4</v>
      </c>
      <c r="U292">
        <v>1</v>
      </c>
      <c r="V292">
        <v>4</v>
      </c>
      <c r="W292">
        <v>4</v>
      </c>
      <c r="X292">
        <v>4</v>
      </c>
      <c r="Y292">
        <v>1</v>
      </c>
      <c r="Z292">
        <v>2</v>
      </c>
      <c r="AA292">
        <v>2</v>
      </c>
      <c r="AB292" s="2" t="s">
        <v>122</v>
      </c>
      <c r="AC292" s="2" t="s">
        <v>125</v>
      </c>
      <c r="AD292" s="2" t="s">
        <v>125</v>
      </c>
      <c r="AE292" s="2" t="s">
        <v>122</v>
      </c>
      <c r="AF292" s="2" t="s">
        <v>122</v>
      </c>
      <c r="AG292">
        <v>3</v>
      </c>
      <c r="AH292">
        <v>8.5</v>
      </c>
      <c r="AI292">
        <v>2</v>
      </c>
      <c r="AJ292">
        <v>4</v>
      </c>
      <c r="AK292">
        <v>5</v>
      </c>
      <c r="AL292">
        <v>5</v>
      </c>
      <c r="AM292">
        <v>4</v>
      </c>
      <c r="AN292">
        <v>5</v>
      </c>
      <c r="AO292">
        <v>2</v>
      </c>
      <c r="AP292">
        <v>4</v>
      </c>
      <c r="AQ292" s="2" t="s">
        <v>122</v>
      </c>
      <c r="AR292" s="2" t="s">
        <v>122</v>
      </c>
      <c r="AS292">
        <v>5</v>
      </c>
      <c r="AT292">
        <v>6</v>
      </c>
      <c r="AU292">
        <v>6</v>
      </c>
      <c r="AV292">
        <v>4</v>
      </c>
      <c r="AW292">
        <v>6</v>
      </c>
      <c r="AX292">
        <v>2</v>
      </c>
      <c r="AY292">
        <v>2</v>
      </c>
      <c r="AZ292" s="2" t="s">
        <v>122</v>
      </c>
      <c r="BA292" s="2" t="s">
        <v>122</v>
      </c>
      <c r="BB292" s="2" t="s">
        <v>122</v>
      </c>
      <c r="BC292" s="2" t="s">
        <v>122</v>
      </c>
      <c r="BD292" s="2" t="s">
        <v>122</v>
      </c>
      <c r="BE292" s="2" t="s">
        <v>122</v>
      </c>
      <c r="BF292" s="2" t="s">
        <v>122</v>
      </c>
      <c r="BG292" s="2" t="s">
        <v>122</v>
      </c>
      <c r="BH292" s="2" t="s">
        <v>122</v>
      </c>
      <c r="BI292" s="2" t="s">
        <v>122</v>
      </c>
      <c r="BJ292" s="2" t="s">
        <v>122</v>
      </c>
      <c r="BK292" s="2" t="s">
        <v>122</v>
      </c>
      <c r="BL292" s="2" t="s">
        <v>122</v>
      </c>
      <c r="BM292" s="2" t="s">
        <v>122</v>
      </c>
      <c r="BN292" s="2" t="s">
        <v>122</v>
      </c>
      <c r="BO292">
        <v>6</v>
      </c>
      <c r="BP292">
        <v>7.5</v>
      </c>
      <c r="BQ292">
        <v>2</v>
      </c>
      <c r="BR292" s="2" t="s">
        <v>125</v>
      </c>
      <c r="BS292" s="2" t="s">
        <v>122</v>
      </c>
      <c r="BT292" s="2" t="s">
        <v>125</v>
      </c>
      <c r="BU292" s="2" t="s">
        <v>122</v>
      </c>
      <c r="BV292" s="2" t="s">
        <v>125</v>
      </c>
      <c r="BW292" s="2" t="s">
        <v>122</v>
      </c>
      <c r="BX292" s="2" t="s">
        <v>122</v>
      </c>
      <c r="BY292" s="2" t="s">
        <v>125</v>
      </c>
      <c r="BZ292" s="2" t="s">
        <v>122</v>
      </c>
      <c r="CA292">
        <v>4</v>
      </c>
      <c r="CB292">
        <v>6</v>
      </c>
      <c r="CC292">
        <v>2</v>
      </c>
      <c r="CD292">
        <v>6</v>
      </c>
      <c r="CE292">
        <v>2</v>
      </c>
      <c r="CF292">
        <v>2</v>
      </c>
      <c r="CG292" s="2" t="s">
        <v>122</v>
      </c>
      <c r="CH292">
        <v>5</v>
      </c>
      <c r="CI292" s="2" t="s">
        <v>122</v>
      </c>
      <c r="CJ292" s="2" t="s">
        <v>122</v>
      </c>
      <c r="CK292" s="2" t="s">
        <v>122</v>
      </c>
      <c r="CL292" s="2" t="s">
        <v>125</v>
      </c>
      <c r="CM292" s="2" t="s">
        <v>122</v>
      </c>
      <c r="CN292" s="2" t="s">
        <v>122</v>
      </c>
      <c r="CO292" s="2" t="s">
        <v>122</v>
      </c>
      <c r="CP292" s="2" t="s">
        <v>122</v>
      </c>
      <c r="CQ292" s="2" t="s">
        <v>122</v>
      </c>
      <c r="CR292" s="2" t="s">
        <v>122</v>
      </c>
      <c r="CS292">
        <v>3</v>
      </c>
      <c r="CT292">
        <v>6</v>
      </c>
      <c r="CU292" s="43">
        <v>3</v>
      </c>
      <c r="CV292" cm="1">
        <f t="array" ref="CV292">_xlfn.IFS(CU292*1=2,1,CU292*1=4,1,TRUE,0)</f>
        <v>0</v>
      </c>
      <c r="CW292" cm="1">
        <f t="array" ref="CW292">_xlfn.IFS(CU292*1=1,1,CU292*1=2,1,TRUE,0)</f>
        <v>0</v>
      </c>
      <c r="CX292" s="3">
        <f t="shared" si="35"/>
        <v>6</v>
      </c>
      <c r="CY292" s="3">
        <f t="shared" si="36"/>
        <v>6</v>
      </c>
      <c r="CZ292" s="3" cm="1">
        <f t="array" ref="CZ292">_xlfn.IFS(BP292&lt;&gt;"", BP292, CV292=1,  AQ292, CV292=0,  AZ292)</f>
        <v>7.5</v>
      </c>
      <c r="DA292" s="36" cm="1">
        <f t="array" ref="DA292">_xlfn.IFS(BO292&lt;&gt;"", BO292, CV292=0,  AQ292, CV292=1,  AZ292)</f>
        <v>6</v>
      </c>
      <c r="DB292" s="36">
        <f t="shared" si="37"/>
        <v>-2.5</v>
      </c>
      <c r="DC292" s="3">
        <f t="shared" si="38"/>
        <v>-2.5</v>
      </c>
      <c r="DD292" s="3">
        <f t="shared" si="39"/>
        <v>-2.5</v>
      </c>
      <c r="DE292" s="3">
        <f t="shared" si="42"/>
        <v>-1</v>
      </c>
      <c r="DF292" s="3">
        <f t="shared" si="40"/>
        <v>-2.5</v>
      </c>
      <c r="DG292" s="3">
        <f t="shared" si="41"/>
        <v>-2.5</v>
      </c>
    </row>
    <row r="293" spans="1:111" x14ac:dyDescent="0.4">
      <c r="A293">
        <v>202511</v>
      </c>
      <c r="B293">
        <v>123</v>
      </c>
      <c r="C293" s="1">
        <v>45969.49287037037</v>
      </c>
      <c r="D293" s="1">
        <v>45969.497523148151</v>
      </c>
      <c r="E293">
        <v>0</v>
      </c>
      <c r="F293" s="2" t="s">
        <v>208</v>
      </c>
      <c r="G293">
        <v>100</v>
      </c>
      <c r="H293">
        <v>401</v>
      </c>
      <c r="I293">
        <v>1</v>
      </c>
      <c r="J293" s="1">
        <v>45969.497530682871</v>
      </c>
      <c r="K293" s="2" t="s">
        <v>209</v>
      </c>
      <c r="L293" s="2" t="s">
        <v>122</v>
      </c>
      <c r="M293" s="2" t="s">
        <v>122</v>
      </c>
      <c r="N293" s="2" t="s">
        <v>122</v>
      </c>
      <c r="O293" s="2" t="s">
        <v>122</v>
      </c>
      <c r="P293">
        <v>36.122</v>
      </c>
      <c r="Q293">
        <v>-115.086</v>
      </c>
      <c r="R293" s="2" t="s">
        <v>129</v>
      </c>
      <c r="S293" s="2" t="s">
        <v>124</v>
      </c>
      <c r="T293">
        <v>4</v>
      </c>
      <c r="U293">
        <v>0</v>
      </c>
      <c r="V293">
        <v>1</v>
      </c>
      <c r="W293">
        <v>1</v>
      </c>
      <c r="X293">
        <v>1</v>
      </c>
      <c r="Y293">
        <v>3</v>
      </c>
      <c r="Z293">
        <v>2</v>
      </c>
      <c r="AA293">
        <v>2</v>
      </c>
      <c r="AB293" s="2" t="s">
        <v>122</v>
      </c>
      <c r="AC293" s="2" t="s">
        <v>122</v>
      </c>
      <c r="AD293" s="2" t="s">
        <v>122</v>
      </c>
      <c r="AE293" s="2" t="s">
        <v>122</v>
      </c>
      <c r="AF293" s="2" t="s">
        <v>122</v>
      </c>
      <c r="AG293">
        <v>1</v>
      </c>
      <c r="AH293">
        <v>6</v>
      </c>
      <c r="AI293">
        <v>2</v>
      </c>
      <c r="AJ293">
        <v>6</v>
      </c>
      <c r="AK293">
        <v>7</v>
      </c>
      <c r="AL293">
        <v>5</v>
      </c>
      <c r="AM293">
        <v>7</v>
      </c>
      <c r="AN293">
        <v>8</v>
      </c>
      <c r="AO293">
        <v>2</v>
      </c>
      <c r="AP293">
        <v>3</v>
      </c>
      <c r="AQ293">
        <v>6</v>
      </c>
      <c r="AR293">
        <v>2</v>
      </c>
      <c r="AS293">
        <v>4</v>
      </c>
      <c r="AT293">
        <v>6</v>
      </c>
      <c r="AU293">
        <v>5</v>
      </c>
      <c r="AV293">
        <v>4</v>
      </c>
      <c r="AW293">
        <v>6</v>
      </c>
      <c r="AX293">
        <v>3</v>
      </c>
      <c r="AY293">
        <v>4</v>
      </c>
      <c r="AZ293">
        <v>0</v>
      </c>
      <c r="BA293" s="2" t="s">
        <v>122</v>
      </c>
      <c r="BB293">
        <v>5.5</v>
      </c>
      <c r="BC293">
        <v>5.5</v>
      </c>
      <c r="BD293">
        <v>2</v>
      </c>
      <c r="BE293" s="2" t="s">
        <v>125</v>
      </c>
      <c r="BF293" s="2" t="s">
        <v>122</v>
      </c>
      <c r="BG293" s="2" t="s">
        <v>122</v>
      </c>
      <c r="BH293" s="2" t="s">
        <v>122</v>
      </c>
      <c r="BI293" s="2" t="s">
        <v>125</v>
      </c>
      <c r="BJ293" s="2" t="s">
        <v>122</v>
      </c>
      <c r="BK293" s="2" t="s">
        <v>122</v>
      </c>
      <c r="BL293" s="2" t="s">
        <v>125</v>
      </c>
      <c r="BM293" s="2" t="s">
        <v>122</v>
      </c>
      <c r="BN293">
        <v>4</v>
      </c>
      <c r="BO293" s="2" t="s">
        <v>122</v>
      </c>
      <c r="BP293" s="2" t="s">
        <v>122</v>
      </c>
      <c r="BQ293" s="2" t="s">
        <v>122</v>
      </c>
      <c r="BR293" s="2" t="s">
        <v>122</v>
      </c>
      <c r="BS293" s="2" t="s">
        <v>122</v>
      </c>
      <c r="BT293" s="2" t="s">
        <v>122</v>
      </c>
      <c r="BU293" s="2" t="s">
        <v>122</v>
      </c>
      <c r="BV293" s="2" t="s">
        <v>122</v>
      </c>
      <c r="BW293" s="2" t="s">
        <v>122</v>
      </c>
      <c r="BX293" s="2" t="s">
        <v>122</v>
      </c>
      <c r="BY293" s="2" t="s">
        <v>122</v>
      </c>
      <c r="BZ293" s="2" t="s">
        <v>122</v>
      </c>
      <c r="CA293" s="2" t="s">
        <v>122</v>
      </c>
      <c r="CB293" s="2" t="s">
        <v>122</v>
      </c>
      <c r="CC293" s="2" t="s">
        <v>122</v>
      </c>
      <c r="CD293" s="2" t="s">
        <v>122</v>
      </c>
      <c r="CE293" s="2" t="s">
        <v>122</v>
      </c>
      <c r="CF293">
        <v>2</v>
      </c>
      <c r="CG293" s="2" t="s">
        <v>122</v>
      </c>
      <c r="CH293">
        <v>1</v>
      </c>
      <c r="CI293" s="2" t="s">
        <v>122</v>
      </c>
      <c r="CJ293" s="2" t="s">
        <v>122</v>
      </c>
      <c r="CK293" s="2" t="s">
        <v>122</v>
      </c>
      <c r="CL293" s="2" t="s">
        <v>122</v>
      </c>
      <c r="CM293" s="2" t="s">
        <v>122</v>
      </c>
      <c r="CN293" s="2" t="s">
        <v>122</v>
      </c>
      <c r="CO293" s="2" t="s">
        <v>125</v>
      </c>
      <c r="CP293" s="2" t="s">
        <v>122</v>
      </c>
      <c r="CQ293" s="2" t="s">
        <v>122</v>
      </c>
      <c r="CR293" s="2" t="s">
        <v>122</v>
      </c>
      <c r="CS293">
        <v>2</v>
      </c>
      <c r="CT293">
        <v>6</v>
      </c>
      <c r="CU293" s="43">
        <v>1</v>
      </c>
      <c r="CV293" cm="1">
        <f t="array" ref="CV293">_xlfn.IFS(CU293*1=2,1,CU293*1=4,1,TRUE,0)</f>
        <v>0</v>
      </c>
      <c r="CW293" cm="1">
        <f t="array" ref="CW293">_xlfn.IFS(CU293*1=1,1,CU293*1=2,1,TRUE,0)</f>
        <v>1</v>
      </c>
      <c r="CX293" s="3">
        <f t="shared" si="35"/>
        <v>5.5</v>
      </c>
      <c r="CY293" s="3">
        <f t="shared" si="36"/>
        <v>5.5</v>
      </c>
      <c r="CZ293" s="3" cm="1">
        <f t="array" ref="CZ293">_xlfn.IFS(BP293&lt;&gt;"", BP293, CV293=1,  AQ293, CV293=0,  AZ293)</f>
        <v>0</v>
      </c>
      <c r="DA293" s="36" cm="1">
        <f t="array" ref="DA293">_xlfn.IFS(BO293&lt;&gt;"", BO293, CV293=0,  AQ293, CV293=1,  AZ293)</f>
        <v>6</v>
      </c>
      <c r="DB293" s="36">
        <f t="shared" si="37"/>
        <v>-0.5</v>
      </c>
      <c r="DC293" s="3">
        <f t="shared" si="38"/>
        <v>-0.5</v>
      </c>
      <c r="DD293" s="3">
        <f t="shared" si="39"/>
        <v>-6</v>
      </c>
      <c r="DE293" s="3">
        <f t="shared" si="42"/>
        <v>-0.5</v>
      </c>
      <c r="DF293" s="3">
        <f t="shared" si="40"/>
        <v>0</v>
      </c>
      <c r="DG293" s="3">
        <f t="shared" si="41"/>
        <v>-0.5</v>
      </c>
    </row>
    <row r="294" spans="1:111" x14ac:dyDescent="0.4">
      <c r="A294">
        <v>202511</v>
      </c>
      <c r="B294">
        <v>123</v>
      </c>
      <c r="C294" s="1">
        <v>45969.49318287037</v>
      </c>
      <c r="D294" s="1">
        <v>45969.49895833333</v>
      </c>
      <c r="E294">
        <v>0</v>
      </c>
      <c r="F294" s="2" t="s">
        <v>210</v>
      </c>
      <c r="G294">
        <v>100</v>
      </c>
      <c r="H294">
        <v>498</v>
      </c>
      <c r="I294">
        <v>1</v>
      </c>
      <c r="J294" s="1">
        <v>45969.498967372689</v>
      </c>
      <c r="K294" s="2" t="s">
        <v>211</v>
      </c>
      <c r="L294" s="2" t="s">
        <v>122</v>
      </c>
      <c r="M294" s="2" t="s">
        <v>122</v>
      </c>
      <c r="N294" s="2" t="s">
        <v>122</v>
      </c>
      <c r="O294" s="2" t="s">
        <v>122</v>
      </c>
      <c r="P294">
        <v>33.508000000000003</v>
      </c>
      <c r="Q294">
        <v>-112.09950000000001</v>
      </c>
      <c r="R294" s="2" t="s">
        <v>129</v>
      </c>
      <c r="S294" s="2" t="s">
        <v>124</v>
      </c>
      <c r="T294">
        <v>4</v>
      </c>
      <c r="U294">
        <v>0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 s="2" t="s">
        <v>122</v>
      </c>
      <c r="AC294" s="2" t="s">
        <v>122</v>
      </c>
      <c r="AD294" s="2" t="s">
        <v>122</v>
      </c>
      <c r="AE294" s="2" t="s">
        <v>122</v>
      </c>
      <c r="AF294" s="2" t="s">
        <v>122</v>
      </c>
      <c r="AG294">
        <v>1</v>
      </c>
      <c r="AH294">
        <v>5.5</v>
      </c>
      <c r="AI294">
        <v>2</v>
      </c>
      <c r="AJ294">
        <v>3</v>
      </c>
      <c r="AK294">
        <v>4</v>
      </c>
      <c r="AL294">
        <v>5</v>
      </c>
      <c r="AM294">
        <v>2</v>
      </c>
      <c r="AN294">
        <v>8</v>
      </c>
      <c r="AO294">
        <v>1</v>
      </c>
      <c r="AP294">
        <v>1</v>
      </c>
      <c r="AQ294">
        <v>0</v>
      </c>
      <c r="AR294" s="2" t="s">
        <v>122</v>
      </c>
      <c r="AS294">
        <v>4</v>
      </c>
      <c r="AT294">
        <v>5</v>
      </c>
      <c r="AU294">
        <v>5</v>
      </c>
      <c r="AV294">
        <v>3</v>
      </c>
      <c r="AW294">
        <v>8</v>
      </c>
      <c r="AX294">
        <v>3</v>
      </c>
      <c r="AY294">
        <v>2</v>
      </c>
      <c r="AZ294">
        <v>6</v>
      </c>
      <c r="BA294">
        <v>2</v>
      </c>
      <c r="BB294">
        <v>6.5</v>
      </c>
      <c r="BC294">
        <v>5.5</v>
      </c>
      <c r="BD294">
        <v>2</v>
      </c>
      <c r="BE294" s="2" t="s">
        <v>125</v>
      </c>
      <c r="BF294" s="2" t="s">
        <v>122</v>
      </c>
      <c r="BG294" s="2" t="s">
        <v>122</v>
      </c>
      <c r="BH294" s="2" t="s">
        <v>122</v>
      </c>
      <c r="BI294" s="2" t="s">
        <v>122</v>
      </c>
      <c r="BJ294" s="2" t="s">
        <v>122</v>
      </c>
      <c r="BK294" s="2" t="s">
        <v>122</v>
      </c>
      <c r="BL294" s="2" t="s">
        <v>122</v>
      </c>
      <c r="BM294" s="2" t="s">
        <v>122</v>
      </c>
      <c r="BN294" s="2" t="s">
        <v>122</v>
      </c>
      <c r="BO294" s="2" t="s">
        <v>122</v>
      </c>
      <c r="BP294" s="2" t="s">
        <v>122</v>
      </c>
      <c r="BQ294" s="2" t="s">
        <v>122</v>
      </c>
      <c r="BR294" s="2" t="s">
        <v>122</v>
      </c>
      <c r="BS294" s="2" t="s">
        <v>122</v>
      </c>
      <c r="BT294" s="2" t="s">
        <v>122</v>
      </c>
      <c r="BU294" s="2" t="s">
        <v>122</v>
      </c>
      <c r="BV294" s="2" t="s">
        <v>122</v>
      </c>
      <c r="BW294" s="2" t="s">
        <v>122</v>
      </c>
      <c r="BX294" s="2" t="s">
        <v>122</v>
      </c>
      <c r="BY294" s="2" t="s">
        <v>122</v>
      </c>
      <c r="BZ294" s="2" t="s">
        <v>122</v>
      </c>
      <c r="CA294" s="2" t="s">
        <v>122</v>
      </c>
      <c r="CB294" s="2" t="s">
        <v>122</v>
      </c>
      <c r="CC294" s="2" t="s">
        <v>122</v>
      </c>
      <c r="CD294" s="2" t="s">
        <v>122</v>
      </c>
      <c r="CE294" s="2" t="s">
        <v>122</v>
      </c>
      <c r="CF294">
        <v>2</v>
      </c>
      <c r="CG294" s="2" t="s">
        <v>122</v>
      </c>
      <c r="CH294">
        <v>1</v>
      </c>
      <c r="CI294" s="2" t="s">
        <v>122</v>
      </c>
      <c r="CJ294" s="2" t="s">
        <v>122</v>
      </c>
      <c r="CK294" s="2" t="s">
        <v>122</v>
      </c>
      <c r="CL294" s="2" t="s">
        <v>122</v>
      </c>
      <c r="CM294" s="2" t="s">
        <v>122</v>
      </c>
      <c r="CN294" s="2" t="s">
        <v>122</v>
      </c>
      <c r="CO294" s="2" t="s">
        <v>125</v>
      </c>
      <c r="CP294" s="2" t="s">
        <v>122</v>
      </c>
      <c r="CQ294" s="2" t="s">
        <v>122</v>
      </c>
      <c r="CR294" s="2" t="s">
        <v>122</v>
      </c>
      <c r="CS294">
        <v>1</v>
      </c>
      <c r="CT294">
        <v>6</v>
      </c>
      <c r="CU294" s="43">
        <v>1</v>
      </c>
      <c r="CV294" cm="1">
        <f t="array" ref="CV294">_xlfn.IFS(CU294*1=2,1,CU294*1=4,1,TRUE,0)</f>
        <v>0</v>
      </c>
      <c r="CW294" cm="1">
        <f t="array" ref="CW294">_xlfn.IFS(CU294*1=1,1,CU294*1=2,1,TRUE,0)</f>
        <v>1</v>
      </c>
      <c r="CX294" s="3">
        <f t="shared" si="35"/>
        <v>6.5</v>
      </c>
      <c r="CY294" s="3">
        <f t="shared" si="36"/>
        <v>5.5</v>
      </c>
      <c r="CZ294" s="3" cm="1">
        <f t="array" ref="CZ294">_xlfn.IFS(BP294&lt;&gt;"", BP294, CV294=1,  AQ294, CV294=0,  AZ294)</f>
        <v>6</v>
      </c>
      <c r="DA294" s="36" cm="1">
        <f t="array" ref="DA294">_xlfn.IFS(BO294&lt;&gt;"", BO294, CV294=0,  AQ294, CV294=1,  AZ294)</f>
        <v>0</v>
      </c>
      <c r="DB294" s="36">
        <f t="shared" si="37"/>
        <v>0</v>
      </c>
      <c r="DC294" s="3">
        <f t="shared" si="38"/>
        <v>1</v>
      </c>
      <c r="DD294" s="3">
        <f t="shared" si="39"/>
        <v>0.5</v>
      </c>
      <c r="DE294" s="3">
        <f t="shared" si="42"/>
        <v>0</v>
      </c>
      <c r="DF294" s="3">
        <f t="shared" si="40"/>
        <v>-5.5</v>
      </c>
      <c r="DG294" s="3">
        <f t="shared" si="41"/>
        <v>1</v>
      </c>
    </row>
    <row r="295" spans="1:111" x14ac:dyDescent="0.4">
      <c r="A295">
        <v>202511</v>
      </c>
      <c r="B295">
        <v>456</v>
      </c>
      <c r="C295" s="5">
        <v>45969.494872685187</v>
      </c>
      <c r="D295" s="5">
        <v>45969.500879629632</v>
      </c>
      <c r="E295" s="3">
        <v>0</v>
      </c>
      <c r="F295" s="4" t="s">
        <v>308</v>
      </c>
      <c r="G295" s="3">
        <v>100</v>
      </c>
      <c r="H295" s="3">
        <v>518</v>
      </c>
      <c r="I295" s="3">
        <v>1</v>
      </c>
      <c r="J295" s="5">
        <v>45969.500894131947</v>
      </c>
      <c r="K295" s="4" t="s">
        <v>307</v>
      </c>
      <c r="L295" s="4" t="s">
        <v>122</v>
      </c>
      <c r="M295" s="4" t="s">
        <v>122</v>
      </c>
      <c r="N295" s="4" t="s">
        <v>122</v>
      </c>
      <c r="O295" s="4" t="s">
        <v>122</v>
      </c>
      <c r="P295" s="3">
        <v>33.453200000000002</v>
      </c>
      <c r="Q295" s="3">
        <v>-112.0748</v>
      </c>
      <c r="R295" s="4" t="s">
        <v>129</v>
      </c>
      <c r="S295" s="4" t="s">
        <v>124</v>
      </c>
      <c r="T295" s="3">
        <v>4</v>
      </c>
      <c r="U295" s="3">
        <v>1</v>
      </c>
      <c r="V295" s="3">
        <v>5</v>
      </c>
      <c r="W295" s="3">
        <v>3</v>
      </c>
      <c r="X295" s="3">
        <v>1</v>
      </c>
      <c r="Y295" s="3">
        <v>2</v>
      </c>
      <c r="Z295" s="3">
        <v>2</v>
      </c>
      <c r="AA295" s="3">
        <v>1</v>
      </c>
      <c r="AB295" s="4" t="s">
        <v>122</v>
      </c>
      <c r="AC295" s="4" t="s">
        <v>122</v>
      </c>
      <c r="AD295" s="4" t="s">
        <v>122</v>
      </c>
      <c r="AE295" s="4" t="s">
        <v>122</v>
      </c>
      <c r="AF295" s="4" t="s">
        <v>122</v>
      </c>
      <c r="AG295" s="3">
        <v>2</v>
      </c>
      <c r="AH295" s="3">
        <v>4.5</v>
      </c>
      <c r="AI295" s="3">
        <v>2</v>
      </c>
      <c r="AJ295" s="3">
        <v>7</v>
      </c>
      <c r="AK295" s="3">
        <v>8</v>
      </c>
      <c r="AL295" s="3">
        <v>7</v>
      </c>
      <c r="AM295" s="3">
        <v>7</v>
      </c>
      <c r="AN295" s="3">
        <v>8</v>
      </c>
      <c r="AO295" s="3">
        <v>2</v>
      </c>
      <c r="AP295" s="3">
        <v>3</v>
      </c>
      <c r="AQ295" s="4" t="s">
        <v>122</v>
      </c>
      <c r="AR295" s="4" t="s">
        <v>122</v>
      </c>
      <c r="AS295" s="3">
        <v>3</v>
      </c>
      <c r="AT295" s="3">
        <v>7</v>
      </c>
      <c r="AU295" s="3">
        <v>4</v>
      </c>
      <c r="AV295" s="3">
        <v>3</v>
      </c>
      <c r="AW295" s="3">
        <v>5</v>
      </c>
      <c r="AX295" s="3">
        <v>4</v>
      </c>
      <c r="AY295" s="3">
        <v>4</v>
      </c>
      <c r="AZ295" s="4" t="s">
        <v>122</v>
      </c>
      <c r="BA295" s="4" t="s">
        <v>122</v>
      </c>
      <c r="BB295" s="4" t="s">
        <v>122</v>
      </c>
      <c r="BC295" s="4" t="s">
        <v>122</v>
      </c>
      <c r="BD295" s="4" t="s">
        <v>122</v>
      </c>
      <c r="BE295" s="4" t="s">
        <v>122</v>
      </c>
      <c r="BF295" s="4" t="s">
        <v>122</v>
      </c>
      <c r="BG295" s="4" t="s">
        <v>122</v>
      </c>
      <c r="BH295" s="4" t="s">
        <v>122</v>
      </c>
      <c r="BI295" s="4" t="s">
        <v>122</v>
      </c>
      <c r="BJ295" s="4" t="s">
        <v>122</v>
      </c>
      <c r="BK295" s="4" t="s">
        <v>122</v>
      </c>
      <c r="BL295" s="4" t="s">
        <v>122</v>
      </c>
      <c r="BM295" s="4" t="s">
        <v>122</v>
      </c>
      <c r="BN295" s="4" t="s">
        <v>122</v>
      </c>
      <c r="BO295" s="4" t="s">
        <v>122</v>
      </c>
      <c r="BP295" s="3">
        <v>6</v>
      </c>
      <c r="BQ295" s="3">
        <v>3</v>
      </c>
      <c r="BR295" s="4" t="s">
        <v>122</v>
      </c>
      <c r="BS295" s="4" t="s">
        <v>122</v>
      </c>
      <c r="BT295" s="4" t="s">
        <v>122</v>
      </c>
      <c r="BU295" s="4" t="s">
        <v>125</v>
      </c>
      <c r="BV295" s="4" t="s">
        <v>125</v>
      </c>
      <c r="BW295" s="4" t="s">
        <v>125</v>
      </c>
      <c r="BX295" s="4" t="s">
        <v>122</v>
      </c>
      <c r="BY295" s="4" t="s">
        <v>122</v>
      </c>
      <c r="BZ295" s="4" t="s">
        <v>122</v>
      </c>
      <c r="CA295" s="3">
        <v>4</v>
      </c>
      <c r="CB295" s="3">
        <v>6.5</v>
      </c>
      <c r="CC295" s="3">
        <v>1</v>
      </c>
      <c r="CD295" s="3">
        <v>6</v>
      </c>
      <c r="CE295" s="3">
        <v>2</v>
      </c>
      <c r="CF295" s="3">
        <v>1</v>
      </c>
      <c r="CG295" s="4" t="s">
        <v>122</v>
      </c>
      <c r="CH295" s="3">
        <v>5</v>
      </c>
      <c r="CI295" s="4" t="s">
        <v>122</v>
      </c>
      <c r="CJ295" s="4" t="s">
        <v>122</v>
      </c>
      <c r="CK295" s="4" t="s">
        <v>122</v>
      </c>
      <c r="CL295" s="4" t="s">
        <v>122</v>
      </c>
      <c r="CM295" s="4" t="s">
        <v>122</v>
      </c>
      <c r="CN295" s="4" t="s">
        <v>122</v>
      </c>
      <c r="CO295" s="4" t="s">
        <v>125</v>
      </c>
      <c r="CP295" s="4" t="s">
        <v>122</v>
      </c>
      <c r="CQ295" s="4" t="s">
        <v>122</v>
      </c>
      <c r="CR295" s="4" t="s">
        <v>122</v>
      </c>
      <c r="CS295" s="3">
        <v>3</v>
      </c>
      <c r="CT295" s="3">
        <v>3</v>
      </c>
      <c r="CU295" s="42">
        <v>4</v>
      </c>
      <c r="CV295" cm="1">
        <f t="array" ref="CV295">_xlfn.IFS(CU295*1=2,1,CU295*1=4,1,TRUE,0)</f>
        <v>1</v>
      </c>
      <c r="CW295" cm="1">
        <f t="array" ref="CW295">_xlfn.IFS(CU295*1=1,1,CU295*1=2,1,TRUE,0)</f>
        <v>0</v>
      </c>
      <c r="CX295" s="3">
        <f t="shared" si="35"/>
        <v>6.5</v>
      </c>
      <c r="CY295" s="3">
        <f t="shared" si="36"/>
        <v>6</v>
      </c>
      <c r="CZ295" s="3" cm="1">
        <f t="array" ref="CZ295">_xlfn.IFS(BP295&lt;&gt;"", BP295, CV295=1,  AQ295, CV295=0,  AZ295)</f>
        <v>6</v>
      </c>
      <c r="DA295" s="36" t="str" cm="1">
        <f t="array" ref="DA295">_xlfn.IFS(BO295&lt;&gt;"", BO295, CV295=0,  AQ295, CV295=1,  AZ295)</f>
        <v/>
      </c>
      <c r="DB295" s="36">
        <f t="shared" si="37"/>
        <v>1.5</v>
      </c>
      <c r="DC295" s="3">
        <f t="shared" si="38"/>
        <v>2</v>
      </c>
      <c r="DD295" s="3">
        <f t="shared" si="39"/>
        <v>1.5</v>
      </c>
      <c r="DE295" s="3">
        <f t="shared" si="42"/>
        <v>1.5</v>
      </c>
      <c r="DF295" s="3">
        <f t="shared" si="40"/>
        <v>2</v>
      </c>
      <c r="DG295" s="60"/>
    </row>
    <row r="296" spans="1:111" x14ac:dyDescent="0.4">
      <c r="A296">
        <v>202511</v>
      </c>
      <c r="B296">
        <v>456</v>
      </c>
      <c r="C296" s="5">
        <v>45969.495671296296</v>
      </c>
      <c r="D296" s="5">
        <v>45969.501956018517</v>
      </c>
      <c r="E296" s="3">
        <v>0</v>
      </c>
      <c r="F296" s="4" t="s">
        <v>306</v>
      </c>
      <c r="G296" s="3">
        <v>100</v>
      </c>
      <c r="H296" s="3">
        <v>542</v>
      </c>
      <c r="I296" s="3">
        <v>1</v>
      </c>
      <c r="J296" s="5">
        <v>45969.501961180555</v>
      </c>
      <c r="K296" s="4" t="s">
        <v>305</v>
      </c>
      <c r="L296" s="4" t="s">
        <v>122</v>
      </c>
      <c r="M296" s="4" t="s">
        <v>122</v>
      </c>
      <c r="N296" s="4" t="s">
        <v>122</v>
      </c>
      <c r="O296" s="4" t="s">
        <v>122</v>
      </c>
      <c r="P296" s="3">
        <v>32.216299999999997</v>
      </c>
      <c r="Q296" s="3">
        <v>-110.9241</v>
      </c>
      <c r="R296" s="4" t="s">
        <v>129</v>
      </c>
      <c r="S296" s="4" t="s">
        <v>124</v>
      </c>
      <c r="T296" s="3">
        <v>4</v>
      </c>
      <c r="U296" s="3">
        <v>1</v>
      </c>
      <c r="V296" s="3">
        <v>1</v>
      </c>
      <c r="W296" s="3">
        <v>2</v>
      </c>
      <c r="X296" s="3">
        <v>1</v>
      </c>
      <c r="Y296" s="3">
        <v>3</v>
      </c>
      <c r="Z296" s="3">
        <v>3</v>
      </c>
      <c r="AA296" s="3">
        <v>2</v>
      </c>
      <c r="AB296" s="4" t="s">
        <v>122</v>
      </c>
      <c r="AC296" s="4" t="s">
        <v>122</v>
      </c>
      <c r="AD296" s="4" t="s">
        <v>122</v>
      </c>
      <c r="AE296" s="4" t="s">
        <v>122</v>
      </c>
      <c r="AF296" s="4" t="s">
        <v>122</v>
      </c>
      <c r="AG296" s="3">
        <v>3</v>
      </c>
      <c r="AH296" s="3">
        <v>5</v>
      </c>
      <c r="AI296" s="3">
        <v>3</v>
      </c>
      <c r="AJ296" s="3">
        <v>8</v>
      </c>
      <c r="AK296" s="3">
        <v>7</v>
      </c>
      <c r="AL296" s="3">
        <v>9</v>
      </c>
      <c r="AM296" s="3">
        <v>7</v>
      </c>
      <c r="AN296" s="3">
        <v>6</v>
      </c>
      <c r="AO296" s="3">
        <v>1</v>
      </c>
      <c r="AP296" s="3">
        <v>4</v>
      </c>
      <c r="AQ296" s="3">
        <v>7</v>
      </c>
      <c r="AR296" s="3">
        <v>3</v>
      </c>
      <c r="AS296" s="3">
        <v>8</v>
      </c>
      <c r="AT296" s="3">
        <v>9</v>
      </c>
      <c r="AU296" s="3">
        <v>8</v>
      </c>
      <c r="AV296" s="3">
        <v>9</v>
      </c>
      <c r="AW296" s="3">
        <v>7</v>
      </c>
      <c r="AX296" s="3">
        <v>1</v>
      </c>
      <c r="AY296" s="3">
        <v>3</v>
      </c>
      <c r="AZ296" s="3">
        <v>6.5</v>
      </c>
      <c r="BA296" s="3">
        <v>3</v>
      </c>
      <c r="BB296" s="3">
        <v>7.5</v>
      </c>
      <c r="BC296" s="3">
        <v>7</v>
      </c>
      <c r="BD296" s="3">
        <v>1</v>
      </c>
      <c r="BE296" s="4" t="s">
        <v>125</v>
      </c>
      <c r="BF296" s="4" t="s">
        <v>122</v>
      </c>
      <c r="BG296" s="4" t="s">
        <v>122</v>
      </c>
      <c r="BH296" s="4" t="s">
        <v>122</v>
      </c>
      <c r="BI296" s="4" t="s">
        <v>122</v>
      </c>
      <c r="BJ296" s="4" t="s">
        <v>122</v>
      </c>
      <c r="BK296" s="4" t="s">
        <v>122</v>
      </c>
      <c r="BL296" s="4" t="s">
        <v>122</v>
      </c>
      <c r="BM296" s="4" t="s">
        <v>122</v>
      </c>
      <c r="BN296" s="4" t="s">
        <v>122</v>
      </c>
      <c r="BO296" s="4" t="s">
        <v>122</v>
      </c>
      <c r="BP296" s="4" t="s">
        <v>122</v>
      </c>
      <c r="BQ296" s="4" t="s">
        <v>122</v>
      </c>
      <c r="BR296" s="4" t="s">
        <v>122</v>
      </c>
      <c r="BS296" s="4" t="s">
        <v>122</v>
      </c>
      <c r="BT296" s="4" t="s">
        <v>122</v>
      </c>
      <c r="BU296" s="4" t="s">
        <v>122</v>
      </c>
      <c r="BV296" s="4" t="s">
        <v>122</v>
      </c>
      <c r="BW296" s="4" t="s">
        <v>122</v>
      </c>
      <c r="BX296" s="4" t="s">
        <v>122</v>
      </c>
      <c r="BY296" s="4" t="s">
        <v>122</v>
      </c>
      <c r="BZ296" s="4" t="s">
        <v>122</v>
      </c>
      <c r="CA296" s="4" t="s">
        <v>122</v>
      </c>
      <c r="CB296" s="4" t="s">
        <v>122</v>
      </c>
      <c r="CC296" s="4" t="s">
        <v>122</v>
      </c>
      <c r="CD296" s="4" t="s">
        <v>122</v>
      </c>
      <c r="CE296" s="4" t="s">
        <v>122</v>
      </c>
      <c r="CF296" s="3">
        <v>1</v>
      </c>
      <c r="CG296" s="4" t="s">
        <v>122</v>
      </c>
      <c r="CH296" s="3">
        <v>2.2999999999999998</v>
      </c>
      <c r="CI296" s="4" t="s">
        <v>122</v>
      </c>
      <c r="CJ296" s="4" t="s">
        <v>122</v>
      </c>
      <c r="CK296" s="4" t="s">
        <v>122</v>
      </c>
      <c r="CL296" s="4" t="s">
        <v>125</v>
      </c>
      <c r="CM296" s="4" t="s">
        <v>122</v>
      </c>
      <c r="CN296" s="4" t="s">
        <v>122</v>
      </c>
      <c r="CO296" s="4" t="s">
        <v>125</v>
      </c>
      <c r="CP296" s="4" t="s">
        <v>125</v>
      </c>
      <c r="CQ296" s="4" t="s">
        <v>122</v>
      </c>
      <c r="CR296" s="4" t="s">
        <v>304</v>
      </c>
      <c r="CS296" s="3">
        <v>3</v>
      </c>
      <c r="CT296" s="3">
        <v>1</v>
      </c>
      <c r="CU296" s="42">
        <v>2</v>
      </c>
      <c r="CV296" cm="1">
        <f t="array" ref="CV296">_xlfn.IFS(CU296*1=2,1,CU296*1=4,1,TRUE,0)</f>
        <v>1</v>
      </c>
      <c r="CW296" cm="1">
        <f t="array" ref="CW296">_xlfn.IFS(CU296*1=1,1,CU296*1=2,1,TRUE,0)</f>
        <v>1</v>
      </c>
      <c r="CX296" s="3">
        <f t="shared" si="35"/>
        <v>7.5</v>
      </c>
      <c r="CY296" s="3">
        <f t="shared" si="36"/>
        <v>7</v>
      </c>
      <c r="CZ296" s="3" cm="1">
        <f t="array" ref="CZ296">_xlfn.IFS(BP296&lt;&gt;"", BP296, CV296=1,  AQ296, CV296=0,  AZ296)</f>
        <v>7</v>
      </c>
      <c r="DA296" s="36" cm="1">
        <f t="array" ref="DA296">_xlfn.IFS(BO296&lt;&gt;"", BO296, CV296=0,  AQ296, CV296=1,  AZ296)</f>
        <v>6.5</v>
      </c>
      <c r="DB296" s="36">
        <f t="shared" si="37"/>
        <v>2</v>
      </c>
      <c r="DC296" s="3">
        <f t="shared" si="38"/>
        <v>2.5</v>
      </c>
      <c r="DD296" s="3">
        <f t="shared" si="39"/>
        <v>2</v>
      </c>
      <c r="DE296" s="3">
        <f t="shared" si="42"/>
        <v>2</v>
      </c>
      <c r="DF296" s="3">
        <f t="shared" si="40"/>
        <v>1.5</v>
      </c>
      <c r="DG296" s="3">
        <f t="shared" si="41"/>
        <v>2.5</v>
      </c>
    </row>
    <row r="297" spans="1:111" x14ac:dyDescent="0.4">
      <c r="A297">
        <v>202511</v>
      </c>
      <c r="B297">
        <v>456</v>
      </c>
      <c r="C297" s="5">
        <v>45969.49832175926</v>
      </c>
      <c r="D297" s="5">
        <v>45969.503194444442</v>
      </c>
      <c r="E297" s="3">
        <v>0</v>
      </c>
      <c r="F297" s="4" t="s">
        <v>303</v>
      </c>
      <c r="G297" s="3">
        <v>100</v>
      </c>
      <c r="H297" s="3">
        <v>420</v>
      </c>
      <c r="I297" s="3">
        <v>1</v>
      </c>
      <c r="J297" s="5">
        <v>45969.503205173613</v>
      </c>
      <c r="K297" s="4" t="s">
        <v>302</v>
      </c>
      <c r="L297" s="4" t="s">
        <v>122</v>
      </c>
      <c r="M297" s="4" t="s">
        <v>122</v>
      </c>
      <c r="N297" s="4" t="s">
        <v>122</v>
      </c>
      <c r="O297" s="4" t="s">
        <v>122</v>
      </c>
      <c r="P297" s="3">
        <v>33.434199999999997</v>
      </c>
      <c r="Q297" s="3">
        <v>-111.8454</v>
      </c>
      <c r="R297" s="4" t="s">
        <v>129</v>
      </c>
      <c r="S297" s="4" t="s">
        <v>124</v>
      </c>
      <c r="T297" s="3">
        <v>4</v>
      </c>
      <c r="U297" s="3">
        <v>1</v>
      </c>
      <c r="V297" s="3">
        <v>4</v>
      </c>
      <c r="W297" s="3">
        <v>2</v>
      </c>
      <c r="X297" s="3">
        <v>1</v>
      </c>
      <c r="Y297" s="3">
        <v>3</v>
      </c>
      <c r="Z297" s="3">
        <v>3</v>
      </c>
      <c r="AA297" s="3">
        <v>1</v>
      </c>
      <c r="AB297" s="4" t="s">
        <v>122</v>
      </c>
      <c r="AC297" s="4" t="s">
        <v>122</v>
      </c>
      <c r="AD297" s="4" t="s">
        <v>122</v>
      </c>
      <c r="AE297" s="4" t="s">
        <v>122</v>
      </c>
      <c r="AF297" s="4" t="s">
        <v>122</v>
      </c>
      <c r="AG297" s="3">
        <v>2</v>
      </c>
      <c r="AH297" s="3">
        <v>8</v>
      </c>
      <c r="AI297" s="3">
        <v>3</v>
      </c>
      <c r="AJ297" s="3">
        <v>7</v>
      </c>
      <c r="AK297" s="3">
        <v>8</v>
      </c>
      <c r="AL297" s="3">
        <v>7</v>
      </c>
      <c r="AM297" s="3">
        <v>7</v>
      </c>
      <c r="AN297" s="3">
        <v>5</v>
      </c>
      <c r="AO297" s="3">
        <v>2</v>
      </c>
      <c r="AP297" s="3">
        <v>4</v>
      </c>
      <c r="AQ297" s="4" t="s">
        <v>122</v>
      </c>
      <c r="AR297" s="4" t="s">
        <v>122</v>
      </c>
      <c r="AS297" s="3">
        <v>4</v>
      </c>
      <c r="AT297" s="3">
        <v>7</v>
      </c>
      <c r="AU297" s="3">
        <v>5</v>
      </c>
      <c r="AV297" s="3">
        <v>3</v>
      </c>
      <c r="AW297" s="3">
        <v>5</v>
      </c>
      <c r="AX297" s="3">
        <v>4</v>
      </c>
      <c r="AY297" s="3">
        <v>4</v>
      </c>
      <c r="AZ297" s="4" t="s">
        <v>122</v>
      </c>
      <c r="BA297" s="4" t="s">
        <v>122</v>
      </c>
      <c r="BB297" s="4" t="s">
        <v>122</v>
      </c>
      <c r="BC297" s="4" t="s">
        <v>122</v>
      </c>
      <c r="BD297" s="4" t="s">
        <v>122</v>
      </c>
      <c r="BE297" s="4" t="s">
        <v>122</v>
      </c>
      <c r="BF297" s="4" t="s">
        <v>122</v>
      </c>
      <c r="BG297" s="4" t="s">
        <v>122</v>
      </c>
      <c r="BH297" s="4" t="s">
        <v>122</v>
      </c>
      <c r="BI297" s="4" t="s">
        <v>122</v>
      </c>
      <c r="BJ297" s="4" t="s">
        <v>122</v>
      </c>
      <c r="BK297" s="4" t="s">
        <v>122</v>
      </c>
      <c r="BL297" s="4" t="s">
        <v>122</v>
      </c>
      <c r="BM297" s="4" t="s">
        <v>122</v>
      </c>
      <c r="BN297" s="4" t="s">
        <v>122</v>
      </c>
      <c r="BO297" s="3">
        <v>8</v>
      </c>
      <c r="BP297" s="3">
        <v>8</v>
      </c>
      <c r="BQ297" s="3">
        <v>3</v>
      </c>
      <c r="BR297" s="4" t="s">
        <v>122</v>
      </c>
      <c r="BS297" s="4" t="s">
        <v>122</v>
      </c>
      <c r="BT297" s="4" t="s">
        <v>122</v>
      </c>
      <c r="BU297" s="4" t="s">
        <v>122</v>
      </c>
      <c r="BV297" s="4" t="s">
        <v>122</v>
      </c>
      <c r="BW297" s="4" t="s">
        <v>122</v>
      </c>
      <c r="BX297" s="4" t="s">
        <v>122</v>
      </c>
      <c r="BY297" s="4" t="s">
        <v>122</v>
      </c>
      <c r="BZ297" s="4" t="s">
        <v>125</v>
      </c>
      <c r="CA297" s="4" t="s">
        <v>122</v>
      </c>
      <c r="CB297" s="3">
        <v>6</v>
      </c>
      <c r="CC297" s="3">
        <v>3</v>
      </c>
      <c r="CD297" s="3">
        <v>8</v>
      </c>
      <c r="CE297" s="3">
        <v>3</v>
      </c>
      <c r="CF297" s="3">
        <v>2</v>
      </c>
      <c r="CG297" s="4" t="s">
        <v>122</v>
      </c>
      <c r="CH297" s="3">
        <v>5</v>
      </c>
      <c r="CI297" s="4" t="s">
        <v>122</v>
      </c>
      <c r="CJ297" s="4" t="s">
        <v>122</v>
      </c>
      <c r="CK297" s="4" t="s">
        <v>122</v>
      </c>
      <c r="CL297" s="4" t="s">
        <v>125</v>
      </c>
      <c r="CM297" s="4" t="s">
        <v>122</v>
      </c>
      <c r="CN297" s="4" t="s">
        <v>122</v>
      </c>
      <c r="CO297" s="4" t="s">
        <v>122</v>
      </c>
      <c r="CP297" s="4" t="s">
        <v>122</v>
      </c>
      <c r="CQ297" s="4" t="s">
        <v>122</v>
      </c>
      <c r="CR297" s="4" t="s">
        <v>122</v>
      </c>
      <c r="CS297" s="3">
        <v>5</v>
      </c>
      <c r="CT297" s="3">
        <v>6</v>
      </c>
      <c r="CU297" s="42">
        <v>4</v>
      </c>
      <c r="CV297" cm="1">
        <f t="array" ref="CV297">_xlfn.IFS(CU297*1=2,1,CU297*1=4,1,TRUE,0)</f>
        <v>1</v>
      </c>
      <c r="CW297" cm="1">
        <f t="array" ref="CW297">_xlfn.IFS(CU297*1=1,1,CU297*1=2,1,TRUE,0)</f>
        <v>0</v>
      </c>
      <c r="CX297" s="3">
        <f t="shared" si="35"/>
        <v>6</v>
      </c>
      <c r="CY297" s="3">
        <f t="shared" si="36"/>
        <v>8</v>
      </c>
      <c r="CZ297" s="3" cm="1">
        <f t="array" ref="CZ297">_xlfn.IFS(BP297&lt;&gt;"", BP297, CV297=1,  AQ297, CV297=0,  AZ297)</f>
        <v>8</v>
      </c>
      <c r="DA297" s="36" cm="1">
        <f t="array" ref="DA297">_xlfn.IFS(BO297&lt;&gt;"", BO297, CV297=0,  AQ297, CV297=1,  AZ297)</f>
        <v>8</v>
      </c>
      <c r="DB297" s="36">
        <f t="shared" si="37"/>
        <v>0</v>
      </c>
      <c r="DC297" s="3">
        <f t="shared" si="38"/>
        <v>-2</v>
      </c>
      <c r="DD297" s="3">
        <f t="shared" si="39"/>
        <v>0</v>
      </c>
      <c r="DE297" s="3">
        <f t="shared" si="42"/>
        <v>0</v>
      </c>
      <c r="DF297" s="3">
        <f t="shared" si="40"/>
        <v>-2</v>
      </c>
      <c r="DG297" s="3">
        <f t="shared" si="41"/>
        <v>0</v>
      </c>
    </row>
    <row r="298" spans="1:111" x14ac:dyDescent="0.4">
      <c r="A298">
        <v>202511</v>
      </c>
      <c r="B298">
        <v>456</v>
      </c>
      <c r="C298" s="5">
        <v>45969.498576388891</v>
      </c>
      <c r="D298" s="5">
        <v>45969.503240740742</v>
      </c>
      <c r="E298" s="3">
        <v>0</v>
      </c>
      <c r="F298" s="4" t="s">
        <v>262</v>
      </c>
      <c r="G298" s="3">
        <v>98</v>
      </c>
      <c r="H298" s="3">
        <v>403</v>
      </c>
      <c r="I298" s="3">
        <v>0</v>
      </c>
      <c r="J298" s="5">
        <v>45971.528607476852</v>
      </c>
      <c r="K298" s="4" t="s">
        <v>261</v>
      </c>
      <c r="L298" s="4" t="s">
        <v>122</v>
      </c>
      <c r="M298" s="4" t="s">
        <v>122</v>
      </c>
      <c r="N298" s="4" t="s">
        <v>122</v>
      </c>
      <c r="O298" s="4" t="s">
        <v>122</v>
      </c>
      <c r="P298" s="3">
        <v>33.434199999999997</v>
      </c>
      <c r="Q298" s="3">
        <v>-111.8454</v>
      </c>
      <c r="R298" s="4" t="s">
        <v>129</v>
      </c>
      <c r="S298" s="4" t="s">
        <v>124</v>
      </c>
      <c r="T298" s="3">
        <v>4</v>
      </c>
      <c r="U298" s="3">
        <v>1</v>
      </c>
      <c r="V298" s="3">
        <v>2</v>
      </c>
      <c r="W298" s="3">
        <v>2</v>
      </c>
      <c r="X298" s="3">
        <v>1</v>
      </c>
      <c r="Y298" s="3">
        <v>3</v>
      </c>
      <c r="Z298" s="3">
        <v>3</v>
      </c>
      <c r="AA298" s="3">
        <v>3</v>
      </c>
      <c r="AB298" s="4" t="s">
        <v>122</v>
      </c>
      <c r="AC298" s="4" t="s">
        <v>122</v>
      </c>
      <c r="AD298" s="4" t="s">
        <v>122</v>
      </c>
      <c r="AE298" s="4" t="s">
        <v>122</v>
      </c>
      <c r="AF298" s="4" t="s">
        <v>122</v>
      </c>
      <c r="AG298" s="3">
        <v>2</v>
      </c>
      <c r="AH298" s="3">
        <v>5</v>
      </c>
      <c r="AI298" s="3">
        <v>2</v>
      </c>
      <c r="AJ298" s="3">
        <v>7</v>
      </c>
      <c r="AK298" s="3">
        <v>7</v>
      </c>
      <c r="AL298" s="3">
        <v>8</v>
      </c>
      <c r="AM298" s="3">
        <v>7</v>
      </c>
      <c r="AN298" s="3">
        <v>8</v>
      </c>
      <c r="AO298" s="3">
        <v>3</v>
      </c>
      <c r="AP298" s="3">
        <v>3</v>
      </c>
      <c r="AQ298" s="3">
        <v>5</v>
      </c>
      <c r="AR298" s="3">
        <v>2</v>
      </c>
      <c r="AS298" s="3">
        <v>8</v>
      </c>
      <c r="AT298" s="3">
        <v>8</v>
      </c>
      <c r="AU298" s="3">
        <v>7</v>
      </c>
      <c r="AV298" s="3">
        <v>8</v>
      </c>
      <c r="AW298" s="3">
        <v>8</v>
      </c>
      <c r="AX298" s="3">
        <v>3</v>
      </c>
      <c r="AY298" s="3">
        <v>3</v>
      </c>
      <c r="AZ298" s="3">
        <v>6</v>
      </c>
      <c r="BA298" s="3">
        <v>2</v>
      </c>
      <c r="BB298" s="3">
        <v>6</v>
      </c>
      <c r="BC298" s="3">
        <v>6</v>
      </c>
      <c r="BD298" s="3">
        <v>2</v>
      </c>
      <c r="BE298" s="4" t="s">
        <v>125</v>
      </c>
      <c r="BF298" s="4" t="s">
        <v>122</v>
      </c>
      <c r="BG298" s="4" t="s">
        <v>122</v>
      </c>
      <c r="BH298" s="4" t="s">
        <v>122</v>
      </c>
      <c r="BI298" s="4" t="s">
        <v>122</v>
      </c>
      <c r="BJ298" s="4" t="s">
        <v>122</v>
      </c>
      <c r="BK298" s="4" t="s">
        <v>122</v>
      </c>
      <c r="BL298" s="4" t="s">
        <v>125</v>
      </c>
      <c r="BM298" s="4" t="s">
        <v>122</v>
      </c>
      <c r="BN298" s="3">
        <v>7</v>
      </c>
      <c r="BO298" s="4" t="s">
        <v>122</v>
      </c>
      <c r="BP298" s="4" t="s">
        <v>122</v>
      </c>
      <c r="BQ298" s="4" t="s">
        <v>122</v>
      </c>
      <c r="BR298" s="4" t="s">
        <v>122</v>
      </c>
      <c r="BS298" s="4" t="s">
        <v>122</v>
      </c>
      <c r="BT298" s="4" t="s">
        <v>122</v>
      </c>
      <c r="BU298" s="4" t="s">
        <v>122</v>
      </c>
      <c r="BV298" s="4" t="s">
        <v>122</v>
      </c>
      <c r="BW298" s="4" t="s">
        <v>122</v>
      </c>
      <c r="BX298" s="4" t="s">
        <v>122</v>
      </c>
      <c r="BY298" s="4" t="s">
        <v>122</v>
      </c>
      <c r="BZ298" s="4" t="s">
        <v>122</v>
      </c>
      <c r="CA298" s="4" t="s">
        <v>122</v>
      </c>
      <c r="CB298" s="4" t="s">
        <v>122</v>
      </c>
      <c r="CC298" s="4" t="s">
        <v>122</v>
      </c>
      <c r="CD298" s="4" t="s">
        <v>122</v>
      </c>
      <c r="CE298" s="4" t="s">
        <v>122</v>
      </c>
      <c r="CF298" s="3">
        <v>1</v>
      </c>
      <c r="CG298" s="4" t="s">
        <v>122</v>
      </c>
      <c r="CH298" s="3">
        <v>6</v>
      </c>
      <c r="CI298" s="4" t="s">
        <v>122</v>
      </c>
      <c r="CJ298" s="4" t="s">
        <v>122</v>
      </c>
      <c r="CK298" s="4" t="s">
        <v>122</v>
      </c>
      <c r="CL298" s="4" t="s">
        <v>125</v>
      </c>
      <c r="CM298" s="4" t="s">
        <v>122</v>
      </c>
      <c r="CN298" s="4" t="s">
        <v>122</v>
      </c>
      <c r="CO298" s="4" t="s">
        <v>122</v>
      </c>
      <c r="CP298" s="4" t="s">
        <v>122</v>
      </c>
      <c r="CQ298" s="4" t="s">
        <v>122</v>
      </c>
      <c r="CR298" s="4" t="s">
        <v>122</v>
      </c>
      <c r="CS298" s="3">
        <v>5</v>
      </c>
      <c r="CT298" s="3">
        <v>-999</v>
      </c>
      <c r="CU298" s="42">
        <v>2</v>
      </c>
      <c r="CV298" cm="1">
        <f t="array" ref="CV298">_xlfn.IFS(CU298*1=2,1,CU298*1=4,1,TRUE,0)</f>
        <v>1</v>
      </c>
      <c r="CW298" cm="1">
        <f t="array" ref="CW298">_xlfn.IFS(CU298*1=1,1,CU298*1=2,1,TRUE,0)</f>
        <v>1</v>
      </c>
      <c r="CX298" s="3">
        <f t="shared" si="35"/>
        <v>6</v>
      </c>
      <c r="CY298" s="3">
        <f t="shared" si="36"/>
        <v>6</v>
      </c>
      <c r="CZ298" s="3" cm="1">
        <f t="array" ref="CZ298">_xlfn.IFS(BP298&lt;&gt;"", BP298, CV298=1,  AQ298, CV298=0,  AZ298)</f>
        <v>5</v>
      </c>
      <c r="DA298" s="36" cm="1">
        <f t="array" ref="DA298">_xlfn.IFS(BO298&lt;&gt;"", BO298, CV298=0,  AQ298, CV298=1,  AZ298)</f>
        <v>6</v>
      </c>
      <c r="DB298" s="36">
        <f t="shared" si="37"/>
        <v>1</v>
      </c>
      <c r="DC298" s="3">
        <f t="shared" si="38"/>
        <v>1</v>
      </c>
      <c r="DD298" s="3">
        <f t="shared" si="39"/>
        <v>0</v>
      </c>
      <c r="DE298" s="3">
        <f t="shared" si="42"/>
        <v>1</v>
      </c>
      <c r="DF298" s="3">
        <f t="shared" si="40"/>
        <v>1</v>
      </c>
      <c r="DG298" s="3">
        <f t="shared" si="41"/>
        <v>1</v>
      </c>
    </row>
    <row r="299" spans="1:111" x14ac:dyDescent="0.4">
      <c r="A299">
        <v>202511</v>
      </c>
      <c r="B299">
        <v>123</v>
      </c>
      <c r="C299" s="1">
        <v>45969.500173611108</v>
      </c>
      <c r="D299" s="1">
        <v>45969.503993055558</v>
      </c>
      <c r="E299">
        <v>0</v>
      </c>
      <c r="F299" s="2" t="s">
        <v>146</v>
      </c>
      <c r="G299">
        <v>100</v>
      </c>
      <c r="H299">
        <v>329</v>
      </c>
      <c r="I299">
        <v>1</v>
      </c>
      <c r="J299" s="1">
        <v>45969.50400951389</v>
      </c>
      <c r="K299" s="2" t="s">
        <v>212</v>
      </c>
      <c r="L299" s="2" t="s">
        <v>122</v>
      </c>
      <c r="M299" s="2" t="s">
        <v>122</v>
      </c>
      <c r="N299" s="2" t="s">
        <v>122</v>
      </c>
      <c r="O299" s="2" t="s">
        <v>122</v>
      </c>
      <c r="P299">
        <v>32.250300000000003</v>
      </c>
      <c r="Q299">
        <v>-110.94499999999999</v>
      </c>
      <c r="R299" s="2" t="s">
        <v>129</v>
      </c>
      <c r="S299" s="2" t="s">
        <v>124</v>
      </c>
      <c r="T299">
        <v>4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 s="2" t="s">
        <v>122</v>
      </c>
      <c r="AC299" s="2" t="s">
        <v>122</v>
      </c>
      <c r="AD299" s="2" t="s">
        <v>122</v>
      </c>
      <c r="AE299" s="2" t="s">
        <v>122</v>
      </c>
      <c r="AF299" s="2" t="s">
        <v>122</v>
      </c>
      <c r="AG299">
        <v>2</v>
      </c>
      <c r="AH299">
        <v>5.5</v>
      </c>
      <c r="AI299">
        <v>2</v>
      </c>
      <c r="AJ299">
        <v>6</v>
      </c>
      <c r="AK299">
        <v>7</v>
      </c>
      <c r="AL299">
        <v>8</v>
      </c>
      <c r="AM299">
        <v>7</v>
      </c>
      <c r="AN299">
        <v>5</v>
      </c>
      <c r="AO299">
        <v>3</v>
      </c>
      <c r="AP299">
        <v>3</v>
      </c>
      <c r="AQ299" s="2" t="s">
        <v>122</v>
      </c>
      <c r="AR299" s="2" t="s">
        <v>122</v>
      </c>
      <c r="AS299">
        <v>5</v>
      </c>
      <c r="AT299">
        <v>6</v>
      </c>
      <c r="AU299">
        <v>4</v>
      </c>
      <c r="AV299">
        <v>4</v>
      </c>
      <c r="AW299">
        <v>5</v>
      </c>
      <c r="AX299">
        <v>2</v>
      </c>
      <c r="AY299">
        <v>4</v>
      </c>
      <c r="AZ299" s="2" t="s">
        <v>122</v>
      </c>
      <c r="BA299" s="2" t="s">
        <v>122</v>
      </c>
      <c r="BB299" s="2" t="s">
        <v>122</v>
      </c>
      <c r="BC299" s="2" t="s">
        <v>122</v>
      </c>
      <c r="BD299" s="2" t="s">
        <v>122</v>
      </c>
      <c r="BE299" s="2" t="s">
        <v>122</v>
      </c>
      <c r="BF299" s="2" t="s">
        <v>122</v>
      </c>
      <c r="BG299" s="2" t="s">
        <v>122</v>
      </c>
      <c r="BH299" s="2" t="s">
        <v>122</v>
      </c>
      <c r="BI299" s="2" t="s">
        <v>122</v>
      </c>
      <c r="BJ299" s="2" t="s">
        <v>122</v>
      </c>
      <c r="BK299" s="2" t="s">
        <v>122</v>
      </c>
      <c r="BL299" s="2" t="s">
        <v>122</v>
      </c>
      <c r="BM299" s="2" t="s">
        <v>122</v>
      </c>
      <c r="BN299" s="2" t="s">
        <v>122</v>
      </c>
      <c r="BO299">
        <v>5</v>
      </c>
      <c r="BP299">
        <v>4.5</v>
      </c>
      <c r="BQ299">
        <v>2</v>
      </c>
      <c r="BR299" s="2" t="s">
        <v>125</v>
      </c>
      <c r="BS299" s="2" t="s">
        <v>122</v>
      </c>
      <c r="BT299" s="2" t="s">
        <v>122</v>
      </c>
      <c r="BU299" s="2" t="s">
        <v>122</v>
      </c>
      <c r="BV299" s="2" t="s">
        <v>125</v>
      </c>
      <c r="BW299" s="2" t="s">
        <v>122</v>
      </c>
      <c r="BX299" s="2" t="s">
        <v>122</v>
      </c>
      <c r="BY299" s="2" t="s">
        <v>125</v>
      </c>
      <c r="BZ299" s="2" t="s">
        <v>122</v>
      </c>
      <c r="CA299">
        <v>1</v>
      </c>
      <c r="CB299">
        <v>6</v>
      </c>
      <c r="CC299">
        <v>2</v>
      </c>
      <c r="CD299">
        <v>4.5</v>
      </c>
      <c r="CE299">
        <v>2</v>
      </c>
      <c r="CF299">
        <v>2</v>
      </c>
      <c r="CG299" s="2" t="s">
        <v>122</v>
      </c>
      <c r="CH299">
        <v>2.2999999999999998</v>
      </c>
      <c r="CI299" s="2" t="s">
        <v>122</v>
      </c>
      <c r="CJ299" s="2" t="s">
        <v>122</v>
      </c>
      <c r="CK299" s="2" t="s">
        <v>122</v>
      </c>
      <c r="CL299" s="2" t="s">
        <v>125</v>
      </c>
      <c r="CM299" s="2" t="s">
        <v>122</v>
      </c>
      <c r="CN299" s="2" t="s">
        <v>122</v>
      </c>
      <c r="CO299" s="2" t="s">
        <v>122</v>
      </c>
      <c r="CP299" s="2" t="s">
        <v>122</v>
      </c>
      <c r="CQ299" s="2" t="s">
        <v>122</v>
      </c>
      <c r="CR299" s="2" t="s">
        <v>122</v>
      </c>
      <c r="CS299">
        <v>2</v>
      </c>
      <c r="CT299">
        <v>1</v>
      </c>
      <c r="CU299" s="43">
        <v>3</v>
      </c>
      <c r="CV299" cm="1">
        <f t="array" ref="CV299">_xlfn.IFS(CU299*1=2,1,CU299*1=4,1,TRUE,0)</f>
        <v>0</v>
      </c>
      <c r="CW299" cm="1">
        <f t="array" ref="CW299">_xlfn.IFS(CU299*1=1,1,CU299*1=2,1,TRUE,0)</f>
        <v>0</v>
      </c>
      <c r="CX299" s="3">
        <f t="shared" si="35"/>
        <v>6</v>
      </c>
      <c r="CY299" s="3">
        <f t="shared" si="36"/>
        <v>4.5</v>
      </c>
      <c r="CZ299" s="3" cm="1">
        <f t="array" ref="CZ299">_xlfn.IFS(BP299&lt;&gt;"", BP299, CV299=1,  AQ299, CV299=0,  AZ299)</f>
        <v>4.5</v>
      </c>
      <c r="DA299" s="36" cm="1">
        <f t="array" ref="DA299">_xlfn.IFS(BO299&lt;&gt;"", BO299, CV299=0,  AQ299, CV299=1,  AZ299)</f>
        <v>5</v>
      </c>
      <c r="DB299" s="36">
        <f t="shared" si="37"/>
        <v>-1</v>
      </c>
      <c r="DC299" s="3">
        <f t="shared" si="38"/>
        <v>0.5</v>
      </c>
      <c r="DD299" s="3">
        <f t="shared" si="39"/>
        <v>-1</v>
      </c>
      <c r="DE299" s="3">
        <f t="shared" si="42"/>
        <v>-1</v>
      </c>
      <c r="DF299" s="3">
        <f t="shared" si="40"/>
        <v>0.5</v>
      </c>
      <c r="DG299" s="3">
        <f t="shared" si="41"/>
        <v>-0.5</v>
      </c>
    </row>
    <row r="300" spans="1:111" x14ac:dyDescent="0.4">
      <c r="A300">
        <v>202511</v>
      </c>
      <c r="B300">
        <v>123</v>
      </c>
      <c r="C300" s="1">
        <v>45969.501504629632</v>
      </c>
      <c r="D300" s="1">
        <v>45969.506203703706</v>
      </c>
      <c r="E300">
        <v>0</v>
      </c>
      <c r="F300" s="2" t="s">
        <v>213</v>
      </c>
      <c r="G300">
        <v>100</v>
      </c>
      <c r="H300">
        <v>406</v>
      </c>
      <c r="I300">
        <v>1</v>
      </c>
      <c r="J300" s="1">
        <v>45969.506216655092</v>
      </c>
      <c r="K300" s="2" t="s">
        <v>214</v>
      </c>
      <c r="L300" s="2" t="s">
        <v>122</v>
      </c>
      <c r="M300" s="2" t="s">
        <v>122</v>
      </c>
      <c r="N300" s="2" t="s">
        <v>122</v>
      </c>
      <c r="O300" s="2" t="s">
        <v>122</v>
      </c>
      <c r="P300">
        <v>33.508000000000003</v>
      </c>
      <c r="Q300">
        <v>-112.09950000000001</v>
      </c>
      <c r="R300" s="2" t="s">
        <v>129</v>
      </c>
      <c r="S300" s="2" t="s">
        <v>124</v>
      </c>
      <c r="T300">
        <v>4</v>
      </c>
      <c r="U300">
        <v>1</v>
      </c>
      <c r="V300">
        <v>2</v>
      </c>
      <c r="W300">
        <v>1</v>
      </c>
      <c r="X300">
        <v>3</v>
      </c>
      <c r="Y300">
        <v>5</v>
      </c>
      <c r="Z300">
        <v>5</v>
      </c>
      <c r="AA300">
        <v>5</v>
      </c>
      <c r="AB300" s="2" t="s">
        <v>122</v>
      </c>
      <c r="AC300" s="2" t="s">
        <v>125</v>
      </c>
      <c r="AD300" s="2" t="s">
        <v>122</v>
      </c>
      <c r="AE300" s="2" t="s">
        <v>122</v>
      </c>
      <c r="AF300" s="2" t="s">
        <v>122</v>
      </c>
      <c r="AG300">
        <v>3</v>
      </c>
      <c r="AH300">
        <v>5.5</v>
      </c>
      <c r="AI300">
        <v>3</v>
      </c>
      <c r="AJ300">
        <v>8</v>
      </c>
      <c r="AK300">
        <v>9</v>
      </c>
      <c r="AL300">
        <v>8</v>
      </c>
      <c r="AM300">
        <v>8</v>
      </c>
      <c r="AN300">
        <v>9</v>
      </c>
      <c r="AO300">
        <v>3</v>
      </c>
      <c r="AP300">
        <v>3</v>
      </c>
      <c r="AQ300">
        <v>6</v>
      </c>
      <c r="AR300">
        <v>3</v>
      </c>
      <c r="AS300">
        <v>6</v>
      </c>
      <c r="AT300">
        <v>7</v>
      </c>
      <c r="AU300">
        <v>8</v>
      </c>
      <c r="AV300">
        <v>6</v>
      </c>
      <c r="AW300">
        <v>5</v>
      </c>
      <c r="AX300">
        <v>1</v>
      </c>
      <c r="AY300">
        <v>4</v>
      </c>
      <c r="AZ300">
        <v>5</v>
      </c>
      <c r="BA300">
        <v>3</v>
      </c>
      <c r="BB300">
        <v>6</v>
      </c>
      <c r="BC300">
        <v>5</v>
      </c>
      <c r="BD300">
        <v>3</v>
      </c>
      <c r="BE300" s="2" t="s">
        <v>125</v>
      </c>
      <c r="BF300" s="2" t="s">
        <v>122</v>
      </c>
      <c r="BG300" s="2" t="s">
        <v>122</v>
      </c>
      <c r="BH300" s="2" t="s">
        <v>122</v>
      </c>
      <c r="BI300" s="2" t="s">
        <v>125</v>
      </c>
      <c r="BJ300" s="2" t="s">
        <v>122</v>
      </c>
      <c r="BK300" s="2" t="s">
        <v>122</v>
      </c>
      <c r="BL300" s="2" t="s">
        <v>122</v>
      </c>
      <c r="BM300" s="2" t="s">
        <v>122</v>
      </c>
      <c r="BN300">
        <v>1</v>
      </c>
      <c r="BO300" s="2" t="s">
        <v>122</v>
      </c>
      <c r="BP300" s="2" t="s">
        <v>122</v>
      </c>
      <c r="BQ300" s="2" t="s">
        <v>122</v>
      </c>
      <c r="BR300" s="2" t="s">
        <v>122</v>
      </c>
      <c r="BS300" s="2" t="s">
        <v>122</v>
      </c>
      <c r="BT300" s="2" t="s">
        <v>122</v>
      </c>
      <c r="BU300" s="2" t="s">
        <v>122</v>
      </c>
      <c r="BV300" s="2" t="s">
        <v>122</v>
      </c>
      <c r="BW300" s="2" t="s">
        <v>122</v>
      </c>
      <c r="BX300" s="2" t="s">
        <v>122</v>
      </c>
      <c r="BY300" s="2" t="s">
        <v>122</v>
      </c>
      <c r="BZ300" s="2" t="s">
        <v>122</v>
      </c>
      <c r="CA300" s="2" t="s">
        <v>122</v>
      </c>
      <c r="CB300" s="2" t="s">
        <v>122</v>
      </c>
      <c r="CC300" s="2" t="s">
        <v>122</v>
      </c>
      <c r="CD300" s="2" t="s">
        <v>122</v>
      </c>
      <c r="CE300" s="2" t="s">
        <v>122</v>
      </c>
      <c r="CF300">
        <v>2</v>
      </c>
      <c r="CG300" s="2" t="s">
        <v>122</v>
      </c>
      <c r="CH300">
        <v>3</v>
      </c>
      <c r="CI300" s="2" t="s">
        <v>122</v>
      </c>
      <c r="CJ300" s="2" t="s">
        <v>122</v>
      </c>
      <c r="CK300" s="2" t="s">
        <v>122</v>
      </c>
      <c r="CL300" s="2" t="s">
        <v>122</v>
      </c>
      <c r="CM300" s="2" t="s">
        <v>122</v>
      </c>
      <c r="CN300" s="2" t="s">
        <v>122</v>
      </c>
      <c r="CO300" s="2" t="s">
        <v>125</v>
      </c>
      <c r="CP300" s="2" t="s">
        <v>122</v>
      </c>
      <c r="CQ300" s="2" t="s">
        <v>122</v>
      </c>
      <c r="CR300" s="2" t="s">
        <v>122</v>
      </c>
      <c r="CS300">
        <v>4</v>
      </c>
      <c r="CT300">
        <v>5</v>
      </c>
      <c r="CU300" s="43">
        <v>1</v>
      </c>
      <c r="CV300" cm="1">
        <f t="array" ref="CV300">_xlfn.IFS(CU300*1=2,1,CU300*1=4,1,TRUE,0)</f>
        <v>0</v>
      </c>
      <c r="CW300" cm="1">
        <f t="array" ref="CW300">_xlfn.IFS(CU300*1=1,1,CU300*1=2,1,TRUE,0)</f>
        <v>1</v>
      </c>
      <c r="CX300" s="3">
        <f t="shared" si="35"/>
        <v>6</v>
      </c>
      <c r="CY300" s="3">
        <f t="shared" si="36"/>
        <v>5</v>
      </c>
      <c r="CZ300" s="3" cm="1">
        <f t="array" ref="CZ300">_xlfn.IFS(BP300&lt;&gt;"", BP300, CV300=1,  AQ300, CV300=0,  AZ300)</f>
        <v>5</v>
      </c>
      <c r="DA300" s="36" cm="1">
        <f t="array" ref="DA300">_xlfn.IFS(BO300&lt;&gt;"", BO300, CV300=0,  AQ300, CV300=1,  AZ300)</f>
        <v>6</v>
      </c>
      <c r="DB300" s="36">
        <f t="shared" si="37"/>
        <v>-0.5</v>
      </c>
      <c r="DC300" s="3">
        <f t="shared" si="38"/>
        <v>0.5</v>
      </c>
      <c r="DD300" s="3">
        <f t="shared" si="39"/>
        <v>-0.5</v>
      </c>
      <c r="DE300" s="3">
        <f t="shared" si="42"/>
        <v>-0.5</v>
      </c>
      <c r="DF300" s="3">
        <f t="shared" si="40"/>
        <v>0.5</v>
      </c>
      <c r="DG300" s="3">
        <f t="shared" si="41"/>
        <v>0.5</v>
      </c>
    </row>
    <row r="301" spans="1:111" x14ac:dyDescent="0.4">
      <c r="A301">
        <v>202511</v>
      </c>
      <c r="B301">
        <v>456</v>
      </c>
      <c r="C301" s="5">
        <v>45969.506041666667</v>
      </c>
      <c r="D301" s="5">
        <v>45969.508993055555</v>
      </c>
      <c r="E301" s="3">
        <v>0</v>
      </c>
      <c r="F301" s="4" t="s">
        <v>301</v>
      </c>
      <c r="G301" s="3">
        <v>100</v>
      </c>
      <c r="H301" s="3">
        <v>254</v>
      </c>
      <c r="I301" s="3">
        <v>1</v>
      </c>
      <c r="J301" s="5">
        <v>45969.508998888887</v>
      </c>
      <c r="K301" s="4" t="s">
        <v>300</v>
      </c>
      <c r="L301" s="4" t="s">
        <v>122</v>
      </c>
      <c r="M301" s="4" t="s">
        <v>122</v>
      </c>
      <c r="N301" s="4" t="s">
        <v>122</v>
      </c>
      <c r="O301" s="4" t="s">
        <v>122</v>
      </c>
      <c r="P301" s="3">
        <v>33.453200000000002</v>
      </c>
      <c r="Q301" s="3">
        <v>-112.0748</v>
      </c>
      <c r="R301" s="4" t="s">
        <v>129</v>
      </c>
      <c r="S301" s="4" t="s">
        <v>124</v>
      </c>
      <c r="T301" s="3">
        <v>4</v>
      </c>
      <c r="U301" s="3">
        <v>1</v>
      </c>
      <c r="V301" s="3">
        <v>4</v>
      </c>
      <c r="W301" s="3">
        <v>1</v>
      </c>
      <c r="X301" s="3">
        <v>3</v>
      </c>
      <c r="Y301" s="3">
        <v>5</v>
      </c>
      <c r="Z301" s="3">
        <v>5</v>
      </c>
      <c r="AA301" s="3">
        <v>5</v>
      </c>
      <c r="AB301" s="4" t="s">
        <v>122</v>
      </c>
      <c r="AC301" s="4" t="s">
        <v>125</v>
      </c>
      <c r="AD301" s="4" t="s">
        <v>122</v>
      </c>
      <c r="AE301" s="4" t="s">
        <v>122</v>
      </c>
      <c r="AF301" s="4" t="s">
        <v>122</v>
      </c>
      <c r="AG301" s="3">
        <v>2</v>
      </c>
      <c r="AH301" s="3">
        <v>6</v>
      </c>
      <c r="AI301" s="3">
        <v>3</v>
      </c>
      <c r="AJ301" s="3">
        <v>6</v>
      </c>
      <c r="AK301" s="3">
        <v>6</v>
      </c>
      <c r="AL301" s="3">
        <v>6</v>
      </c>
      <c r="AM301" s="3">
        <v>6</v>
      </c>
      <c r="AN301" s="3">
        <v>4</v>
      </c>
      <c r="AO301" s="3">
        <v>5</v>
      </c>
      <c r="AP301" s="3">
        <v>2</v>
      </c>
      <c r="AQ301" s="4" t="s">
        <v>122</v>
      </c>
      <c r="AR301" s="4" t="s">
        <v>122</v>
      </c>
      <c r="AS301" s="3">
        <v>9</v>
      </c>
      <c r="AT301" s="3">
        <v>9</v>
      </c>
      <c r="AU301" s="3">
        <v>9</v>
      </c>
      <c r="AV301" s="3">
        <v>9</v>
      </c>
      <c r="AW301" s="3">
        <v>9</v>
      </c>
      <c r="AX301" s="3">
        <v>3</v>
      </c>
      <c r="AY301" s="3">
        <v>3</v>
      </c>
      <c r="AZ301" s="4" t="s">
        <v>122</v>
      </c>
      <c r="BA301" s="4" t="s">
        <v>122</v>
      </c>
      <c r="BB301" s="4" t="s">
        <v>122</v>
      </c>
      <c r="BC301" s="4" t="s">
        <v>122</v>
      </c>
      <c r="BD301" s="4" t="s">
        <v>122</v>
      </c>
      <c r="BE301" s="4" t="s">
        <v>122</v>
      </c>
      <c r="BF301" s="4" t="s">
        <v>122</v>
      </c>
      <c r="BG301" s="4" t="s">
        <v>122</v>
      </c>
      <c r="BH301" s="4" t="s">
        <v>122</v>
      </c>
      <c r="BI301" s="4" t="s">
        <v>122</v>
      </c>
      <c r="BJ301" s="4" t="s">
        <v>122</v>
      </c>
      <c r="BK301" s="4" t="s">
        <v>122</v>
      </c>
      <c r="BL301" s="4" t="s">
        <v>122</v>
      </c>
      <c r="BM301" s="4" t="s">
        <v>122</v>
      </c>
      <c r="BN301" s="4" t="s">
        <v>122</v>
      </c>
      <c r="BO301" s="3">
        <v>7.5</v>
      </c>
      <c r="BP301" s="3">
        <v>6</v>
      </c>
      <c r="BQ301" s="3">
        <v>3</v>
      </c>
      <c r="BR301" s="4" t="s">
        <v>122</v>
      </c>
      <c r="BS301" s="4" t="s">
        <v>122</v>
      </c>
      <c r="BT301" s="4" t="s">
        <v>125</v>
      </c>
      <c r="BU301" s="4" t="s">
        <v>122</v>
      </c>
      <c r="BV301" s="4" t="s">
        <v>122</v>
      </c>
      <c r="BW301" s="4" t="s">
        <v>122</v>
      </c>
      <c r="BX301" s="4" t="s">
        <v>122</v>
      </c>
      <c r="BY301" s="4" t="s">
        <v>122</v>
      </c>
      <c r="BZ301" s="4" t="s">
        <v>122</v>
      </c>
      <c r="CA301" s="3">
        <v>3</v>
      </c>
      <c r="CB301" s="3">
        <v>7.5</v>
      </c>
      <c r="CC301" s="3">
        <v>3</v>
      </c>
      <c r="CD301" s="3">
        <v>6</v>
      </c>
      <c r="CE301" s="3">
        <v>2</v>
      </c>
      <c r="CF301" s="3">
        <v>2</v>
      </c>
      <c r="CG301" s="4" t="s">
        <v>122</v>
      </c>
      <c r="CH301" s="3">
        <v>3</v>
      </c>
      <c r="CI301" s="4" t="s">
        <v>122</v>
      </c>
      <c r="CJ301" s="4" t="s">
        <v>122</v>
      </c>
      <c r="CK301" s="4" t="s">
        <v>122</v>
      </c>
      <c r="CL301" s="4" t="s">
        <v>125</v>
      </c>
      <c r="CM301" s="4" t="s">
        <v>122</v>
      </c>
      <c r="CN301" s="4" t="s">
        <v>122</v>
      </c>
      <c r="CO301" s="4" t="s">
        <v>122</v>
      </c>
      <c r="CP301" s="4" t="s">
        <v>122</v>
      </c>
      <c r="CQ301" s="4" t="s">
        <v>122</v>
      </c>
      <c r="CR301" s="4" t="s">
        <v>122</v>
      </c>
      <c r="CS301" s="3">
        <v>4</v>
      </c>
      <c r="CT301" s="3">
        <v>-999</v>
      </c>
      <c r="CU301" s="42">
        <v>4</v>
      </c>
      <c r="CV301" cm="1">
        <f t="array" ref="CV301">_xlfn.IFS(CU301*1=2,1,CU301*1=4,1,TRUE,0)</f>
        <v>1</v>
      </c>
      <c r="CW301" cm="1">
        <f t="array" ref="CW301">_xlfn.IFS(CU301*1=1,1,CU301*1=2,1,TRUE,0)</f>
        <v>0</v>
      </c>
      <c r="CX301" s="3">
        <f t="shared" si="35"/>
        <v>7.5</v>
      </c>
      <c r="CY301" s="3">
        <f t="shared" si="36"/>
        <v>6</v>
      </c>
      <c r="CZ301" s="3" cm="1">
        <f t="array" ref="CZ301">_xlfn.IFS(BP301&lt;&gt;"", BP301, CV301=1,  AQ301, CV301=0,  AZ301)</f>
        <v>6</v>
      </c>
      <c r="DA301" s="36" cm="1">
        <f t="array" ref="DA301">_xlfn.IFS(BO301&lt;&gt;"", BO301, CV301=0,  AQ301, CV301=1,  AZ301)</f>
        <v>7.5</v>
      </c>
      <c r="DB301" s="36">
        <f t="shared" si="37"/>
        <v>0</v>
      </c>
      <c r="DC301" s="3">
        <f t="shared" si="38"/>
        <v>1.5</v>
      </c>
      <c r="DD301" s="3">
        <f t="shared" si="39"/>
        <v>0</v>
      </c>
      <c r="DE301" s="3">
        <f t="shared" si="42"/>
        <v>0</v>
      </c>
      <c r="DF301" s="3">
        <f t="shared" si="40"/>
        <v>1.5</v>
      </c>
      <c r="DG301" s="3">
        <f t="shared" si="41"/>
        <v>1.5</v>
      </c>
    </row>
    <row r="302" spans="1:111" x14ac:dyDescent="0.4">
      <c r="A302">
        <v>202511</v>
      </c>
      <c r="B302">
        <v>456</v>
      </c>
      <c r="C302" s="5">
        <v>45969.507615740738</v>
      </c>
      <c r="D302" s="5">
        <v>45969.511354166665</v>
      </c>
      <c r="E302" s="3">
        <v>0</v>
      </c>
      <c r="F302" s="4" t="s">
        <v>299</v>
      </c>
      <c r="G302" s="3">
        <v>100</v>
      </c>
      <c r="H302" s="3">
        <v>323</v>
      </c>
      <c r="I302" s="3">
        <v>1</v>
      </c>
      <c r="J302" s="5">
        <v>45969.511360335651</v>
      </c>
      <c r="K302" s="4" t="s">
        <v>298</v>
      </c>
      <c r="L302" s="4" t="s">
        <v>122</v>
      </c>
      <c r="M302" s="4" t="s">
        <v>122</v>
      </c>
      <c r="N302" s="4" t="s">
        <v>122</v>
      </c>
      <c r="O302" s="4" t="s">
        <v>122</v>
      </c>
      <c r="P302" s="3">
        <v>36.178800000000003</v>
      </c>
      <c r="Q302" s="3">
        <v>-115.17149999999999</v>
      </c>
      <c r="R302" s="4" t="s">
        <v>129</v>
      </c>
      <c r="S302" s="4" t="s">
        <v>124</v>
      </c>
      <c r="T302" s="3">
        <v>4</v>
      </c>
      <c r="U302" s="3">
        <v>1</v>
      </c>
      <c r="V302" s="3">
        <v>1</v>
      </c>
      <c r="W302" s="3">
        <v>1</v>
      </c>
      <c r="X302" s="3">
        <v>1</v>
      </c>
      <c r="Y302" s="3">
        <v>1</v>
      </c>
      <c r="Z302" s="3">
        <v>1</v>
      </c>
      <c r="AA302" s="3">
        <v>1</v>
      </c>
      <c r="AB302" s="4" t="s">
        <v>122</v>
      </c>
      <c r="AC302" s="4" t="s">
        <v>122</v>
      </c>
      <c r="AD302" s="4" t="s">
        <v>122</v>
      </c>
      <c r="AE302" s="4" t="s">
        <v>122</v>
      </c>
      <c r="AF302" s="4" t="s">
        <v>122</v>
      </c>
      <c r="AG302" s="3">
        <v>2</v>
      </c>
      <c r="AH302" s="3">
        <v>7</v>
      </c>
      <c r="AI302" s="3">
        <v>3</v>
      </c>
      <c r="AJ302" s="3">
        <v>7</v>
      </c>
      <c r="AK302" s="3">
        <v>8</v>
      </c>
      <c r="AL302" s="3">
        <v>6</v>
      </c>
      <c r="AM302" s="3">
        <v>7</v>
      </c>
      <c r="AN302" s="3">
        <v>8</v>
      </c>
      <c r="AO302" s="3">
        <v>2</v>
      </c>
      <c r="AP302" s="3">
        <v>5</v>
      </c>
      <c r="AQ302" s="3">
        <v>6</v>
      </c>
      <c r="AR302" s="3">
        <v>3</v>
      </c>
      <c r="AS302" s="3">
        <v>6</v>
      </c>
      <c r="AT302" s="3">
        <v>8</v>
      </c>
      <c r="AU302" s="3">
        <v>7</v>
      </c>
      <c r="AV302" s="3">
        <v>7</v>
      </c>
      <c r="AW302" s="3">
        <v>8</v>
      </c>
      <c r="AX302" s="3">
        <v>2</v>
      </c>
      <c r="AY302" s="3">
        <v>2</v>
      </c>
      <c r="AZ302" s="3">
        <v>5.5</v>
      </c>
      <c r="BA302" s="3">
        <v>3</v>
      </c>
      <c r="BB302" s="3">
        <v>7</v>
      </c>
      <c r="BC302" s="3">
        <v>7</v>
      </c>
      <c r="BD302" s="3">
        <v>3</v>
      </c>
      <c r="BE302" s="4" t="s">
        <v>125</v>
      </c>
      <c r="BF302" s="4" t="s">
        <v>122</v>
      </c>
      <c r="BG302" s="4" t="s">
        <v>122</v>
      </c>
      <c r="BH302" s="4" t="s">
        <v>125</v>
      </c>
      <c r="BI302" s="4" t="s">
        <v>125</v>
      </c>
      <c r="BJ302" s="4" t="s">
        <v>122</v>
      </c>
      <c r="BK302" s="4" t="s">
        <v>122</v>
      </c>
      <c r="BL302" s="4" t="s">
        <v>122</v>
      </c>
      <c r="BM302" s="4" t="s">
        <v>122</v>
      </c>
      <c r="BN302" s="3">
        <v>1</v>
      </c>
      <c r="BO302" s="4" t="s">
        <v>122</v>
      </c>
      <c r="BP302" s="4" t="s">
        <v>122</v>
      </c>
      <c r="BQ302" s="4" t="s">
        <v>122</v>
      </c>
      <c r="BR302" s="4" t="s">
        <v>122</v>
      </c>
      <c r="BS302" s="4" t="s">
        <v>122</v>
      </c>
      <c r="BT302" s="4" t="s">
        <v>122</v>
      </c>
      <c r="BU302" s="4" t="s">
        <v>122</v>
      </c>
      <c r="BV302" s="4" t="s">
        <v>122</v>
      </c>
      <c r="BW302" s="4" t="s">
        <v>122</v>
      </c>
      <c r="BX302" s="4" t="s">
        <v>122</v>
      </c>
      <c r="BY302" s="4" t="s">
        <v>122</v>
      </c>
      <c r="BZ302" s="4" t="s">
        <v>122</v>
      </c>
      <c r="CA302" s="4" t="s">
        <v>122</v>
      </c>
      <c r="CB302" s="4" t="s">
        <v>122</v>
      </c>
      <c r="CC302" s="4" t="s">
        <v>122</v>
      </c>
      <c r="CD302" s="4" t="s">
        <v>122</v>
      </c>
      <c r="CE302" s="4" t="s">
        <v>122</v>
      </c>
      <c r="CF302" s="3">
        <v>2</v>
      </c>
      <c r="CG302" s="4" t="s">
        <v>122</v>
      </c>
      <c r="CH302" s="3">
        <v>2.7</v>
      </c>
      <c r="CI302" s="4" t="s">
        <v>122</v>
      </c>
      <c r="CJ302" s="4" t="s">
        <v>122</v>
      </c>
      <c r="CK302" s="4" t="s">
        <v>122</v>
      </c>
      <c r="CL302" s="4" t="s">
        <v>125</v>
      </c>
      <c r="CM302" s="4" t="s">
        <v>122</v>
      </c>
      <c r="CN302" s="4" t="s">
        <v>122</v>
      </c>
      <c r="CO302" s="4" t="s">
        <v>122</v>
      </c>
      <c r="CP302" s="4" t="s">
        <v>122</v>
      </c>
      <c r="CQ302" s="4" t="s">
        <v>122</v>
      </c>
      <c r="CR302" s="4" t="s">
        <v>122</v>
      </c>
      <c r="CS302" s="3">
        <v>4</v>
      </c>
      <c r="CT302" s="3">
        <v>5</v>
      </c>
      <c r="CU302" s="42">
        <v>2</v>
      </c>
      <c r="CV302" cm="1">
        <f t="array" ref="CV302">_xlfn.IFS(CU302*1=2,1,CU302*1=4,1,TRUE,0)</f>
        <v>1</v>
      </c>
      <c r="CW302" cm="1">
        <f t="array" ref="CW302">_xlfn.IFS(CU302*1=1,1,CU302*1=2,1,TRUE,0)</f>
        <v>1</v>
      </c>
      <c r="CX302" s="3">
        <f t="shared" si="35"/>
        <v>7</v>
      </c>
      <c r="CY302" s="3">
        <f t="shared" si="36"/>
        <v>7</v>
      </c>
      <c r="CZ302" s="3" cm="1">
        <f t="array" ref="CZ302">_xlfn.IFS(BP302&lt;&gt;"", BP302, CV302=1,  AQ302, CV302=0,  AZ302)</f>
        <v>6</v>
      </c>
      <c r="DA302" s="36" cm="1">
        <f t="array" ref="DA302">_xlfn.IFS(BO302&lt;&gt;"", BO302, CV302=0,  AQ302, CV302=1,  AZ302)</f>
        <v>5.5</v>
      </c>
      <c r="DB302" s="36">
        <f t="shared" si="37"/>
        <v>0</v>
      </c>
      <c r="DC302" s="3">
        <f t="shared" si="38"/>
        <v>0</v>
      </c>
      <c r="DD302" s="3">
        <f t="shared" si="39"/>
        <v>-1</v>
      </c>
      <c r="DE302" s="3">
        <f t="shared" si="42"/>
        <v>0</v>
      </c>
      <c r="DF302" s="3">
        <f t="shared" si="40"/>
        <v>-1.5</v>
      </c>
      <c r="DG302" s="3">
        <f t="shared" si="41"/>
        <v>0</v>
      </c>
    </row>
    <row r="303" spans="1:111" x14ac:dyDescent="0.4">
      <c r="A303">
        <v>202511</v>
      </c>
      <c r="B303">
        <v>456</v>
      </c>
      <c r="C303" s="5">
        <v>45969.507916666669</v>
      </c>
      <c r="D303" s="5">
        <v>45969.512002314812</v>
      </c>
      <c r="E303" s="3">
        <v>0</v>
      </c>
      <c r="F303" s="4" t="s">
        <v>297</v>
      </c>
      <c r="G303" s="3">
        <v>100</v>
      </c>
      <c r="H303" s="3">
        <v>353</v>
      </c>
      <c r="I303" s="3">
        <v>1</v>
      </c>
      <c r="J303" s="5">
        <v>45969.512014201391</v>
      </c>
      <c r="K303" s="4" t="s">
        <v>296</v>
      </c>
      <c r="L303" s="4" t="s">
        <v>122</v>
      </c>
      <c r="M303" s="4" t="s">
        <v>122</v>
      </c>
      <c r="N303" s="4" t="s">
        <v>122</v>
      </c>
      <c r="O303" s="4" t="s">
        <v>122</v>
      </c>
      <c r="P303" s="3">
        <v>33.248699999999999</v>
      </c>
      <c r="Q303" s="3">
        <v>-111.6343</v>
      </c>
      <c r="R303" s="4" t="s">
        <v>129</v>
      </c>
      <c r="S303" s="4" t="s">
        <v>124</v>
      </c>
      <c r="T303" s="3">
        <v>4</v>
      </c>
      <c r="U303" s="3">
        <v>1</v>
      </c>
      <c r="V303" s="3">
        <v>1</v>
      </c>
      <c r="W303" s="3">
        <v>1</v>
      </c>
      <c r="X303" s="3">
        <v>1</v>
      </c>
      <c r="Y303" s="3">
        <v>2</v>
      </c>
      <c r="Z303" s="3">
        <v>1</v>
      </c>
      <c r="AA303" s="3">
        <v>1</v>
      </c>
      <c r="AB303" s="4" t="s">
        <v>122</v>
      </c>
      <c r="AC303" s="4" t="s">
        <v>122</v>
      </c>
      <c r="AD303" s="4" t="s">
        <v>122</v>
      </c>
      <c r="AE303" s="4" t="s">
        <v>122</v>
      </c>
      <c r="AF303" s="4" t="s">
        <v>122</v>
      </c>
      <c r="AG303" s="3">
        <v>3</v>
      </c>
      <c r="AH303" s="3">
        <v>4.5</v>
      </c>
      <c r="AI303" s="3">
        <v>2</v>
      </c>
      <c r="AJ303" s="3">
        <v>8</v>
      </c>
      <c r="AK303" s="3">
        <v>5</v>
      </c>
      <c r="AL303" s="3">
        <v>4</v>
      </c>
      <c r="AM303" s="3">
        <v>8</v>
      </c>
      <c r="AN303" s="3">
        <v>8</v>
      </c>
      <c r="AO303" s="3">
        <v>3</v>
      </c>
      <c r="AP303" s="3">
        <v>3</v>
      </c>
      <c r="AQ303" s="4" t="s">
        <v>122</v>
      </c>
      <c r="AR303" s="4" t="s">
        <v>122</v>
      </c>
      <c r="AS303" s="3">
        <v>9</v>
      </c>
      <c r="AT303" s="3">
        <v>5</v>
      </c>
      <c r="AU303" s="3">
        <v>8</v>
      </c>
      <c r="AV303" s="3">
        <v>8</v>
      </c>
      <c r="AW303" s="3">
        <v>8</v>
      </c>
      <c r="AX303" s="3">
        <v>1</v>
      </c>
      <c r="AY303" s="3">
        <v>1</v>
      </c>
      <c r="AZ303" s="4" t="s">
        <v>122</v>
      </c>
      <c r="BA303" s="4" t="s">
        <v>122</v>
      </c>
      <c r="BB303" s="4" t="s">
        <v>122</v>
      </c>
      <c r="BC303" s="4" t="s">
        <v>122</v>
      </c>
      <c r="BD303" s="4" t="s">
        <v>122</v>
      </c>
      <c r="BE303" s="4" t="s">
        <v>122</v>
      </c>
      <c r="BF303" s="4" t="s">
        <v>122</v>
      </c>
      <c r="BG303" s="4" t="s">
        <v>122</v>
      </c>
      <c r="BH303" s="4" t="s">
        <v>122</v>
      </c>
      <c r="BI303" s="4" t="s">
        <v>122</v>
      </c>
      <c r="BJ303" s="4" t="s">
        <v>122</v>
      </c>
      <c r="BK303" s="4" t="s">
        <v>122</v>
      </c>
      <c r="BL303" s="4" t="s">
        <v>122</v>
      </c>
      <c r="BM303" s="4" t="s">
        <v>122</v>
      </c>
      <c r="BN303" s="4" t="s">
        <v>122</v>
      </c>
      <c r="BO303" s="3">
        <v>5.5</v>
      </c>
      <c r="BP303" s="3">
        <v>5</v>
      </c>
      <c r="BQ303" s="3">
        <v>3</v>
      </c>
      <c r="BR303" s="4" t="s">
        <v>125</v>
      </c>
      <c r="BS303" s="4" t="s">
        <v>122</v>
      </c>
      <c r="BT303" s="4" t="s">
        <v>125</v>
      </c>
      <c r="BU303" s="4" t="s">
        <v>125</v>
      </c>
      <c r="BV303" s="4" t="s">
        <v>125</v>
      </c>
      <c r="BW303" s="4" t="s">
        <v>122</v>
      </c>
      <c r="BX303" s="4" t="s">
        <v>122</v>
      </c>
      <c r="BY303" s="4" t="s">
        <v>125</v>
      </c>
      <c r="BZ303" s="4" t="s">
        <v>122</v>
      </c>
      <c r="CA303" s="3">
        <v>1</v>
      </c>
      <c r="CB303" s="3">
        <v>5</v>
      </c>
      <c r="CC303" s="3">
        <v>3</v>
      </c>
      <c r="CD303" s="3">
        <v>4.5</v>
      </c>
      <c r="CE303" s="3">
        <v>3</v>
      </c>
      <c r="CF303" s="3">
        <v>2</v>
      </c>
      <c r="CG303" s="4" t="s">
        <v>122</v>
      </c>
      <c r="CH303" s="3">
        <v>2.2999999999999998</v>
      </c>
      <c r="CI303" s="4" t="s">
        <v>122</v>
      </c>
      <c r="CJ303" s="4" t="s">
        <v>122</v>
      </c>
      <c r="CK303" s="4" t="s">
        <v>122</v>
      </c>
      <c r="CL303" s="4" t="s">
        <v>125</v>
      </c>
      <c r="CM303" s="4" t="s">
        <v>122</v>
      </c>
      <c r="CN303" s="4" t="s">
        <v>122</v>
      </c>
      <c r="CO303" s="4" t="s">
        <v>122</v>
      </c>
      <c r="CP303" s="4" t="s">
        <v>122</v>
      </c>
      <c r="CQ303" s="4" t="s">
        <v>122</v>
      </c>
      <c r="CR303" s="4" t="s">
        <v>122</v>
      </c>
      <c r="CS303" s="3">
        <v>3</v>
      </c>
      <c r="CT303" s="3">
        <v>-999</v>
      </c>
      <c r="CU303" s="42">
        <v>4</v>
      </c>
      <c r="CV303" cm="1">
        <f t="array" ref="CV303">_xlfn.IFS(CU303*1=2,1,CU303*1=4,1,TRUE,0)</f>
        <v>1</v>
      </c>
      <c r="CW303" cm="1">
        <f t="array" ref="CW303">_xlfn.IFS(CU303*1=1,1,CU303*1=2,1,TRUE,0)</f>
        <v>0</v>
      </c>
      <c r="CX303" s="3">
        <f t="shared" si="35"/>
        <v>5</v>
      </c>
      <c r="CY303" s="3">
        <f t="shared" si="36"/>
        <v>4.5</v>
      </c>
      <c r="CZ303" s="3" cm="1">
        <f t="array" ref="CZ303">_xlfn.IFS(BP303&lt;&gt;"", BP303, CV303=1,  AQ303, CV303=0,  AZ303)</f>
        <v>5</v>
      </c>
      <c r="DA303" s="36" cm="1">
        <f t="array" ref="DA303">_xlfn.IFS(BO303&lt;&gt;"", BO303, CV303=0,  AQ303, CV303=1,  AZ303)</f>
        <v>5.5</v>
      </c>
      <c r="DB303" s="36">
        <f t="shared" si="37"/>
        <v>0</v>
      </c>
      <c r="DC303" s="3">
        <f t="shared" si="38"/>
        <v>0.5</v>
      </c>
      <c r="DD303" s="3">
        <f t="shared" si="39"/>
        <v>0</v>
      </c>
      <c r="DE303" s="3">
        <f t="shared" si="42"/>
        <v>0.5</v>
      </c>
      <c r="DF303" s="3">
        <f t="shared" si="40"/>
        <v>0.5</v>
      </c>
      <c r="DG303" s="3">
        <f t="shared" si="41"/>
        <v>1</v>
      </c>
    </row>
    <row r="304" spans="1:111" x14ac:dyDescent="0.4">
      <c r="A304">
        <v>202511</v>
      </c>
      <c r="B304">
        <v>456</v>
      </c>
      <c r="C304" s="5">
        <v>45969.50854166667</v>
      </c>
      <c r="D304" s="5">
        <v>45969.51295138889</v>
      </c>
      <c r="E304" s="3">
        <v>0</v>
      </c>
      <c r="F304" s="4" t="s">
        <v>258</v>
      </c>
      <c r="G304" s="3">
        <v>98</v>
      </c>
      <c r="H304" s="3">
        <v>380</v>
      </c>
      <c r="I304" s="3">
        <v>0</v>
      </c>
      <c r="J304" s="5">
        <v>45971.528615000003</v>
      </c>
      <c r="K304" s="4" t="s">
        <v>257</v>
      </c>
      <c r="L304" s="4" t="s">
        <v>122</v>
      </c>
      <c r="M304" s="4" t="s">
        <v>122</v>
      </c>
      <c r="N304" s="4" t="s">
        <v>122</v>
      </c>
      <c r="O304" s="4" t="s">
        <v>122</v>
      </c>
      <c r="P304" s="3">
        <v>33.508000000000003</v>
      </c>
      <c r="Q304" s="3">
        <v>-112.09950000000001</v>
      </c>
      <c r="R304" s="4" t="s">
        <v>129</v>
      </c>
      <c r="S304" s="4" t="s">
        <v>124</v>
      </c>
      <c r="T304" s="3">
        <v>4</v>
      </c>
      <c r="U304" s="3">
        <v>1</v>
      </c>
      <c r="V304" s="3">
        <v>3</v>
      </c>
      <c r="W304" s="3">
        <v>2</v>
      </c>
      <c r="X304" s="3">
        <v>1</v>
      </c>
      <c r="Y304" s="3">
        <v>1</v>
      </c>
      <c r="Z304" s="3">
        <v>1</v>
      </c>
      <c r="AA304" s="3">
        <v>1</v>
      </c>
      <c r="AB304" s="4" t="s">
        <v>122</v>
      </c>
      <c r="AC304" s="4" t="s">
        <v>122</v>
      </c>
      <c r="AD304" s="4" t="s">
        <v>122</v>
      </c>
      <c r="AE304" s="4" t="s">
        <v>122</v>
      </c>
      <c r="AF304" s="4" t="s">
        <v>122</v>
      </c>
      <c r="AG304" s="3">
        <v>3</v>
      </c>
      <c r="AH304" s="3">
        <v>4.5</v>
      </c>
      <c r="AI304" s="3">
        <v>3</v>
      </c>
      <c r="AJ304" s="3">
        <v>6</v>
      </c>
      <c r="AK304" s="3">
        <v>8</v>
      </c>
      <c r="AL304" s="3">
        <v>5</v>
      </c>
      <c r="AM304" s="3">
        <v>4</v>
      </c>
      <c r="AN304" s="3">
        <v>4</v>
      </c>
      <c r="AO304" s="3">
        <v>2</v>
      </c>
      <c r="AP304" s="3">
        <v>1</v>
      </c>
      <c r="AQ304" s="3">
        <v>0</v>
      </c>
      <c r="AR304" s="4" t="s">
        <v>122</v>
      </c>
      <c r="AS304" s="3">
        <v>6</v>
      </c>
      <c r="AT304" s="3">
        <v>4</v>
      </c>
      <c r="AU304" s="3">
        <v>5</v>
      </c>
      <c r="AV304" s="3">
        <v>7</v>
      </c>
      <c r="AW304" s="3">
        <v>5</v>
      </c>
      <c r="AX304" s="3">
        <v>3</v>
      </c>
      <c r="AY304" s="3">
        <v>2</v>
      </c>
      <c r="AZ304" s="3">
        <v>4.5</v>
      </c>
      <c r="BA304" s="3">
        <v>3</v>
      </c>
      <c r="BB304" s="3">
        <v>6</v>
      </c>
      <c r="BC304" s="3">
        <v>0</v>
      </c>
      <c r="BD304" s="3">
        <v>2</v>
      </c>
      <c r="BE304" s="4" t="s">
        <v>125</v>
      </c>
      <c r="BF304" s="4" t="s">
        <v>122</v>
      </c>
      <c r="BG304" s="4" t="s">
        <v>125</v>
      </c>
      <c r="BH304" s="4" t="s">
        <v>122</v>
      </c>
      <c r="BI304" s="4" t="s">
        <v>125</v>
      </c>
      <c r="BJ304" s="4" t="s">
        <v>122</v>
      </c>
      <c r="BK304" s="4" t="s">
        <v>122</v>
      </c>
      <c r="BL304" s="4" t="s">
        <v>122</v>
      </c>
      <c r="BM304" s="4" t="s">
        <v>122</v>
      </c>
      <c r="BN304" s="3">
        <v>4</v>
      </c>
      <c r="BO304" s="4" t="s">
        <v>122</v>
      </c>
      <c r="BP304" s="4" t="s">
        <v>122</v>
      </c>
      <c r="BQ304" s="4" t="s">
        <v>122</v>
      </c>
      <c r="BR304" s="4" t="s">
        <v>122</v>
      </c>
      <c r="BS304" s="4" t="s">
        <v>122</v>
      </c>
      <c r="BT304" s="4" t="s">
        <v>122</v>
      </c>
      <c r="BU304" s="4" t="s">
        <v>122</v>
      </c>
      <c r="BV304" s="4" t="s">
        <v>122</v>
      </c>
      <c r="BW304" s="4" t="s">
        <v>122</v>
      </c>
      <c r="BX304" s="4" t="s">
        <v>122</v>
      </c>
      <c r="BY304" s="4" t="s">
        <v>122</v>
      </c>
      <c r="BZ304" s="4" t="s">
        <v>122</v>
      </c>
      <c r="CA304" s="4" t="s">
        <v>122</v>
      </c>
      <c r="CB304" s="4" t="s">
        <v>122</v>
      </c>
      <c r="CC304" s="4" t="s">
        <v>122</v>
      </c>
      <c r="CD304" s="4" t="s">
        <v>122</v>
      </c>
      <c r="CE304" s="4" t="s">
        <v>122</v>
      </c>
      <c r="CF304" s="3">
        <v>1</v>
      </c>
      <c r="CG304" s="4" t="s">
        <v>122</v>
      </c>
      <c r="CH304" s="3">
        <v>4</v>
      </c>
      <c r="CI304" s="4" t="s">
        <v>122</v>
      </c>
      <c r="CJ304" s="4" t="s">
        <v>122</v>
      </c>
      <c r="CK304" s="4" t="s">
        <v>122</v>
      </c>
      <c r="CL304" s="4" t="s">
        <v>122</v>
      </c>
      <c r="CM304" s="4" t="s">
        <v>122</v>
      </c>
      <c r="CN304" s="4" t="s">
        <v>122</v>
      </c>
      <c r="CO304" s="4" t="s">
        <v>125</v>
      </c>
      <c r="CP304" s="4" t="s">
        <v>122</v>
      </c>
      <c r="CQ304" s="4" t="s">
        <v>122</v>
      </c>
      <c r="CR304" s="4" t="s">
        <v>122</v>
      </c>
      <c r="CS304" s="3">
        <v>4</v>
      </c>
      <c r="CT304" s="3">
        <v>6</v>
      </c>
      <c r="CU304" s="42">
        <v>2</v>
      </c>
      <c r="CV304" cm="1">
        <f t="array" ref="CV304">_xlfn.IFS(CU304*1=2,1,CU304*1=4,1,TRUE,0)</f>
        <v>1</v>
      </c>
      <c r="CW304" cm="1">
        <f t="array" ref="CW304">_xlfn.IFS(CU304*1=1,1,CU304*1=2,1,TRUE,0)</f>
        <v>1</v>
      </c>
      <c r="CX304" s="3">
        <f t="shared" si="35"/>
        <v>6</v>
      </c>
      <c r="CY304" s="3">
        <f t="shared" si="36"/>
        <v>0</v>
      </c>
      <c r="CZ304" s="3" cm="1">
        <f t="array" ref="CZ304">_xlfn.IFS(BP304&lt;&gt;"", BP304, CV304=1,  AQ304, CV304=0,  AZ304)</f>
        <v>0</v>
      </c>
      <c r="DA304" s="36" cm="1">
        <f t="array" ref="DA304">_xlfn.IFS(BO304&lt;&gt;"", BO304, CV304=0,  AQ304, CV304=1,  AZ304)</f>
        <v>4.5</v>
      </c>
      <c r="DB304" s="36">
        <f t="shared" si="37"/>
        <v>-4.5</v>
      </c>
      <c r="DC304" s="3">
        <f t="shared" si="38"/>
        <v>1.5</v>
      </c>
      <c r="DD304" s="3">
        <f t="shared" si="39"/>
        <v>-4.5</v>
      </c>
      <c r="DE304" s="3">
        <f t="shared" si="42"/>
        <v>-4.5</v>
      </c>
      <c r="DF304" s="3">
        <f t="shared" si="40"/>
        <v>0</v>
      </c>
      <c r="DG304" s="3">
        <f t="shared" si="41"/>
        <v>1.5</v>
      </c>
    </row>
    <row r="305" spans="1:112" x14ac:dyDescent="0.4">
      <c r="A305">
        <v>202511</v>
      </c>
      <c r="B305">
        <v>123</v>
      </c>
      <c r="C305" s="1">
        <v>45969.508576388886</v>
      </c>
      <c r="D305" s="1">
        <v>45969.512476851851</v>
      </c>
      <c r="E305">
        <v>0</v>
      </c>
      <c r="F305" s="2" t="s">
        <v>215</v>
      </c>
      <c r="G305">
        <v>100</v>
      </c>
      <c r="H305">
        <v>336</v>
      </c>
      <c r="I305">
        <v>1</v>
      </c>
      <c r="J305" s="1">
        <v>45969.512488460648</v>
      </c>
      <c r="K305" s="2" t="s">
        <v>216</v>
      </c>
      <c r="L305" s="2" t="s">
        <v>122</v>
      </c>
      <c r="M305" s="2" t="s">
        <v>122</v>
      </c>
      <c r="N305" s="2" t="s">
        <v>122</v>
      </c>
      <c r="O305" s="2" t="s">
        <v>122</v>
      </c>
      <c r="P305">
        <v>33.508000000000003</v>
      </c>
      <c r="Q305">
        <v>-112.09950000000001</v>
      </c>
      <c r="R305" s="2" t="s">
        <v>129</v>
      </c>
      <c r="S305" s="2" t="s">
        <v>124</v>
      </c>
      <c r="T305">
        <v>4</v>
      </c>
      <c r="U305">
        <v>1</v>
      </c>
      <c r="V305">
        <v>5</v>
      </c>
      <c r="W305">
        <v>2</v>
      </c>
      <c r="X305">
        <v>1</v>
      </c>
      <c r="Y305">
        <v>2</v>
      </c>
      <c r="Z305">
        <v>2</v>
      </c>
      <c r="AA305">
        <v>1</v>
      </c>
      <c r="AB305" s="2" t="s">
        <v>122</v>
      </c>
      <c r="AC305" s="2" t="s">
        <v>122</v>
      </c>
      <c r="AD305" s="2" t="s">
        <v>122</v>
      </c>
      <c r="AE305" s="2" t="s">
        <v>122</v>
      </c>
      <c r="AF305" s="2" t="s">
        <v>122</v>
      </c>
      <c r="AG305">
        <v>2</v>
      </c>
      <c r="AH305">
        <v>2</v>
      </c>
      <c r="AI305">
        <v>2</v>
      </c>
      <c r="AJ305">
        <v>6</v>
      </c>
      <c r="AK305">
        <v>8</v>
      </c>
      <c r="AL305">
        <v>7</v>
      </c>
      <c r="AM305">
        <v>7</v>
      </c>
      <c r="AN305">
        <v>4</v>
      </c>
      <c r="AO305">
        <v>2</v>
      </c>
      <c r="AP305">
        <v>2</v>
      </c>
      <c r="AQ305" s="2" t="s">
        <v>122</v>
      </c>
      <c r="AR305" s="2" t="s">
        <v>122</v>
      </c>
      <c r="AS305">
        <v>3</v>
      </c>
      <c r="AT305">
        <v>8</v>
      </c>
      <c r="AU305">
        <v>6</v>
      </c>
      <c r="AV305">
        <v>3</v>
      </c>
      <c r="AW305">
        <v>5</v>
      </c>
      <c r="AX305">
        <v>1</v>
      </c>
      <c r="AY305">
        <v>2</v>
      </c>
      <c r="AZ305" s="2" t="s">
        <v>122</v>
      </c>
      <c r="BA305" s="2" t="s">
        <v>122</v>
      </c>
      <c r="BB305" s="2" t="s">
        <v>122</v>
      </c>
      <c r="BC305" s="2" t="s">
        <v>122</v>
      </c>
      <c r="BD305" s="2" t="s">
        <v>122</v>
      </c>
      <c r="BE305" s="2" t="s">
        <v>122</v>
      </c>
      <c r="BF305" s="2" t="s">
        <v>122</v>
      </c>
      <c r="BG305" s="2" t="s">
        <v>122</v>
      </c>
      <c r="BH305" s="2" t="s">
        <v>122</v>
      </c>
      <c r="BI305" s="2" t="s">
        <v>122</v>
      </c>
      <c r="BJ305" s="2" t="s">
        <v>122</v>
      </c>
      <c r="BK305" s="2" t="s">
        <v>122</v>
      </c>
      <c r="BL305" s="2" t="s">
        <v>122</v>
      </c>
      <c r="BM305" s="2" t="s">
        <v>122</v>
      </c>
      <c r="BN305" s="2" t="s">
        <v>122</v>
      </c>
      <c r="BO305">
        <v>4.5</v>
      </c>
      <c r="BP305">
        <v>4</v>
      </c>
      <c r="BQ305">
        <v>2</v>
      </c>
      <c r="BR305" s="2" t="s">
        <v>125</v>
      </c>
      <c r="BS305" s="2" t="s">
        <v>122</v>
      </c>
      <c r="BT305" s="2" t="s">
        <v>122</v>
      </c>
      <c r="BU305" s="2" t="s">
        <v>122</v>
      </c>
      <c r="BV305" s="2" t="s">
        <v>122</v>
      </c>
      <c r="BW305" s="2" t="s">
        <v>122</v>
      </c>
      <c r="BX305" s="2" t="s">
        <v>122</v>
      </c>
      <c r="BY305" s="2" t="s">
        <v>122</v>
      </c>
      <c r="BZ305" s="2" t="s">
        <v>122</v>
      </c>
      <c r="CA305" s="2" t="s">
        <v>122</v>
      </c>
      <c r="CB305">
        <v>0</v>
      </c>
      <c r="CC305" s="2" t="s">
        <v>122</v>
      </c>
      <c r="CD305">
        <v>2</v>
      </c>
      <c r="CE305">
        <v>2</v>
      </c>
      <c r="CF305">
        <v>2</v>
      </c>
      <c r="CG305" s="2" t="s">
        <v>122</v>
      </c>
      <c r="CH305">
        <v>4</v>
      </c>
      <c r="CI305" s="2" t="s">
        <v>122</v>
      </c>
      <c r="CJ305" s="2" t="s">
        <v>122</v>
      </c>
      <c r="CK305" s="2" t="s">
        <v>122</v>
      </c>
      <c r="CL305" s="2" t="s">
        <v>125</v>
      </c>
      <c r="CM305" s="2" t="s">
        <v>122</v>
      </c>
      <c r="CN305" s="2" t="s">
        <v>122</v>
      </c>
      <c r="CO305" s="2" t="s">
        <v>122</v>
      </c>
      <c r="CP305" s="2" t="s">
        <v>122</v>
      </c>
      <c r="CQ305" s="2" t="s">
        <v>122</v>
      </c>
      <c r="CR305" s="2" t="s">
        <v>122</v>
      </c>
      <c r="CS305">
        <v>4</v>
      </c>
      <c r="CT305">
        <v>6</v>
      </c>
      <c r="CU305" s="43">
        <v>3</v>
      </c>
      <c r="CV305" cm="1">
        <f t="array" ref="CV305">_xlfn.IFS(CU305*1=2,1,CU305*1=4,1,TRUE,0)</f>
        <v>0</v>
      </c>
      <c r="CW305" cm="1">
        <f t="array" ref="CW305">_xlfn.IFS(CU305*1=1,1,CU305*1=2,1,TRUE,0)</f>
        <v>0</v>
      </c>
      <c r="CX305" s="3">
        <f t="shared" si="35"/>
        <v>0</v>
      </c>
      <c r="CY305" s="3">
        <f t="shared" si="36"/>
        <v>2</v>
      </c>
      <c r="CZ305" s="3" cm="1">
        <f t="array" ref="CZ305">_xlfn.IFS(BP305&lt;&gt;"", BP305, CV305=1,  AQ305, CV305=0,  AZ305)</f>
        <v>4</v>
      </c>
      <c r="DA305" s="36" cm="1">
        <f t="array" ref="DA305">_xlfn.IFS(BO305&lt;&gt;"", BO305, CV305=0,  AQ305, CV305=1,  AZ305)</f>
        <v>4.5</v>
      </c>
      <c r="DB305" s="36">
        <f t="shared" si="37"/>
        <v>0</v>
      </c>
      <c r="DC305" s="3">
        <f t="shared" si="38"/>
        <v>-2</v>
      </c>
      <c r="DD305" s="3">
        <f t="shared" si="39"/>
        <v>0</v>
      </c>
      <c r="DE305" s="3">
        <f t="shared" si="42"/>
        <v>2</v>
      </c>
      <c r="DF305" s="3">
        <f t="shared" si="40"/>
        <v>-2</v>
      </c>
      <c r="DG305" s="3">
        <f t="shared" si="41"/>
        <v>2.5</v>
      </c>
    </row>
    <row r="306" spans="1:112" x14ac:dyDescent="0.4">
      <c r="A306">
        <v>202511</v>
      </c>
      <c r="B306">
        <v>123</v>
      </c>
      <c r="C306" s="1">
        <v>45969.509236111109</v>
      </c>
      <c r="D306" s="1">
        <v>45969.512662037036</v>
      </c>
      <c r="E306">
        <v>0</v>
      </c>
      <c r="F306" s="2" t="s">
        <v>217</v>
      </c>
      <c r="G306">
        <v>100</v>
      </c>
      <c r="H306">
        <v>296</v>
      </c>
      <c r="I306">
        <v>1</v>
      </c>
      <c r="J306" s="1">
        <v>45969.512674606478</v>
      </c>
      <c r="K306" s="2" t="s">
        <v>218</v>
      </c>
      <c r="L306" s="2" t="s">
        <v>122</v>
      </c>
      <c r="M306" s="2" t="s">
        <v>122</v>
      </c>
      <c r="N306" s="2" t="s">
        <v>122</v>
      </c>
      <c r="O306" s="2" t="s">
        <v>122</v>
      </c>
      <c r="P306">
        <v>36.128999999999998</v>
      </c>
      <c r="Q306">
        <v>-115.2765</v>
      </c>
      <c r="R306" s="2" t="s">
        <v>129</v>
      </c>
      <c r="S306" s="2" t="s">
        <v>124</v>
      </c>
      <c r="T306">
        <v>4</v>
      </c>
      <c r="U306">
        <v>1</v>
      </c>
      <c r="V306">
        <v>3</v>
      </c>
      <c r="W306">
        <v>3</v>
      </c>
      <c r="X306">
        <v>1</v>
      </c>
      <c r="Y306">
        <v>1</v>
      </c>
      <c r="Z306">
        <v>1</v>
      </c>
      <c r="AA306">
        <v>2</v>
      </c>
      <c r="AB306" s="2" t="s">
        <v>122</v>
      </c>
      <c r="AC306" s="2" t="s">
        <v>122</v>
      </c>
      <c r="AD306" s="2" t="s">
        <v>122</v>
      </c>
      <c r="AE306" s="2" t="s">
        <v>122</v>
      </c>
      <c r="AF306" s="2" t="s">
        <v>122</v>
      </c>
      <c r="AG306">
        <v>3</v>
      </c>
      <c r="AH306">
        <v>6</v>
      </c>
      <c r="AI306">
        <v>2</v>
      </c>
      <c r="AJ306">
        <v>7</v>
      </c>
      <c r="AK306">
        <v>8</v>
      </c>
      <c r="AL306">
        <v>7</v>
      </c>
      <c r="AM306">
        <v>7</v>
      </c>
      <c r="AN306">
        <v>7</v>
      </c>
      <c r="AO306">
        <v>2</v>
      </c>
      <c r="AP306">
        <v>3</v>
      </c>
      <c r="AQ306" s="2" t="s">
        <v>122</v>
      </c>
      <c r="AR306" s="2" t="s">
        <v>122</v>
      </c>
      <c r="AS306">
        <v>4</v>
      </c>
      <c r="AT306">
        <v>7</v>
      </c>
      <c r="AU306">
        <v>4</v>
      </c>
      <c r="AV306">
        <v>3</v>
      </c>
      <c r="AW306">
        <v>6</v>
      </c>
      <c r="AX306">
        <v>2</v>
      </c>
      <c r="AY306">
        <v>4</v>
      </c>
      <c r="AZ306" s="2" t="s">
        <v>122</v>
      </c>
      <c r="BA306" s="2" t="s">
        <v>122</v>
      </c>
      <c r="BB306" s="2" t="s">
        <v>122</v>
      </c>
      <c r="BC306" s="2" t="s">
        <v>122</v>
      </c>
      <c r="BD306" s="2" t="s">
        <v>122</v>
      </c>
      <c r="BE306" s="2" t="s">
        <v>122</v>
      </c>
      <c r="BF306" s="2" t="s">
        <v>122</v>
      </c>
      <c r="BG306" s="2" t="s">
        <v>122</v>
      </c>
      <c r="BH306" s="2" t="s">
        <v>122</v>
      </c>
      <c r="BI306" s="2" t="s">
        <v>122</v>
      </c>
      <c r="BJ306" s="2" t="s">
        <v>122</v>
      </c>
      <c r="BK306" s="2" t="s">
        <v>122</v>
      </c>
      <c r="BL306" s="2" t="s">
        <v>122</v>
      </c>
      <c r="BM306" s="2" t="s">
        <v>122</v>
      </c>
      <c r="BN306" s="2" t="s">
        <v>122</v>
      </c>
      <c r="BO306">
        <v>6</v>
      </c>
      <c r="BP306">
        <v>6</v>
      </c>
      <c r="BQ306">
        <v>3</v>
      </c>
      <c r="BR306" s="2" t="s">
        <v>125</v>
      </c>
      <c r="BS306" s="2" t="s">
        <v>122</v>
      </c>
      <c r="BT306" s="2" t="s">
        <v>122</v>
      </c>
      <c r="BU306" s="2" t="s">
        <v>122</v>
      </c>
      <c r="BV306" s="2" t="s">
        <v>122</v>
      </c>
      <c r="BW306" s="2" t="s">
        <v>122</v>
      </c>
      <c r="BX306" s="2" t="s">
        <v>122</v>
      </c>
      <c r="BY306" s="2" t="s">
        <v>122</v>
      </c>
      <c r="BZ306" s="2" t="s">
        <v>122</v>
      </c>
      <c r="CA306" s="2" t="s">
        <v>122</v>
      </c>
      <c r="CB306">
        <v>6</v>
      </c>
      <c r="CC306">
        <v>3</v>
      </c>
      <c r="CD306">
        <v>6</v>
      </c>
      <c r="CE306">
        <v>3</v>
      </c>
      <c r="CF306">
        <v>1</v>
      </c>
      <c r="CG306" s="2" t="s">
        <v>122</v>
      </c>
      <c r="CH306">
        <v>2.2999999999999998</v>
      </c>
      <c r="CI306" s="2" t="s">
        <v>122</v>
      </c>
      <c r="CJ306" s="2" t="s">
        <v>122</v>
      </c>
      <c r="CK306" s="2" t="s">
        <v>122</v>
      </c>
      <c r="CL306" s="2" t="s">
        <v>122</v>
      </c>
      <c r="CM306" s="2" t="s">
        <v>122</v>
      </c>
      <c r="CN306" s="2" t="s">
        <v>122</v>
      </c>
      <c r="CO306" s="2" t="s">
        <v>125</v>
      </c>
      <c r="CP306" s="2" t="s">
        <v>122</v>
      </c>
      <c r="CQ306" s="2" t="s">
        <v>122</v>
      </c>
      <c r="CR306" s="2" t="s">
        <v>122</v>
      </c>
      <c r="CS306">
        <v>4</v>
      </c>
      <c r="CT306">
        <v>4</v>
      </c>
      <c r="CU306" s="43">
        <v>3</v>
      </c>
      <c r="CV306" cm="1">
        <f t="array" ref="CV306">_xlfn.IFS(CU306*1=2,1,CU306*1=4,1,TRUE,0)</f>
        <v>0</v>
      </c>
      <c r="CW306" cm="1">
        <f t="array" ref="CW306">_xlfn.IFS(CU306*1=1,1,CU306*1=2,1,TRUE,0)</f>
        <v>0</v>
      </c>
      <c r="CX306" s="3">
        <f t="shared" si="35"/>
        <v>6</v>
      </c>
      <c r="CY306" s="3">
        <f t="shared" si="36"/>
        <v>6</v>
      </c>
      <c r="CZ306" s="3" cm="1">
        <f t="array" ref="CZ306">_xlfn.IFS(BP306&lt;&gt;"", BP306, CV306=1,  AQ306, CV306=0,  AZ306)</f>
        <v>6</v>
      </c>
      <c r="DA306" s="36" cm="1">
        <f t="array" ref="DA306">_xlfn.IFS(BO306&lt;&gt;"", BO306, CV306=0,  AQ306, CV306=1,  AZ306)</f>
        <v>6</v>
      </c>
      <c r="DB306" s="36">
        <f t="shared" si="37"/>
        <v>0</v>
      </c>
      <c r="DC306" s="3">
        <f t="shared" si="38"/>
        <v>0</v>
      </c>
      <c r="DD306" s="3">
        <f t="shared" si="39"/>
        <v>0</v>
      </c>
      <c r="DE306" s="3">
        <f t="shared" si="42"/>
        <v>0</v>
      </c>
      <c r="DF306" s="3">
        <f t="shared" si="40"/>
        <v>0</v>
      </c>
      <c r="DG306" s="3">
        <f t="shared" si="41"/>
        <v>0</v>
      </c>
    </row>
    <row r="307" spans="1:112" x14ac:dyDescent="0.4">
      <c r="A307">
        <v>202511</v>
      </c>
      <c r="B307">
        <v>123</v>
      </c>
      <c r="C307" s="1">
        <v>45969.509282407409</v>
      </c>
      <c r="D307" s="1">
        <v>45969.513090277775</v>
      </c>
      <c r="E307">
        <v>0</v>
      </c>
      <c r="F307" s="2" t="s">
        <v>219</v>
      </c>
      <c r="G307">
        <v>100</v>
      </c>
      <c r="H307">
        <v>328</v>
      </c>
      <c r="I307">
        <v>1</v>
      </c>
      <c r="J307" s="1">
        <v>45969.513100717595</v>
      </c>
      <c r="K307" s="2" t="s">
        <v>220</v>
      </c>
      <c r="L307" s="2" t="s">
        <v>122</v>
      </c>
      <c r="M307" s="2" t="s">
        <v>122</v>
      </c>
      <c r="N307" s="2" t="s">
        <v>122</v>
      </c>
      <c r="O307" s="2" t="s">
        <v>122</v>
      </c>
      <c r="P307">
        <v>32.250300000000003</v>
      </c>
      <c r="Q307">
        <v>-110.94499999999999</v>
      </c>
      <c r="R307" s="2" t="s">
        <v>129</v>
      </c>
      <c r="S307" s="2" t="s">
        <v>124</v>
      </c>
      <c r="T307">
        <v>4</v>
      </c>
      <c r="U307">
        <v>1</v>
      </c>
      <c r="V307">
        <v>2</v>
      </c>
      <c r="W307">
        <v>3</v>
      </c>
      <c r="X307">
        <v>1</v>
      </c>
      <c r="Y307">
        <v>1</v>
      </c>
      <c r="Z307">
        <v>1</v>
      </c>
      <c r="AA307">
        <v>1</v>
      </c>
      <c r="AB307" s="2" t="s">
        <v>122</v>
      </c>
      <c r="AC307" s="2" t="s">
        <v>122</v>
      </c>
      <c r="AD307" s="2" t="s">
        <v>122</v>
      </c>
      <c r="AE307" s="2" t="s">
        <v>122</v>
      </c>
      <c r="AF307" s="2" t="s">
        <v>122</v>
      </c>
      <c r="AG307">
        <v>3</v>
      </c>
      <c r="AH307">
        <v>0</v>
      </c>
      <c r="AI307" s="2" t="s">
        <v>122</v>
      </c>
      <c r="AJ307">
        <v>7</v>
      </c>
      <c r="AK307">
        <v>7</v>
      </c>
      <c r="AL307">
        <v>6</v>
      </c>
      <c r="AM307">
        <v>7</v>
      </c>
      <c r="AN307">
        <v>7</v>
      </c>
      <c r="AO307">
        <v>3</v>
      </c>
      <c r="AP307">
        <v>3</v>
      </c>
      <c r="AQ307">
        <v>0</v>
      </c>
      <c r="AR307" s="2" t="s">
        <v>122</v>
      </c>
      <c r="AS307">
        <v>5</v>
      </c>
      <c r="AT307">
        <v>6</v>
      </c>
      <c r="AU307">
        <v>6</v>
      </c>
      <c r="AV307">
        <v>5</v>
      </c>
      <c r="AW307">
        <v>5</v>
      </c>
      <c r="AX307">
        <v>4</v>
      </c>
      <c r="AY307">
        <v>4</v>
      </c>
      <c r="AZ307">
        <v>0</v>
      </c>
      <c r="BA307" s="2" t="s">
        <v>122</v>
      </c>
      <c r="BB307">
        <v>0</v>
      </c>
      <c r="BC307">
        <v>0</v>
      </c>
      <c r="BD307">
        <v>3</v>
      </c>
      <c r="BE307" s="2" t="s">
        <v>125</v>
      </c>
      <c r="BF307" s="2" t="s">
        <v>122</v>
      </c>
      <c r="BG307" s="2" t="s">
        <v>125</v>
      </c>
      <c r="BH307" s="2" t="s">
        <v>122</v>
      </c>
      <c r="BI307" s="2" t="s">
        <v>125</v>
      </c>
      <c r="BJ307" s="2" t="s">
        <v>122</v>
      </c>
      <c r="BK307" s="2" t="s">
        <v>122</v>
      </c>
      <c r="BL307" s="2" t="s">
        <v>122</v>
      </c>
      <c r="BM307" s="2" t="s">
        <v>122</v>
      </c>
      <c r="BN307">
        <v>4</v>
      </c>
      <c r="BO307" s="2" t="s">
        <v>122</v>
      </c>
      <c r="BP307" s="2" t="s">
        <v>122</v>
      </c>
      <c r="BQ307" s="2" t="s">
        <v>122</v>
      </c>
      <c r="BR307" s="2" t="s">
        <v>122</v>
      </c>
      <c r="BS307" s="2" t="s">
        <v>122</v>
      </c>
      <c r="BT307" s="2" t="s">
        <v>122</v>
      </c>
      <c r="BU307" s="2" t="s">
        <v>122</v>
      </c>
      <c r="BV307" s="2" t="s">
        <v>122</v>
      </c>
      <c r="BW307" s="2" t="s">
        <v>122</v>
      </c>
      <c r="BX307" s="2" t="s">
        <v>122</v>
      </c>
      <c r="BY307" s="2" t="s">
        <v>122</v>
      </c>
      <c r="BZ307" s="2" t="s">
        <v>122</v>
      </c>
      <c r="CA307" s="2" t="s">
        <v>122</v>
      </c>
      <c r="CB307" s="2" t="s">
        <v>122</v>
      </c>
      <c r="CC307" s="2" t="s">
        <v>122</v>
      </c>
      <c r="CD307" s="2" t="s">
        <v>122</v>
      </c>
      <c r="CE307" s="2" t="s">
        <v>122</v>
      </c>
      <c r="CF307">
        <v>1</v>
      </c>
      <c r="CG307" s="2" t="s">
        <v>122</v>
      </c>
      <c r="CH307">
        <v>2.2999999999999998</v>
      </c>
      <c r="CI307" s="2" t="s">
        <v>122</v>
      </c>
      <c r="CJ307" s="2" t="s">
        <v>122</v>
      </c>
      <c r="CK307" s="2" t="s">
        <v>122</v>
      </c>
      <c r="CL307" s="2" t="s">
        <v>122</v>
      </c>
      <c r="CM307" s="2" t="s">
        <v>122</v>
      </c>
      <c r="CN307" s="2" t="s">
        <v>122</v>
      </c>
      <c r="CO307" s="2" t="s">
        <v>125</v>
      </c>
      <c r="CP307" s="2" t="s">
        <v>122</v>
      </c>
      <c r="CQ307" s="2" t="s">
        <v>122</v>
      </c>
      <c r="CR307" s="2" t="s">
        <v>122</v>
      </c>
      <c r="CS307">
        <v>5</v>
      </c>
      <c r="CT307">
        <v>4</v>
      </c>
      <c r="CU307" s="43">
        <v>1</v>
      </c>
      <c r="CV307" cm="1">
        <f t="array" ref="CV307">_xlfn.IFS(CU307*1=2,1,CU307*1=4,1,TRUE,0)</f>
        <v>0</v>
      </c>
      <c r="CW307" cm="1">
        <f t="array" ref="CW307">_xlfn.IFS(CU307*1=1,1,CU307*1=2,1,TRUE,0)</f>
        <v>1</v>
      </c>
      <c r="CX307" s="3">
        <f t="shared" si="35"/>
        <v>0</v>
      </c>
      <c r="CY307" s="3">
        <f t="shared" si="36"/>
        <v>0</v>
      </c>
      <c r="CZ307" s="3" cm="1">
        <f t="array" ref="CZ307">_xlfn.IFS(BP307&lt;&gt;"", BP307, CV307=1,  AQ307, CV307=0,  AZ307)</f>
        <v>0</v>
      </c>
      <c r="DA307" s="36" cm="1">
        <f t="array" ref="DA307">_xlfn.IFS(BO307&lt;&gt;"", BO307, CV307=0,  AQ307, CV307=1,  AZ307)</f>
        <v>0</v>
      </c>
      <c r="DB307" s="36">
        <f t="shared" si="37"/>
        <v>0</v>
      </c>
      <c r="DC307" s="3">
        <f t="shared" si="38"/>
        <v>0</v>
      </c>
      <c r="DD307" s="3">
        <f t="shared" si="39"/>
        <v>0</v>
      </c>
      <c r="DE307" s="3">
        <f t="shared" si="42"/>
        <v>0</v>
      </c>
      <c r="DF307" s="3">
        <f t="shared" si="40"/>
        <v>0</v>
      </c>
      <c r="DG307" s="3">
        <f t="shared" si="41"/>
        <v>0</v>
      </c>
    </row>
    <row r="308" spans="1:112" x14ac:dyDescent="0.4">
      <c r="A308">
        <v>202511</v>
      </c>
      <c r="B308">
        <v>456</v>
      </c>
      <c r="C308" s="5">
        <v>45969.513194444444</v>
      </c>
      <c r="D308" s="5">
        <v>45969.518599537034</v>
      </c>
      <c r="E308" s="3">
        <v>0</v>
      </c>
      <c r="F308" s="4" t="s">
        <v>295</v>
      </c>
      <c r="G308" s="3">
        <v>100</v>
      </c>
      <c r="H308" s="3">
        <v>466</v>
      </c>
      <c r="I308" s="3">
        <v>1</v>
      </c>
      <c r="J308" s="5">
        <v>45969.518604155091</v>
      </c>
      <c r="K308" s="4" t="s">
        <v>294</v>
      </c>
      <c r="L308" s="4" t="s">
        <v>122</v>
      </c>
      <c r="M308" s="4" t="s">
        <v>122</v>
      </c>
      <c r="N308" s="4" t="s">
        <v>122</v>
      </c>
      <c r="O308" s="4" t="s">
        <v>122</v>
      </c>
      <c r="P308" s="3">
        <v>32.194299999999998</v>
      </c>
      <c r="Q308" s="3">
        <v>-110.97669999999999</v>
      </c>
      <c r="R308" s="4" t="s">
        <v>129</v>
      </c>
      <c r="S308" s="4" t="s">
        <v>124</v>
      </c>
      <c r="T308" s="3">
        <v>4</v>
      </c>
      <c r="U308" s="3">
        <v>0</v>
      </c>
      <c r="V308" s="3">
        <v>4</v>
      </c>
      <c r="W308" s="3">
        <v>1</v>
      </c>
      <c r="X308" s="3">
        <v>1</v>
      </c>
      <c r="Y308" s="3">
        <v>1</v>
      </c>
      <c r="Z308" s="3">
        <v>1</v>
      </c>
      <c r="AA308" s="3">
        <v>1</v>
      </c>
      <c r="AB308" s="4" t="s">
        <v>122</v>
      </c>
      <c r="AC308" s="4" t="s">
        <v>122</v>
      </c>
      <c r="AD308" s="4" t="s">
        <v>122</v>
      </c>
      <c r="AE308" s="4" t="s">
        <v>122</v>
      </c>
      <c r="AF308" s="4" t="s">
        <v>122</v>
      </c>
      <c r="AG308" s="3">
        <v>2</v>
      </c>
      <c r="AH308" s="3">
        <v>0</v>
      </c>
      <c r="AI308" s="4" t="s">
        <v>122</v>
      </c>
      <c r="AJ308" s="3">
        <v>8</v>
      </c>
      <c r="AK308" s="3">
        <v>8</v>
      </c>
      <c r="AL308" s="3">
        <v>8</v>
      </c>
      <c r="AM308" s="3">
        <v>8</v>
      </c>
      <c r="AN308" s="3">
        <v>8</v>
      </c>
      <c r="AO308" s="3">
        <v>4</v>
      </c>
      <c r="AP308" s="3">
        <v>4</v>
      </c>
      <c r="AQ308" s="4" t="s">
        <v>122</v>
      </c>
      <c r="AR308" s="4" t="s">
        <v>122</v>
      </c>
      <c r="AS308" s="3">
        <v>4</v>
      </c>
      <c r="AT308" s="3">
        <v>5</v>
      </c>
      <c r="AU308" s="3">
        <v>3</v>
      </c>
      <c r="AV308" s="3">
        <v>4</v>
      </c>
      <c r="AW308" s="3">
        <v>5</v>
      </c>
      <c r="AX308" s="3">
        <v>2</v>
      </c>
      <c r="AY308" s="3">
        <v>2</v>
      </c>
      <c r="AZ308" s="4" t="s">
        <v>122</v>
      </c>
      <c r="BA308" s="4" t="s">
        <v>122</v>
      </c>
      <c r="BB308" s="4" t="s">
        <v>122</v>
      </c>
      <c r="BC308" s="4" t="s">
        <v>122</v>
      </c>
      <c r="BD308" s="4" t="s">
        <v>122</v>
      </c>
      <c r="BE308" s="4" t="s">
        <v>122</v>
      </c>
      <c r="BF308" s="4" t="s">
        <v>122</v>
      </c>
      <c r="BG308" s="4" t="s">
        <v>122</v>
      </c>
      <c r="BH308" s="4" t="s">
        <v>122</v>
      </c>
      <c r="BI308" s="4" t="s">
        <v>122</v>
      </c>
      <c r="BJ308" s="4" t="s">
        <v>122</v>
      </c>
      <c r="BK308" s="4" t="s">
        <v>122</v>
      </c>
      <c r="BL308" s="4" t="s">
        <v>122</v>
      </c>
      <c r="BM308" s="4" t="s">
        <v>122</v>
      </c>
      <c r="BN308" s="4" t="s">
        <v>122</v>
      </c>
      <c r="BO308" s="3">
        <v>0</v>
      </c>
      <c r="BP308" s="3">
        <v>0</v>
      </c>
      <c r="BQ308" s="3">
        <v>3</v>
      </c>
      <c r="BR308" s="4" t="s">
        <v>125</v>
      </c>
      <c r="BS308" s="4" t="s">
        <v>122</v>
      </c>
      <c r="BT308" s="4" t="s">
        <v>122</v>
      </c>
      <c r="BU308" s="4" t="s">
        <v>122</v>
      </c>
      <c r="BV308" s="4" t="s">
        <v>122</v>
      </c>
      <c r="BW308" s="4" t="s">
        <v>122</v>
      </c>
      <c r="BX308" s="4" t="s">
        <v>122</v>
      </c>
      <c r="BY308" s="4" t="s">
        <v>122</v>
      </c>
      <c r="BZ308" s="4" t="s">
        <v>122</v>
      </c>
      <c r="CA308" s="3">
        <v>1</v>
      </c>
      <c r="CB308" s="3">
        <v>2</v>
      </c>
      <c r="CC308" s="3">
        <v>3</v>
      </c>
      <c r="CD308" s="3">
        <v>7</v>
      </c>
      <c r="CE308" s="3">
        <v>3</v>
      </c>
      <c r="CF308" s="3">
        <v>2</v>
      </c>
      <c r="CG308" s="4" t="s">
        <v>122</v>
      </c>
      <c r="CH308" s="3">
        <v>6</v>
      </c>
      <c r="CI308" s="4" t="s">
        <v>122</v>
      </c>
      <c r="CJ308" s="4" t="s">
        <v>122</v>
      </c>
      <c r="CK308" s="4" t="s">
        <v>122</v>
      </c>
      <c r="CL308" s="4" t="s">
        <v>122</v>
      </c>
      <c r="CM308" s="4" t="s">
        <v>122</v>
      </c>
      <c r="CN308" s="4" t="s">
        <v>122</v>
      </c>
      <c r="CO308" s="4" t="s">
        <v>125</v>
      </c>
      <c r="CP308" s="4" t="s">
        <v>122</v>
      </c>
      <c r="CQ308" s="4" t="s">
        <v>122</v>
      </c>
      <c r="CR308" s="4" t="s">
        <v>122</v>
      </c>
      <c r="CS308" s="3">
        <v>4</v>
      </c>
      <c r="CT308" s="3">
        <v>5</v>
      </c>
      <c r="CU308" s="42">
        <v>4</v>
      </c>
      <c r="CV308" cm="1">
        <f t="array" ref="CV308">_xlfn.IFS(CU308*1=2,1,CU308*1=4,1,TRUE,0)</f>
        <v>1</v>
      </c>
      <c r="CW308" cm="1">
        <f t="array" ref="CW308">_xlfn.IFS(CU308*1=1,1,CU308*1=2,1,TRUE,0)</f>
        <v>0</v>
      </c>
      <c r="CX308" s="3">
        <f t="shared" si="35"/>
        <v>2</v>
      </c>
      <c r="CY308" s="3">
        <f t="shared" si="36"/>
        <v>7</v>
      </c>
      <c r="CZ308" s="3" cm="1">
        <f t="array" ref="CZ308">_xlfn.IFS(BP308&lt;&gt;"", BP308, CV308=1,  AQ308, CV308=0,  AZ308)</f>
        <v>0</v>
      </c>
      <c r="DA308" s="36" cm="1">
        <f t="array" ref="DA308">_xlfn.IFS(BO308&lt;&gt;"", BO308, CV308=0,  AQ308, CV308=1,  AZ308)</f>
        <v>0</v>
      </c>
      <c r="DB308" s="36">
        <f t="shared" si="37"/>
        <v>7</v>
      </c>
      <c r="DC308" s="3">
        <f t="shared" si="38"/>
        <v>2</v>
      </c>
      <c r="DD308" s="3">
        <f t="shared" si="39"/>
        <v>7</v>
      </c>
      <c r="DE308" s="3">
        <f t="shared" si="42"/>
        <v>0</v>
      </c>
      <c r="DF308" s="3">
        <f t="shared" si="40"/>
        <v>2</v>
      </c>
      <c r="DG308" s="3">
        <f t="shared" si="41"/>
        <v>0</v>
      </c>
    </row>
    <row r="309" spans="1:112" x14ac:dyDescent="0.4">
      <c r="A309">
        <v>202511</v>
      </c>
      <c r="B309">
        <v>456</v>
      </c>
      <c r="C309" s="5">
        <v>45969.513344907406</v>
      </c>
      <c r="D309" s="5">
        <v>45969.518460648149</v>
      </c>
      <c r="E309" s="3">
        <v>0</v>
      </c>
      <c r="F309" s="4" t="s">
        <v>265</v>
      </c>
      <c r="G309" s="3">
        <v>98</v>
      </c>
      <c r="H309" s="3">
        <v>441</v>
      </c>
      <c r="I309" s="3">
        <v>0</v>
      </c>
      <c r="J309" s="5">
        <v>45971.528598113429</v>
      </c>
      <c r="K309" s="4" t="s">
        <v>264</v>
      </c>
      <c r="L309" s="4" t="s">
        <v>122</v>
      </c>
      <c r="M309" s="4" t="s">
        <v>122</v>
      </c>
      <c r="N309" s="4" t="s">
        <v>122</v>
      </c>
      <c r="O309" s="4" t="s">
        <v>122</v>
      </c>
      <c r="P309" s="3">
        <v>33.508000000000003</v>
      </c>
      <c r="Q309" s="3">
        <v>-112.09950000000001</v>
      </c>
      <c r="R309" s="4" t="s">
        <v>129</v>
      </c>
      <c r="S309" s="4" t="s">
        <v>124</v>
      </c>
      <c r="T309" s="3">
        <v>4</v>
      </c>
      <c r="U309" s="3">
        <v>1</v>
      </c>
      <c r="V309" s="3">
        <v>3</v>
      </c>
      <c r="W309" s="3">
        <v>1</v>
      </c>
      <c r="X309" s="3">
        <v>1</v>
      </c>
      <c r="Y309" s="3">
        <v>1</v>
      </c>
      <c r="Z309" s="3">
        <v>1</v>
      </c>
      <c r="AA309" s="3">
        <v>1</v>
      </c>
      <c r="AB309" s="4" t="s">
        <v>122</v>
      </c>
      <c r="AC309" s="4" t="s">
        <v>122</v>
      </c>
      <c r="AD309" s="4" t="s">
        <v>122</v>
      </c>
      <c r="AE309" s="4" t="s">
        <v>122</v>
      </c>
      <c r="AF309" s="4" t="s">
        <v>122</v>
      </c>
      <c r="AG309" s="3">
        <v>6</v>
      </c>
      <c r="AH309" s="3">
        <v>5</v>
      </c>
      <c r="AI309" s="3">
        <v>2</v>
      </c>
      <c r="AJ309" s="3">
        <v>7</v>
      </c>
      <c r="AK309" s="3">
        <v>7</v>
      </c>
      <c r="AL309" s="3">
        <v>5</v>
      </c>
      <c r="AM309" s="3">
        <v>7</v>
      </c>
      <c r="AN309" s="3">
        <v>5</v>
      </c>
      <c r="AO309" s="3">
        <v>3</v>
      </c>
      <c r="AP309" s="3">
        <v>3</v>
      </c>
      <c r="AQ309" s="4" t="s">
        <v>122</v>
      </c>
      <c r="AR309" s="4" t="s">
        <v>122</v>
      </c>
      <c r="AS309" s="3">
        <v>4</v>
      </c>
      <c r="AT309" s="3">
        <v>5</v>
      </c>
      <c r="AU309" s="3">
        <v>5</v>
      </c>
      <c r="AV309" s="3">
        <v>3</v>
      </c>
      <c r="AW309" s="3">
        <v>5</v>
      </c>
      <c r="AX309" s="3">
        <v>2</v>
      </c>
      <c r="AY309" s="3">
        <v>2</v>
      </c>
      <c r="AZ309" s="4" t="s">
        <v>122</v>
      </c>
      <c r="BA309" s="4" t="s">
        <v>122</v>
      </c>
      <c r="BB309" s="4" t="s">
        <v>122</v>
      </c>
      <c r="BC309" s="4" t="s">
        <v>122</v>
      </c>
      <c r="BD309" s="4" t="s">
        <v>122</v>
      </c>
      <c r="BE309" s="4" t="s">
        <v>122</v>
      </c>
      <c r="BF309" s="4" t="s">
        <v>122</v>
      </c>
      <c r="BG309" s="4" t="s">
        <v>122</v>
      </c>
      <c r="BH309" s="4" t="s">
        <v>122</v>
      </c>
      <c r="BI309" s="4" t="s">
        <v>122</v>
      </c>
      <c r="BJ309" s="4" t="s">
        <v>122</v>
      </c>
      <c r="BK309" s="4" t="s">
        <v>122</v>
      </c>
      <c r="BL309" s="4" t="s">
        <v>122</v>
      </c>
      <c r="BM309" s="4" t="s">
        <v>122</v>
      </c>
      <c r="BN309" s="4" t="s">
        <v>122</v>
      </c>
      <c r="BO309" s="3">
        <v>5</v>
      </c>
      <c r="BP309" s="3">
        <v>5</v>
      </c>
      <c r="BQ309" s="3">
        <v>2</v>
      </c>
      <c r="BR309" s="4" t="s">
        <v>125</v>
      </c>
      <c r="BS309" s="4" t="s">
        <v>122</v>
      </c>
      <c r="BT309" s="4" t="s">
        <v>122</v>
      </c>
      <c r="BU309" s="4" t="s">
        <v>122</v>
      </c>
      <c r="BV309" s="4" t="s">
        <v>125</v>
      </c>
      <c r="BW309" s="4" t="s">
        <v>122</v>
      </c>
      <c r="BX309" s="4" t="s">
        <v>122</v>
      </c>
      <c r="BY309" s="4" t="s">
        <v>122</v>
      </c>
      <c r="BZ309" s="4" t="s">
        <v>122</v>
      </c>
      <c r="CA309" s="3">
        <v>1</v>
      </c>
      <c r="CB309" s="3">
        <v>0</v>
      </c>
      <c r="CC309" s="4" t="s">
        <v>122</v>
      </c>
      <c r="CD309" s="3">
        <v>6</v>
      </c>
      <c r="CE309" s="3">
        <v>2</v>
      </c>
      <c r="CF309" s="3">
        <v>2</v>
      </c>
      <c r="CG309" s="4" t="s">
        <v>122</v>
      </c>
      <c r="CH309" s="3">
        <v>3</v>
      </c>
      <c r="CI309" s="4" t="s">
        <v>122</v>
      </c>
      <c r="CJ309" s="4" t="s">
        <v>122</v>
      </c>
      <c r="CK309" s="4" t="s">
        <v>122</v>
      </c>
      <c r="CL309" s="4" t="s">
        <v>122</v>
      </c>
      <c r="CM309" s="4" t="s">
        <v>122</v>
      </c>
      <c r="CN309" s="4" t="s">
        <v>122</v>
      </c>
      <c r="CO309" s="4" t="s">
        <v>125</v>
      </c>
      <c r="CP309" s="4" t="s">
        <v>122</v>
      </c>
      <c r="CQ309" s="4" t="s">
        <v>122</v>
      </c>
      <c r="CR309" s="4" t="s">
        <v>122</v>
      </c>
      <c r="CS309" s="3">
        <v>4</v>
      </c>
      <c r="CT309" s="3">
        <v>3</v>
      </c>
      <c r="CU309" s="42">
        <v>4</v>
      </c>
      <c r="CV309" cm="1">
        <f t="array" ref="CV309">_xlfn.IFS(CU309*1=2,1,CU309*1=4,1,TRUE,0)</f>
        <v>1</v>
      </c>
      <c r="CW309" cm="1">
        <f t="array" ref="CW309">_xlfn.IFS(CU309*1=1,1,CU309*1=2,1,TRUE,0)</f>
        <v>0</v>
      </c>
      <c r="CX309" s="3">
        <f t="shared" si="35"/>
        <v>0</v>
      </c>
      <c r="CY309" s="3">
        <f t="shared" si="36"/>
        <v>6</v>
      </c>
      <c r="CZ309" s="3" cm="1">
        <f t="array" ref="CZ309">_xlfn.IFS(BP309&lt;&gt;"", BP309, CV309=1,  AQ309, CV309=0,  AZ309)</f>
        <v>5</v>
      </c>
      <c r="DA309" s="36" cm="1">
        <f t="array" ref="DA309">_xlfn.IFS(BO309&lt;&gt;"", BO309, CV309=0,  AQ309, CV309=1,  AZ309)</f>
        <v>5</v>
      </c>
      <c r="DB309" s="36">
        <f t="shared" si="37"/>
        <v>1</v>
      </c>
      <c r="DC309" s="3">
        <f t="shared" si="38"/>
        <v>-5</v>
      </c>
      <c r="DD309" s="3">
        <f t="shared" si="39"/>
        <v>1</v>
      </c>
      <c r="DE309" s="3">
        <f t="shared" si="42"/>
        <v>0</v>
      </c>
      <c r="DF309" s="3">
        <f t="shared" si="40"/>
        <v>-5</v>
      </c>
      <c r="DG309" s="3">
        <f t="shared" si="41"/>
        <v>0</v>
      </c>
    </row>
    <row r="310" spans="1:112" x14ac:dyDescent="0.4">
      <c r="A310">
        <v>202511</v>
      </c>
      <c r="B310">
        <v>123</v>
      </c>
      <c r="C310" s="1">
        <v>45969.513437499998</v>
      </c>
      <c r="D310" s="1">
        <v>45969.518495370372</v>
      </c>
      <c r="E310">
        <v>0</v>
      </c>
      <c r="F310" s="2" t="s">
        <v>221</v>
      </c>
      <c r="G310">
        <v>100</v>
      </c>
      <c r="H310">
        <v>436</v>
      </c>
      <c r="I310">
        <v>1</v>
      </c>
      <c r="J310" s="1">
        <v>45969.518510891205</v>
      </c>
      <c r="K310" s="2" t="s">
        <v>222</v>
      </c>
      <c r="L310" s="2" t="s">
        <v>122</v>
      </c>
      <c r="M310" s="2" t="s">
        <v>122</v>
      </c>
      <c r="N310" s="2" t="s">
        <v>122</v>
      </c>
      <c r="O310" s="2" t="s">
        <v>122</v>
      </c>
      <c r="P310">
        <v>36.122</v>
      </c>
      <c r="Q310">
        <v>-115.086</v>
      </c>
      <c r="R310" s="2" t="s">
        <v>129</v>
      </c>
      <c r="S310" s="2" t="s">
        <v>124</v>
      </c>
      <c r="T310">
        <v>4</v>
      </c>
      <c r="U310">
        <v>1</v>
      </c>
      <c r="V310">
        <v>5</v>
      </c>
      <c r="W310">
        <v>1</v>
      </c>
      <c r="X310">
        <v>1</v>
      </c>
      <c r="Y310">
        <v>1</v>
      </c>
      <c r="Z310">
        <v>1</v>
      </c>
      <c r="AA310">
        <v>1</v>
      </c>
      <c r="AB310" s="2" t="s">
        <v>122</v>
      </c>
      <c r="AC310" s="2" t="s">
        <v>122</v>
      </c>
      <c r="AD310" s="2" t="s">
        <v>122</v>
      </c>
      <c r="AE310" s="2" t="s">
        <v>122</v>
      </c>
      <c r="AF310" s="2" t="s">
        <v>122</v>
      </c>
      <c r="AG310">
        <v>2</v>
      </c>
      <c r="AH310">
        <v>0</v>
      </c>
      <c r="AI310" s="2" t="s">
        <v>122</v>
      </c>
      <c r="AJ310">
        <v>3</v>
      </c>
      <c r="AK310">
        <v>6</v>
      </c>
      <c r="AL310">
        <v>5</v>
      </c>
      <c r="AM310">
        <v>3</v>
      </c>
      <c r="AN310">
        <v>5</v>
      </c>
      <c r="AO310">
        <v>2</v>
      </c>
      <c r="AP310">
        <v>2</v>
      </c>
      <c r="AQ310">
        <v>0</v>
      </c>
      <c r="AR310" s="2" t="s">
        <v>122</v>
      </c>
      <c r="AS310">
        <v>2</v>
      </c>
      <c r="AT310">
        <v>5</v>
      </c>
      <c r="AU310">
        <v>5</v>
      </c>
      <c r="AV310">
        <v>2</v>
      </c>
      <c r="AW310">
        <v>4</v>
      </c>
      <c r="AX310">
        <v>4</v>
      </c>
      <c r="AY310">
        <v>3</v>
      </c>
      <c r="AZ310">
        <v>0</v>
      </c>
      <c r="BA310" s="2" t="s">
        <v>122</v>
      </c>
      <c r="BB310">
        <v>0</v>
      </c>
      <c r="BC310">
        <v>0</v>
      </c>
      <c r="BD310">
        <v>2</v>
      </c>
      <c r="BE310" s="2" t="s">
        <v>122</v>
      </c>
      <c r="BF310" s="2" t="s">
        <v>122</v>
      </c>
      <c r="BG310" s="2" t="s">
        <v>122</v>
      </c>
      <c r="BH310" s="2" t="s">
        <v>122</v>
      </c>
      <c r="BI310" s="2" t="s">
        <v>122</v>
      </c>
      <c r="BJ310" s="2" t="s">
        <v>122</v>
      </c>
      <c r="BK310" s="2" t="s">
        <v>122</v>
      </c>
      <c r="BL310" s="2" t="s">
        <v>122</v>
      </c>
      <c r="BM310" s="2" t="s">
        <v>125</v>
      </c>
      <c r="BN310" s="2" t="s">
        <v>122</v>
      </c>
      <c r="BO310" s="2" t="s">
        <v>122</v>
      </c>
      <c r="BP310" s="2" t="s">
        <v>122</v>
      </c>
      <c r="BQ310" s="2" t="s">
        <v>122</v>
      </c>
      <c r="BR310" s="2" t="s">
        <v>122</v>
      </c>
      <c r="BS310" s="2" t="s">
        <v>122</v>
      </c>
      <c r="BT310" s="2" t="s">
        <v>122</v>
      </c>
      <c r="BU310" s="2" t="s">
        <v>122</v>
      </c>
      <c r="BV310" s="2" t="s">
        <v>122</v>
      </c>
      <c r="BW310" s="2" t="s">
        <v>122</v>
      </c>
      <c r="BX310" s="2" t="s">
        <v>122</v>
      </c>
      <c r="BY310" s="2" t="s">
        <v>122</v>
      </c>
      <c r="BZ310" s="2" t="s">
        <v>122</v>
      </c>
      <c r="CA310" s="2" t="s">
        <v>122</v>
      </c>
      <c r="CB310" s="2" t="s">
        <v>122</v>
      </c>
      <c r="CC310" s="2" t="s">
        <v>122</v>
      </c>
      <c r="CD310" s="2" t="s">
        <v>122</v>
      </c>
      <c r="CE310" s="2" t="s">
        <v>122</v>
      </c>
      <c r="CF310">
        <v>1</v>
      </c>
      <c r="CG310" s="2" t="s">
        <v>122</v>
      </c>
      <c r="CH310">
        <v>6</v>
      </c>
      <c r="CI310" s="2" t="s">
        <v>122</v>
      </c>
      <c r="CJ310" s="2" t="s">
        <v>122</v>
      </c>
      <c r="CK310" s="2" t="s">
        <v>122</v>
      </c>
      <c r="CL310" s="2" t="s">
        <v>122</v>
      </c>
      <c r="CM310" s="2" t="s">
        <v>122</v>
      </c>
      <c r="CN310" s="2" t="s">
        <v>122</v>
      </c>
      <c r="CO310" s="2" t="s">
        <v>125</v>
      </c>
      <c r="CP310" s="2" t="s">
        <v>122</v>
      </c>
      <c r="CQ310" s="2" t="s">
        <v>122</v>
      </c>
      <c r="CR310" s="2" t="s">
        <v>122</v>
      </c>
      <c r="CS310">
        <v>5</v>
      </c>
      <c r="CT310">
        <v>6</v>
      </c>
      <c r="CU310" s="43">
        <v>1</v>
      </c>
      <c r="CV310" cm="1">
        <f t="array" ref="CV310">_xlfn.IFS(CU310*1=2,1,CU310*1=4,1,TRUE,0)</f>
        <v>0</v>
      </c>
      <c r="CW310" cm="1">
        <f t="array" ref="CW310">_xlfn.IFS(CU310*1=1,1,CU310*1=2,1,TRUE,0)</f>
        <v>1</v>
      </c>
      <c r="CX310" s="3">
        <f t="shared" si="35"/>
        <v>0</v>
      </c>
      <c r="CY310" s="3">
        <f t="shared" si="36"/>
        <v>0</v>
      </c>
      <c r="CZ310" s="3" cm="1">
        <f t="array" ref="CZ310">_xlfn.IFS(BP310&lt;&gt;"", BP310, CV310=1,  AQ310, CV310=0,  AZ310)</f>
        <v>0</v>
      </c>
      <c r="DA310" s="36" cm="1">
        <f t="array" ref="DA310">_xlfn.IFS(BO310&lt;&gt;"", BO310, CV310=0,  AQ310, CV310=1,  AZ310)</f>
        <v>0</v>
      </c>
      <c r="DB310" s="36">
        <f t="shared" si="37"/>
        <v>0</v>
      </c>
      <c r="DC310" s="3">
        <f t="shared" si="38"/>
        <v>0</v>
      </c>
      <c r="DD310" s="3">
        <f t="shared" si="39"/>
        <v>0</v>
      </c>
      <c r="DE310" s="3">
        <f t="shared" si="42"/>
        <v>0</v>
      </c>
      <c r="DF310" s="3">
        <f t="shared" si="40"/>
        <v>0</v>
      </c>
      <c r="DG310" s="3">
        <f t="shared" si="41"/>
        <v>0</v>
      </c>
    </row>
    <row r="311" spans="1:112" x14ac:dyDescent="0.4">
      <c r="A311">
        <v>202511</v>
      </c>
      <c r="B311">
        <v>456</v>
      </c>
      <c r="C311" s="5">
        <v>45969.5156712963</v>
      </c>
      <c r="D311" s="5">
        <v>45969.51966435185</v>
      </c>
      <c r="E311" s="3">
        <v>0</v>
      </c>
      <c r="F311" s="4" t="s">
        <v>293</v>
      </c>
      <c r="G311" s="3">
        <v>100</v>
      </c>
      <c r="H311" s="3">
        <v>345</v>
      </c>
      <c r="I311" s="3">
        <v>1</v>
      </c>
      <c r="J311" s="5">
        <v>45969.519679050929</v>
      </c>
      <c r="K311" s="4" t="s">
        <v>292</v>
      </c>
      <c r="L311" s="4" t="s">
        <v>122</v>
      </c>
      <c r="M311" s="4" t="s">
        <v>122</v>
      </c>
      <c r="N311" s="4" t="s">
        <v>122</v>
      </c>
      <c r="O311" s="4" t="s">
        <v>122</v>
      </c>
      <c r="P311" s="3">
        <v>37.338799999999999</v>
      </c>
      <c r="Q311" s="3">
        <v>-121.8916</v>
      </c>
      <c r="R311" s="4" t="s">
        <v>129</v>
      </c>
      <c r="S311" s="4" t="s">
        <v>124</v>
      </c>
      <c r="T311" s="3">
        <v>4</v>
      </c>
      <c r="U311" s="3">
        <v>1</v>
      </c>
      <c r="V311" s="3">
        <v>3</v>
      </c>
      <c r="W311" s="3">
        <v>3</v>
      </c>
      <c r="X311" s="3">
        <v>1</v>
      </c>
      <c r="Y311" s="3">
        <v>2</v>
      </c>
      <c r="Z311" s="3">
        <v>3</v>
      </c>
      <c r="AA311" s="3">
        <v>4</v>
      </c>
      <c r="AB311" s="4" t="s">
        <v>122</v>
      </c>
      <c r="AC311" s="4" t="s">
        <v>122</v>
      </c>
      <c r="AD311" s="4" t="s">
        <v>122</v>
      </c>
      <c r="AE311" s="4" t="s">
        <v>122</v>
      </c>
      <c r="AF311" s="4" t="s">
        <v>122</v>
      </c>
      <c r="AG311" s="3">
        <v>1</v>
      </c>
      <c r="AH311" s="3">
        <v>5</v>
      </c>
      <c r="AI311" s="3">
        <v>2</v>
      </c>
      <c r="AJ311" s="3">
        <v>6</v>
      </c>
      <c r="AK311" s="3">
        <v>6</v>
      </c>
      <c r="AL311" s="3">
        <v>5</v>
      </c>
      <c r="AM311" s="3">
        <v>7</v>
      </c>
      <c r="AN311" s="3">
        <v>5</v>
      </c>
      <c r="AO311" s="3">
        <v>3</v>
      </c>
      <c r="AP311" s="3">
        <v>3</v>
      </c>
      <c r="AQ311" s="3">
        <v>5</v>
      </c>
      <c r="AR311" s="3">
        <v>2</v>
      </c>
      <c r="AS311" s="3">
        <v>6</v>
      </c>
      <c r="AT311" s="3">
        <v>6</v>
      </c>
      <c r="AU311" s="3">
        <v>6</v>
      </c>
      <c r="AV311" s="3">
        <v>5</v>
      </c>
      <c r="AW311" s="3">
        <v>5</v>
      </c>
      <c r="AX311" s="3">
        <v>2</v>
      </c>
      <c r="AY311" s="3">
        <v>3</v>
      </c>
      <c r="AZ311" s="3">
        <v>5</v>
      </c>
      <c r="BA311" s="3">
        <v>2</v>
      </c>
      <c r="BB311" s="3">
        <v>5</v>
      </c>
      <c r="BC311" s="3">
        <v>5</v>
      </c>
      <c r="BD311" s="3">
        <v>3</v>
      </c>
      <c r="BE311" s="4" t="s">
        <v>125</v>
      </c>
      <c r="BF311" s="4" t="s">
        <v>122</v>
      </c>
      <c r="BG311" s="4" t="s">
        <v>122</v>
      </c>
      <c r="BH311" s="4" t="s">
        <v>122</v>
      </c>
      <c r="BI311" s="4" t="s">
        <v>125</v>
      </c>
      <c r="BJ311" s="4" t="s">
        <v>122</v>
      </c>
      <c r="BK311" s="4" t="s">
        <v>122</v>
      </c>
      <c r="BL311" s="4" t="s">
        <v>122</v>
      </c>
      <c r="BM311" s="4" t="s">
        <v>122</v>
      </c>
      <c r="BN311" s="3">
        <v>1</v>
      </c>
      <c r="BO311" s="4" t="s">
        <v>122</v>
      </c>
      <c r="BP311" s="4" t="s">
        <v>122</v>
      </c>
      <c r="BQ311" s="4" t="s">
        <v>122</v>
      </c>
      <c r="BR311" s="4" t="s">
        <v>122</v>
      </c>
      <c r="BS311" s="4" t="s">
        <v>122</v>
      </c>
      <c r="BT311" s="4" t="s">
        <v>122</v>
      </c>
      <c r="BU311" s="4" t="s">
        <v>122</v>
      </c>
      <c r="BV311" s="4" t="s">
        <v>122</v>
      </c>
      <c r="BW311" s="4" t="s">
        <v>122</v>
      </c>
      <c r="BX311" s="4" t="s">
        <v>122</v>
      </c>
      <c r="BY311" s="4" t="s">
        <v>122</v>
      </c>
      <c r="BZ311" s="4" t="s">
        <v>122</v>
      </c>
      <c r="CA311" s="4" t="s">
        <v>122</v>
      </c>
      <c r="CB311" s="4" t="s">
        <v>122</v>
      </c>
      <c r="CC311" s="4" t="s">
        <v>122</v>
      </c>
      <c r="CD311" s="4" t="s">
        <v>122</v>
      </c>
      <c r="CE311" s="4" t="s">
        <v>122</v>
      </c>
      <c r="CF311" s="3">
        <v>1</v>
      </c>
      <c r="CG311" s="4" t="s">
        <v>122</v>
      </c>
      <c r="CH311" s="3">
        <v>2.2999999999999998</v>
      </c>
      <c r="CI311" s="4" t="s">
        <v>122</v>
      </c>
      <c r="CJ311" s="4" t="s">
        <v>122</v>
      </c>
      <c r="CK311" s="4" t="s">
        <v>122</v>
      </c>
      <c r="CL311" s="4" t="s">
        <v>125</v>
      </c>
      <c r="CM311" s="4" t="s">
        <v>122</v>
      </c>
      <c r="CN311" s="4" t="s">
        <v>122</v>
      </c>
      <c r="CO311" s="4" t="s">
        <v>125</v>
      </c>
      <c r="CP311" s="4" t="s">
        <v>122</v>
      </c>
      <c r="CQ311" s="4" t="s">
        <v>122</v>
      </c>
      <c r="CR311" s="4" t="s">
        <v>122</v>
      </c>
      <c r="CS311" s="3">
        <v>4</v>
      </c>
      <c r="CT311" s="3">
        <v>2</v>
      </c>
      <c r="CU311" s="42">
        <v>2</v>
      </c>
      <c r="CV311" cm="1">
        <f t="array" ref="CV311">_xlfn.IFS(CU311*1=2,1,CU311*1=4,1,TRUE,0)</f>
        <v>1</v>
      </c>
      <c r="CW311" cm="1">
        <f t="array" ref="CW311">_xlfn.IFS(CU311*1=1,1,CU311*1=2,1,TRUE,0)</f>
        <v>1</v>
      </c>
      <c r="CX311" s="3">
        <f t="shared" si="35"/>
        <v>5</v>
      </c>
      <c r="CY311" s="3">
        <f t="shared" si="36"/>
        <v>5</v>
      </c>
      <c r="CZ311" s="3" cm="1">
        <f t="array" ref="CZ311">_xlfn.IFS(BP311&lt;&gt;"", BP311, CV311=1,  AQ311, CV311=0,  AZ311)</f>
        <v>5</v>
      </c>
      <c r="DA311" s="36" cm="1">
        <f t="array" ref="DA311">_xlfn.IFS(BO311&lt;&gt;"", BO311, CV311=0,  AQ311, CV311=1,  AZ311)</f>
        <v>5</v>
      </c>
      <c r="DB311" s="36">
        <f t="shared" si="37"/>
        <v>0</v>
      </c>
      <c r="DC311" s="3">
        <f t="shared" si="38"/>
        <v>0</v>
      </c>
      <c r="DD311" s="3">
        <f t="shared" si="39"/>
        <v>0</v>
      </c>
      <c r="DE311" s="3">
        <f t="shared" si="42"/>
        <v>0</v>
      </c>
      <c r="DF311" s="3">
        <f t="shared" si="40"/>
        <v>0</v>
      </c>
      <c r="DG311" s="3">
        <f t="shared" si="41"/>
        <v>0</v>
      </c>
    </row>
    <row r="312" spans="1:112" x14ac:dyDescent="0.4">
      <c r="A312">
        <v>202511</v>
      </c>
      <c r="B312">
        <v>123</v>
      </c>
      <c r="C312" s="1">
        <v>45969.519155092596</v>
      </c>
      <c r="D312" s="1">
        <v>45969.524085648147</v>
      </c>
      <c r="E312">
        <v>0</v>
      </c>
      <c r="F312" s="2" t="s">
        <v>223</v>
      </c>
      <c r="G312">
        <v>100</v>
      </c>
      <c r="H312">
        <v>425</v>
      </c>
      <c r="I312">
        <v>1</v>
      </c>
      <c r="J312" s="1">
        <v>45969.524092685184</v>
      </c>
      <c r="K312" s="2" t="s">
        <v>224</v>
      </c>
      <c r="L312" s="2" t="s">
        <v>122</v>
      </c>
      <c r="M312" s="2" t="s">
        <v>122</v>
      </c>
      <c r="N312" s="2" t="s">
        <v>122</v>
      </c>
      <c r="O312" s="2" t="s">
        <v>122</v>
      </c>
      <c r="P312">
        <v>36.122</v>
      </c>
      <c r="Q312">
        <v>-115.086</v>
      </c>
      <c r="R312" s="2" t="s">
        <v>129</v>
      </c>
      <c r="S312" s="2" t="s">
        <v>124</v>
      </c>
      <c r="T312">
        <v>4</v>
      </c>
      <c r="U312">
        <v>1</v>
      </c>
      <c r="V312">
        <v>3</v>
      </c>
      <c r="W312">
        <v>3</v>
      </c>
      <c r="X312">
        <v>1</v>
      </c>
      <c r="Y312">
        <v>1</v>
      </c>
      <c r="Z312">
        <v>1</v>
      </c>
      <c r="AA312">
        <v>1</v>
      </c>
      <c r="AB312" s="2" t="s">
        <v>122</v>
      </c>
      <c r="AC312" s="2" t="s">
        <v>122</v>
      </c>
      <c r="AD312" s="2" t="s">
        <v>122</v>
      </c>
      <c r="AE312" s="2" t="s">
        <v>122</v>
      </c>
      <c r="AF312" s="2" t="s">
        <v>122</v>
      </c>
      <c r="AG312">
        <v>5</v>
      </c>
      <c r="AH312">
        <v>2</v>
      </c>
      <c r="AI312">
        <v>2</v>
      </c>
      <c r="AJ312">
        <v>4</v>
      </c>
      <c r="AK312">
        <v>6</v>
      </c>
      <c r="AL312">
        <v>5</v>
      </c>
      <c r="AM312">
        <v>4</v>
      </c>
      <c r="AN312">
        <v>6</v>
      </c>
      <c r="AO312">
        <v>2</v>
      </c>
      <c r="AP312">
        <v>4</v>
      </c>
      <c r="AQ312" s="2" t="s">
        <v>122</v>
      </c>
      <c r="AR312" s="2" t="s">
        <v>122</v>
      </c>
      <c r="AS312">
        <v>2</v>
      </c>
      <c r="AT312">
        <v>4</v>
      </c>
      <c r="AU312">
        <v>7</v>
      </c>
      <c r="AV312">
        <v>2</v>
      </c>
      <c r="AW312">
        <v>4</v>
      </c>
      <c r="AX312">
        <v>2</v>
      </c>
      <c r="AY312">
        <v>4</v>
      </c>
      <c r="AZ312" s="2" t="s">
        <v>122</v>
      </c>
      <c r="BA312" s="2" t="s">
        <v>122</v>
      </c>
      <c r="BB312" s="2" t="s">
        <v>122</v>
      </c>
      <c r="BC312" s="2" t="s">
        <v>122</v>
      </c>
      <c r="BD312" s="2" t="s">
        <v>122</v>
      </c>
      <c r="BE312" s="2" t="s">
        <v>122</v>
      </c>
      <c r="BF312" s="2" t="s">
        <v>122</v>
      </c>
      <c r="BG312" s="2" t="s">
        <v>122</v>
      </c>
      <c r="BH312" s="2" t="s">
        <v>122</v>
      </c>
      <c r="BI312" s="2" t="s">
        <v>122</v>
      </c>
      <c r="BJ312" s="2" t="s">
        <v>122</v>
      </c>
      <c r="BK312" s="2" t="s">
        <v>122</v>
      </c>
      <c r="BL312" s="2" t="s">
        <v>122</v>
      </c>
      <c r="BM312" s="2" t="s">
        <v>122</v>
      </c>
      <c r="BN312" s="2" t="s">
        <v>122</v>
      </c>
      <c r="BO312">
        <v>4</v>
      </c>
      <c r="BP312">
        <v>4</v>
      </c>
      <c r="BQ312">
        <v>2</v>
      </c>
      <c r="BR312" s="2" t="s">
        <v>125</v>
      </c>
      <c r="BS312" s="2" t="s">
        <v>122</v>
      </c>
      <c r="BT312" s="2" t="s">
        <v>122</v>
      </c>
      <c r="BU312" s="2" t="s">
        <v>122</v>
      </c>
      <c r="BV312" s="2" t="s">
        <v>122</v>
      </c>
      <c r="BW312" s="2" t="s">
        <v>122</v>
      </c>
      <c r="BX312" s="2" t="s">
        <v>122</v>
      </c>
      <c r="BY312" s="2" t="s">
        <v>122</v>
      </c>
      <c r="BZ312" s="2" t="s">
        <v>122</v>
      </c>
      <c r="CA312" s="2" t="s">
        <v>122</v>
      </c>
      <c r="CB312">
        <v>4</v>
      </c>
      <c r="CC312">
        <v>2</v>
      </c>
      <c r="CD312">
        <v>0</v>
      </c>
      <c r="CE312" s="2" t="s">
        <v>122</v>
      </c>
      <c r="CF312">
        <v>2</v>
      </c>
      <c r="CG312" s="2" t="s">
        <v>122</v>
      </c>
      <c r="CH312">
        <v>5</v>
      </c>
      <c r="CI312" s="2" t="s">
        <v>122</v>
      </c>
      <c r="CJ312" s="2" t="s">
        <v>122</v>
      </c>
      <c r="CK312" s="2" t="s">
        <v>122</v>
      </c>
      <c r="CL312" s="2" t="s">
        <v>122</v>
      </c>
      <c r="CM312" s="2" t="s">
        <v>122</v>
      </c>
      <c r="CN312" s="2" t="s">
        <v>122</v>
      </c>
      <c r="CO312" s="2" t="s">
        <v>125</v>
      </c>
      <c r="CP312" s="2" t="s">
        <v>122</v>
      </c>
      <c r="CQ312" s="2" t="s">
        <v>122</v>
      </c>
      <c r="CR312" s="2" t="s">
        <v>122</v>
      </c>
      <c r="CS312">
        <v>5</v>
      </c>
      <c r="CT312">
        <v>6</v>
      </c>
      <c r="CU312" s="43">
        <v>3</v>
      </c>
      <c r="CV312" cm="1">
        <f t="array" ref="CV312">_xlfn.IFS(CU312*1=2,1,CU312*1=4,1,TRUE,0)</f>
        <v>0</v>
      </c>
      <c r="CW312" cm="1">
        <f t="array" ref="CW312">_xlfn.IFS(CU312*1=1,1,CU312*1=2,1,TRUE,0)</f>
        <v>0</v>
      </c>
      <c r="CX312" s="3">
        <f t="shared" si="35"/>
        <v>4</v>
      </c>
      <c r="CY312" s="3">
        <f t="shared" si="36"/>
        <v>0</v>
      </c>
      <c r="CZ312" s="3" cm="1">
        <f t="array" ref="CZ312">_xlfn.IFS(BP312&lt;&gt;"", BP312, CV312=1,  AQ312, CV312=0,  AZ312)</f>
        <v>4</v>
      </c>
      <c r="DA312" s="36" cm="1">
        <f t="array" ref="DA312">_xlfn.IFS(BO312&lt;&gt;"", BO312, CV312=0,  AQ312, CV312=1,  AZ312)</f>
        <v>4</v>
      </c>
      <c r="DB312" s="36">
        <f t="shared" si="37"/>
        <v>-2</v>
      </c>
      <c r="DC312" s="3">
        <f t="shared" si="38"/>
        <v>2</v>
      </c>
      <c r="DD312" s="3">
        <f t="shared" si="39"/>
        <v>-2</v>
      </c>
      <c r="DE312" s="3">
        <f t="shared" si="42"/>
        <v>2</v>
      </c>
      <c r="DF312" s="3">
        <f t="shared" si="40"/>
        <v>2</v>
      </c>
      <c r="DG312" s="3">
        <f t="shared" si="41"/>
        <v>2</v>
      </c>
    </row>
    <row r="313" spans="1:112" x14ac:dyDescent="0.4">
      <c r="A313">
        <v>202511</v>
      </c>
      <c r="B313">
        <v>456</v>
      </c>
      <c r="C313" s="5">
        <v>45969.519768518519</v>
      </c>
      <c r="D313" s="5">
        <v>45969.522719907407</v>
      </c>
      <c r="E313" s="3">
        <v>0</v>
      </c>
      <c r="F313" s="4" t="s">
        <v>146</v>
      </c>
      <c r="G313" s="3">
        <v>100</v>
      </c>
      <c r="H313" s="3">
        <v>255</v>
      </c>
      <c r="I313" s="3">
        <v>1</v>
      </c>
      <c r="J313" s="5">
        <v>45969.522729606484</v>
      </c>
      <c r="K313" s="4" t="s">
        <v>291</v>
      </c>
      <c r="L313" s="4" t="s">
        <v>122</v>
      </c>
      <c r="M313" s="4" t="s">
        <v>122</v>
      </c>
      <c r="N313" s="4" t="s">
        <v>122</v>
      </c>
      <c r="O313" s="4" t="s">
        <v>122</v>
      </c>
      <c r="P313" s="3">
        <v>32.250300000000003</v>
      </c>
      <c r="Q313" s="3">
        <v>-110.94499999999999</v>
      </c>
      <c r="R313" s="4" t="s">
        <v>129</v>
      </c>
      <c r="S313" s="4" t="s">
        <v>124</v>
      </c>
      <c r="T313" s="3">
        <v>4</v>
      </c>
      <c r="U313" s="3">
        <v>1</v>
      </c>
      <c r="V313" s="3">
        <v>4</v>
      </c>
      <c r="W313" s="3">
        <v>4</v>
      </c>
      <c r="X313" s="3">
        <v>1</v>
      </c>
      <c r="Y313" s="3">
        <v>1</v>
      </c>
      <c r="Z313" s="3">
        <v>1</v>
      </c>
      <c r="AA313" s="3">
        <v>1</v>
      </c>
      <c r="AB313" s="4" t="s">
        <v>122</v>
      </c>
      <c r="AC313" s="4" t="s">
        <v>122</v>
      </c>
      <c r="AD313" s="4" t="s">
        <v>122</v>
      </c>
      <c r="AE313" s="4" t="s">
        <v>122</v>
      </c>
      <c r="AF313" s="4" t="s">
        <v>122</v>
      </c>
      <c r="AG313" s="3">
        <v>2</v>
      </c>
      <c r="AH313" s="3">
        <v>0</v>
      </c>
      <c r="AI313" s="4" t="s">
        <v>122</v>
      </c>
      <c r="AJ313" s="3">
        <v>7</v>
      </c>
      <c r="AK313" s="3">
        <v>8</v>
      </c>
      <c r="AL313" s="3">
        <v>7</v>
      </c>
      <c r="AM313" s="3">
        <v>8</v>
      </c>
      <c r="AN313" s="3">
        <v>8</v>
      </c>
      <c r="AO313" s="3">
        <v>3</v>
      </c>
      <c r="AP313" s="3">
        <v>3</v>
      </c>
      <c r="AQ313" s="3">
        <v>4</v>
      </c>
      <c r="AR313" s="3">
        <v>2</v>
      </c>
      <c r="AS313" s="3">
        <v>3</v>
      </c>
      <c r="AT313" s="3">
        <v>5</v>
      </c>
      <c r="AU313" s="3">
        <v>4</v>
      </c>
      <c r="AV313" s="3">
        <v>2</v>
      </c>
      <c r="AW313" s="3">
        <v>3</v>
      </c>
      <c r="AX313" s="3">
        <v>2</v>
      </c>
      <c r="AY313" s="3">
        <v>2</v>
      </c>
      <c r="AZ313" s="3">
        <v>0</v>
      </c>
      <c r="BA313" s="4" t="s">
        <v>122</v>
      </c>
      <c r="BB313" s="3">
        <v>0</v>
      </c>
      <c r="BC313" s="3">
        <v>0</v>
      </c>
      <c r="BD313" s="3">
        <v>1</v>
      </c>
      <c r="BE313" s="4" t="s">
        <v>125</v>
      </c>
      <c r="BF313" s="4" t="s">
        <v>122</v>
      </c>
      <c r="BG313" s="4" t="s">
        <v>122</v>
      </c>
      <c r="BH313" s="4" t="s">
        <v>122</v>
      </c>
      <c r="BI313" s="4" t="s">
        <v>122</v>
      </c>
      <c r="BJ313" s="4" t="s">
        <v>122</v>
      </c>
      <c r="BK313" s="4" t="s">
        <v>122</v>
      </c>
      <c r="BL313" s="4" t="s">
        <v>122</v>
      </c>
      <c r="BM313" s="4" t="s">
        <v>122</v>
      </c>
      <c r="BN313" s="4" t="s">
        <v>122</v>
      </c>
      <c r="BO313" s="4" t="s">
        <v>122</v>
      </c>
      <c r="BP313" s="4" t="s">
        <v>122</v>
      </c>
      <c r="BQ313" s="4" t="s">
        <v>122</v>
      </c>
      <c r="BR313" s="4" t="s">
        <v>122</v>
      </c>
      <c r="BS313" s="4" t="s">
        <v>122</v>
      </c>
      <c r="BT313" s="4" t="s">
        <v>122</v>
      </c>
      <c r="BU313" s="4" t="s">
        <v>122</v>
      </c>
      <c r="BV313" s="4" t="s">
        <v>122</v>
      </c>
      <c r="BW313" s="4" t="s">
        <v>122</v>
      </c>
      <c r="BX313" s="4" t="s">
        <v>122</v>
      </c>
      <c r="BY313" s="4" t="s">
        <v>122</v>
      </c>
      <c r="BZ313" s="4" t="s">
        <v>122</v>
      </c>
      <c r="CA313" s="4" t="s">
        <v>122</v>
      </c>
      <c r="CB313" s="4" t="s">
        <v>122</v>
      </c>
      <c r="CC313" s="4" t="s">
        <v>122</v>
      </c>
      <c r="CD313" s="4" t="s">
        <v>122</v>
      </c>
      <c r="CE313" s="4" t="s">
        <v>122</v>
      </c>
      <c r="CF313" s="3">
        <v>1</v>
      </c>
      <c r="CG313" s="4" t="s">
        <v>122</v>
      </c>
      <c r="CH313" s="3">
        <v>2.2999999999999998</v>
      </c>
      <c r="CI313" s="4" t="s">
        <v>122</v>
      </c>
      <c r="CJ313" s="4" t="s">
        <v>122</v>
      </c>
      <c r="CK313" s="4" t="s">
        <v>122</v>
      </c>
      <c r="CL313" s="4" t="s">
        <v>122</v>
      </c>
      <c r="CM313" s="4" t="s">
        <v>122</v>
      </c>
      <c r="CN313" s="4" t="s">
        <v>122</v>
      </c>
      <c r="CO313" s="4" t="s">
        <v>125</v>
      </c>
      <c r="CP313" s="4" t="s">
        <v>122</v>
      </c>
      <c r="CQ313" s="4" t="s">
        <v>122</v>
      </c>
      <c r="CR313" s="4" t="s">
        <v>122</v>
      </c>
      <c r="CS313" s="3">
        <v>3</v>
      </c>
      <c r="CT313" s="3">
        <v>2</v>
      </c>
      <c r="CU313" s="42">
        <v>2</v>
      </c>
      <c r="CV313" cm="1">
        <f t="array" ref="CV313">_xlfn.IFS(CU313*1=2,1,CU313*1=4,1,TRUE,0)</f>
        <v>1</v>
      </c>
      <c r="CW313" cm="1">
        <f t="array" ref="CW313">_xlfn.IFS(CU313*1=1,1,CU313*1=2,1,TRUE,0)</f>
        <v>1</v>
      </c>
      <c r="CX313" s="3">
        <f t="shared" si="35"/>
        <v>0</v>
      </c>
      <c r="CY313" s="3">
        <f t="shared" si="36"/>
        <v>0</v>
      </c>
      <c r="CZ313" s="3" cm="1">
        <f t="array" ref="CZ313">_xlfn.IFS(BP313&lt;&gt;"", BP313, CV313=1,  AQ313, CV313=0,  AZ313)</f>
        <v>4</v>
      </c>
      <c r="DA313" s="36" cm="1">
        <f t="array" ref="DA313">_xlfn.IFS(BO313&lt;&gt;"", BO313, CV313=0,  AQ313, CV313=1,  AZ313)</f>
        <v>0</v>
      </c>
      <c r="DB313" s="36">
        <f t="shared" si="37"/>
        <v>0</v>
      </c>
      <c r="DC313" s="3">
        <f t="shared" si="38"/>
        <v>0</v>
      </c>
      <c r="DD313" s="3">
        <f t="shared" si="39"/>
        <v>4</v>
      </c>
      <c r="DE313" s="3">
        <f t="shared" si="42"/>
        <v>0</v>
      </c>
      <c r="DF313" s="3">
        <f t="shared" si="40"/>
        <v>0</v>
      </c>
      <c r="DG313" s="3">
        <f t="shared" si="41"/>
        <v>0</v>
      </c>
    </row>
    <row r="314" spans="1:112" x14ac:dyDescent="0.4">
      <c r="A314">
        <v>202511</v>
      </c>
      <c r="B314">
        <v>123</v>
      </c>
      <c r="C314" s="1">
        <v>45969.522592592592</v>
      </c>
      <c r="D314" s="1">
        <v>45969.527881944443</v>
      </c>
      <c r="E314">
        <v>0</v>
      </c>
      <c r="F314" s="2" t="s">
        <v>225</v>
      </c>
      <c r="G314">
        <v>100</v>
      </c>
      <c r="H314">
        <v>457</v>
      </c>
      <c r="I314">
        <v>1</v>
      </c>
      <c r="J314" s="1">
        <v>45969.527895937499</v>
      </c>
      <c r="K314" s="2" t="s">
        <v>226</v>
      </c>
      <c r="L314" s="2" t="s">
        <v>122</v>
      </c>
      <c r="M314" s="2" t="s">
        <v>122</v>
      </c>
      <c r="N314" s="2" t="s">
        <v>122</v>
      </c>
      <c r="O314" s="2" t="s">
        <v>122</v>
      </c>
      <c r="P314">
        <v>34.077199999999998</v>
      </c>
      <c r="Q314">
        <v>-117.45059999999999</v>
      </c>
      <c r="R314" s="2" t="s">
        <v>129</v>
      </c>
      <c r="S314" s="2" t="s">
        <v>124</v>
      </c>
      <c r="T314">
        <v>4</v>
      </c>
      <c r="U314">
        <v>1</v>
      </c>
      <c r="V314">
        <v>3</v>
      </c>
      <c r="W314">
        <v>2</v>
      </c>
      <c r="X314">
        <v>2</v>
      </c>
      <c r="Y314">
        <v>2</v>
      </c>
      <c r="Z314">
        <v>3</v>
      </c>
      <c r="AA314">
        <v>2</v>
      </c>
      <c r="AB314" s="2" t="s">
        <v>122</v>
      </c>
      <c r="AC314" s="2" t="s">
        <v>125</v>
      </c>
      <c r="AD314" s="2" t="s">
        <v>125</v>
      </c>
      <c r="AE314" s="2" t="s">
        <v>122</v>
      </c>
      <c r="AF314" s="2" t="s">
        <v>122</v>
      </c>
      <c r="AG314">
        <v>2</v>
      </c>
      <c r="AH314">
        <v>7</v>
      </c>
      <c r="AI314">
        <v>2</v>
      </c>
      <c r="AJ314">
        <v>6</v>
      </c>
      <c r="AK314">
        <v>7</v>
      </c>
      <c r="AL314">
        <v>6</v>
      </c>
      <c r="AM314">
        <v>8</v>
      </c>
      <c r="AN314">
        <v>8</v>
      </c>
      <c r="AO314">
        <v>3</v>
      </c>
      <c r="AP314">
        <v>3</v>
      </c>
      <c r="AQ314" s="2" t="s">
        <v>122</v>
      </c>
      <c r="AR314" s="2" t="s">
        <v>122</v>
      </c>
      <c r="AS314">
        <v>3</v>
      </c>
      <c r="AT314">
        <v>5</v>
      </c>
      <c r="AU314">
        <v>5</v>
      </c>
      <c r="AV314">
        <v>3</v>
      </c>
      <c r="AW314">
        <v>4</v>
      </c>
      <c r="AX314">
        <v>4</v>
      </c>
      <c r="AY314">
        <v>4</v>
      </c>
      <c r="AZ314" s="2" t="s">
        <v>122</v>
      </c>
      <c r="BA314" s="2" t="s">
        <v>122</v>
      </c>
      <c r="BB314" s="2" t="s">
        <v>122</v>
      </c>
      <c r="BC314" s="2" t="s">
        <v>122</v>
      </c>
      <c r="BD314" s="2" t="s">
        <v>122</v>
      </c>
      <c r="BE314" s="2" t="s">
        <v>122</v>
      </c>
      <c r="BF314" s="2" t="s">
        <v>122</v>
      </c>
      <c r="BG314" s="2" t="s">
        <v>122</v>
      </c>
      <c r="BH314" s="2" t="s">
        <v>122</v>
      </c>
      <c r="BI314" s="2" t="s">
        <v>122</v>
      </c>
      <c r="BJ314" s="2" t="s">
        <v>122</v>
      </c>
      <c r="BK314" s="2" t="s">
        <v>122</v>
      </c>
      <c r="BL314" s="2" t="s">
        <v>122</v>
      </c>
      <c r="BM314" s="2" t="s">
        <v>122</v>
      </c>
      <c r="BN314" s="2" t="s">
        <v>122</v>
      </c>
      <c r="BO314">
        <v>7.5</v>
      </c>
      <c r="BP314">
        <v>7.5</v>
      </c>
      <c r="BQ314">
        <v>2</v>
      </c>
      <c r="BR314" s="2" t="s">
        <v>125</v>
      </c>
      <c r="BS314" s="2" t="s">
        <v>122</v>
      </c>
      <c r="BT314" s="2" t="s">
        <v>122</v>
      </c>
      <c r="BU314" s="2" t="s">
        <v>122</v>
      </c>
      <c r="BV314" s="2" t="s">
        <v>125</v>
      </c>
      <c r="BW314" s="2" t="s">
        <v>122</v>
      </c>
      <c r="BX314" s="2" t="s">
        <v>122</v>
      </c>
      <c r="BY314" s="2" t="s">
        <v>125</v>
      </c>
      <c r="BZ314" s="2" t="s">
        <v>122</v>
      </c>
      <c r="CA314">
        <v>4</v>
      </c>
      <c r="CB314">
        <v>7.5</v>
      </c>
      <c r="CC314">
        <v>2</v>
      </c>
      <c r="CD314">
        <v>7.6</v>
      </c>
      <c r="CE314">
        <v>2</v>
      </c>
      <c r="CF314">
        <v>1</v>
      </c>
      <c r="CG314" s="2" t="s">
        <v>122</v>
      </c>
      <c r="CH314">
        <v>5</v>
      </c>
      <c r="CI314" s="2" t="s">
        <v>122</v>
      </c>
      <c r="CJ314" s="2" t="s">
        <v>122</v>
      </c>
      <c r="CK314" s="2" t="s">
        <v>125</v>
      </c>
      <c r="CL314" s="2" t="s">
        <v>122</v>
      </c>
      <c r="CM314" s="2" t="s">
        <v>122</v>
      </c>
      <c r="CN314" s="2" t="s">
        <v>122</v>
      </c>
      <c r="CO314" s="2" t="s">
        <v>125</v>
      </c>
      <c r="CP314" s="2" t="s">
        <v>122</v>
      </c>
      <c r="CQ314" s="2" t="s">
        <v>122</v>
      </c>
      <c r="CR314" s="2" t="s">
        <v>122</v>
      </c>
      <c r="CS314">
        <v>3</v>
      </c>
      <c r="CT314">
        <v>2</v>
      </c>
      <c r="CU314" s="43">
        <v>3</v>
      </c>
      <c r="CV314" cm="1">
        <f t="array" ref="CV314">_xlfn.IFS(CU314*1=2,1,CU314*1=4,1,TRUE,0)</f>
        <v>0</v>
      </c>
      <c r="CW314" cm="1">
        <f t="array" ref="CW314">_xlfn.IFS(CU314*1=1,1,CU314*1=2,1,TRUE,0)</f>
        <v>0</v>
      </c>
      <c r="CX314" s="3">
        <f t="shared" si="35"/>
        <v>7.5</v>
      </c>
      <c r="CY314" s="3">
        <f t="shared" si="36"/>
        <v>7.6</v>
      </c>
      <c r="CZ314" s="3" cm="1">
        <f t="array" ref="CZ314">_xlfn.IFS(BP314&lt;&gt;"", BP314, CV314=1,  AQ314, CV314=0,  AZ314)</f>
        <v>7.5</v>
      </c>
      <c r="DA314" s="36" cm="1">
        <f t="array" ref="DA314">_xlfn.IFS(BO314&lt;&gt;"", BO314, CV314=0,  AQ314, CV314=1,  AZ314)</f>
        <v>7.5</v>
      </c>
      <c r="DB314" s="36">
        <f t="shared" si="37"/>
        <v>0.59999999999999964</v>
      </c>
      <c r="DC314" s="3">
        <f t="shared" si="38"/>
        <v>0.5</v>
      </c>
      <c r="DD314" s="3">
        <f t="shared" si="39"/>
        <v>0.59999999999999964</v>
      </c>
      <c r="DE314" s="3">
        <f t="shared" si="42"/>
        <v>0.5</v>
      </c>
      <c r="DF314" s="3">
        <f t="shared" si="40"/>
        <v>0.5</v>
      </c>
      <c r="DG314" s="3">
        <f t="shared" si="41"/>
        <v>0.5</v>
      </c>
    </row>
    <row r="315" spans="1:112" x14ac:dyDescent="0.4">
      <c r="A315">
        <v>202511</v>
      </c>
      <c r="B315">
        <v>456</v>
      </c>
      <c r="C315" s="5">
        <v>45969.523275462961</v>
      </c>
      <c r="D315" s="5">
        <v>45969.527488425927</v>
      </c>
      <c r="E315" s="3">
        <v>0</v>
      </c>
      <c r="F315" s="4" t="s">
        <v>290</v>
      </c>
      <c r="G315" s="3">
        <v>100</v>
      </c>
      <c r="H315" s="3">
        <v>364</v>
      </c>
      <c r="I315" s="3">
        <v>1</v>
      </c>
      <c r="J315" s="5">
        <v>45969.527503807869</v>
      </c>
      <c r="K315" s="4" t="s">
        <v>289</v>
      </c>
      <c r="L315" s="4" t="s">
        <v>122</v>
      </c>
      <c r="M315" s="4" t="s">
        <v>122</v>
      </c>
      <c r="N315" s="4" t="s">
        <v>122</v>
      </c>
      <c r="O315" s="4" t="s">
        <v>122</v>
      </c>
      <c r="P315" s="3">
        <v>32.250300000000003</v>
      </c>
      <c r="Q315" s="3">
        <v>-110.94499999999999</v>
      </c>
      <c r="R315" s="4" t="s">
        <v>129</v>
      </c>
      <c r="S315" s="4" t="s">
        <v>124</v>
      </c>
      <c r="T315" s="3">
        <v>4</v>
      </c>
      <c r="U315" s="3">
        <v>1</v>
      </c>
      <c r="V315" s="3">
        <v>4</v>
      </c>
      <c r="W315" s="3">
        <v>4</v>
      </c>
      <c r="X315" s="3">
        <v>1</v>
      </c>
      <c r="Y315" s="3">
        <v>1</v>
      </c>
      <c r="Z315" s="3">
        <v>1</v>
      </c>
      <c r="AA315" s="3">
        <v>1</v>
      </c>
      <c r="AB315" s="4" t="s">
        <v>122</v>
      </c>
      <c r="AC315" s="4" t="s">
        <v>122</v>
      </c>
      <c r="AD315" s="4" t="s">
        <v>122</v>
      </c>
      <c r="AE315" s="4" t="s">
        <v>122</v>
      </c>
      <c r="AF315" s="4" t="s">
        <v>122</v>
      </c>
      <c r="AG315" s="3">
        <v>3</v>
      </c>
      <c r="AH315" s="3">
        <v>4.5</v>
      </c>
      <c r="AI315" s="3">
        <v>3</v>
      </c>
      <c r="AJ315" s="3">
        <v>8</v>
      </c>
      <c r="AK315" s="3">
        <v>8</v>
      </c>
      <c r="AL315" s="3">
        <v>7</v>
      </c>
      <c r="AM315" s="3">
        <v>6</v>
      </c>
      <c r="AN315" s="3">
        <v>7</v>
      </c>
      <c r="AO315" s="3">
        <v>3</v>
      </c>
      <c r="AP315" s="3">
        <v>3</v>
      </c>
      <c r="AQ315" s="3">
        <v>4.5</v>
      </c>
      <c r="AR315" s="3">
        <v>3</v>
      </c>
      <c r="AS315" s="3">
        <v>5</v>
      </c>
      <c r="AT315" s="3">
        <v>5</v>
      </c>
      <c r="AU315" s="3">
        <v>4</v>
      </c>
      <c r="AV315" s="3">
        <v>5</v>
      </c>
      <c r="AW315" s="3">
        <v>4</v>
      </c>
      <c r="AX315" s="3">
        <v>1</v>
      </c>
      <c r="AY315" s="3">
        <v>2</v>
      </c>
      <c r="AZ315" s="3">
        <v>2</v>
      </c>
      <c r="BA315" s="3">
        <v>3</v>
      </c>
      <c r="BB315" s="3">
        <v>0</v>
      </c>
      <c r="BC315" s="3">
        <v>6</v>
      </c>
      <c r="BD315" s="3">
        <v>3</v>
      </c>
      <c r="BE315" s="4" t="s">
        <v>125</v>
      </c>
      <c r="BF315" s="4" t="s">
        <v>125</v>
      </c>
      <c r="BG315" s="4" t="s">
        <v>122</v>
      </c>
      <c r="BH315" s="4" t="s">
        <v>122</v>
      </c>
      <c r="BI315" s="4" t="s">
        <v>122</v>
      </c>
      <c r="BJ315" s="4" t="s">
        <v>122</v>
      </c>
      <c r="BK315" s="4" t="s">
        <v>122</v>
      </c>
      <c r="BL315" s="4" t="s">
        <v>122</v>
      </c>
      <c r="BM315" s="4" t="s">
        <v>122</v>
      </c>
      <c r="BN315" s="3">
        <v>1</v>
      </c>
      <c r="BO315" s="4" t="s">
        <v>122</v>
      </c>
      <c r="BP315" s="4" t="s">
        <v>122</v>
      </c>
      <c r="BQ315" s="4" t="s">
        <v>122</v>
      </c>
      <c r="BR315" s="4" t="s">
        <v>122</v>
      </c>
      <c r="BS315" s="4" t="s">
        <v>122</v>
      </c>
      <c r="BT315" s="4" t="s">
        <v>122</v>
      </c>
      <c r="BU315" s="4" t="s">
        <v>122</v>
      </c>
      <c r="BV315" s="4" t="s">
        <v>122</v>
      </c>
      <c r="BW315" s="4" t="s">
        <v>122</v>
      </c>
      <c r="BX315" s="4" t="s">
        <v>122</v>
      </c>
      <c r="BY315" s="4" t="s">
        <v>122</v>
      </c>
      <c r="BZ315" s="4" t="s">
        <v>122</v>
      </c>
      <c r="CA315" s="4" t="s">
        <v>122</v>
      </c>
      <c r="CB315" s="4" t="s">
        <v>122</v>
      </c>
      <c r="CC315" s="4" t="s">
        <v>122</v>
      </c>
      <c r="CD315" s="4" t="s">
        <v>122</v>
      </c>
      <c r="CE315" s="4" t="s">
        <v>122</v>
      </c>
      <c r="CF315" s="3">
        <v>1</v>
      </c>
      <c r="CG315" s="4" t="s">
        <v>122</v>
      </c>
      <c r="CH315" s="3">
        <v>2.2999999999999998</v>
      </c>
      <c r="CI315" s="4" t="s">
        <v>122</v>
      </c>
      <c r="CJ315" s="4" t="s">
        <v>122</v>
      </c>
      <c r="CK315" s="4" t="s">
        <v>122</v>
      </c>
      <c r="CL315" s="4" t="s">
        <v>125</v>
      </c>
      <c r="CM315" s="4" t="s">
        <v>122</v>
      </c>
      <c r="CN315" s="4" t="s">
        <v>122</v>
      </c>
      <c r="CO315" s="4" t="s">
        <v>122</v>
      </c>
      <c r="CP315" s="4" t="s">
        <v>122</v>
      </c>
      <c r="CQ315" s="4" t="s">
        <v>122</v>
      </c>
      <c r="CR315" s="4" t="s">
        <v>122</v>
      </c>
      <c r="CS315" s="3">
        <v>3</v>
      </c>
      <c r="CT315" s="3">
        <v>2</v>
      </c>
      <c r="CU315" s="42">
        <v>2</v>
      </c>
      <c r="CV315" cm="1">
        <f t="array" ref="CV315">_xlfn.IFS(CU315*1=2,1,CU315*1=4,1,TRUE,0)</f>
        <v>1</v>
      </c>
      <c r="CW315" cm="1">
        <f t="array" ref="CW315">_xlfn.IFS(CU315*1=1,1,CU315*1=2,1,TRUE,0)</f>
        <v>1</v>
      </c>
      <c r="CX315" s="3">
        <f t="shared" si="35"/>
        <v>0</v>
      </c>
      <c r="CY315" s="3">
        <f t="shared" si="36"/>
        <v>6</v>
      </c>
      <c r="CZ315" s="3" cm="1">
        <f t="array" ref="CZ315">_xlfn.IFS(BP315&lt;&gt;"", BP315, CV315=1,  AQ315, CV315=0,  AZ315)</f>
        <v>4.5</v>
      </c>
      <c r="DA315" s="36" cm="1">
        <f t="array" ref="DA315">_xlfn.IFS(BO315&lt;&gt;"", BO315, CV315=0,  AQ315, CV315=1,  AZ315)</f>
        <v>2</v>
      </c>
      <c r="DB315" s="36">
        <f t="shared" si="37"/>
        <v>1.5</v>
      </c>
      <c r="DC315" s="3">
        <f t="shared" si="38"/>
        <v>-4.5</v>
      </c>
      <c r="DD315" s="3">
        <f t="shared" si="39"/>
        <v>0</v>
      </c>
      <c r="DE315" s="3">
        <f t="shared" si="42"/>
        <v>1.5</v>
      </c>
      <c r="DF315" s="3">
        <f t="shared" si="40"/>
        <v>-2.5</v>
      </c>
      <c r="DG315" s="3">
        <f t="shared" si="41"/>
        <v>-4.5</v>
      </c>
    </row>
    <row r="316" spans="1:112" x14ac:dyDescent="0.4">
      <c r="A316">
        <v>202511</v>
      </c>
      <c r="B316">
        <v>456</v>
      </c>
      <c r="C316" s="5">
        <v>45969.525462962964</v>
      </c>
      <c r="D316" s="5">
        <v>45969.529687499999</v>
      </c>
      <c r="E316" s="3">
        <v>0</v>
      </c>
      <c r="F316" s="4" t="s">
        <v>288</v>
      </c>
      <c r="G316" s="3">
        <v>100</v>
      </c>
      <c r="H316" s="3">
        <v>365</v>
      </c>
      <c r="I316" s="3">
        <v>1</v>
      </c>
      <c r="J316" s="5">
        <v>45969.529700949075</v>
      </c>
      <c r="K316" s="4" t="s">
        <v>287</v>
      </c>
      <c r="L316" s="4" t="s">
        <v>122</v>
      </c>
      <c r="M316" s="4" t="s">
        <v>122</v>
      </c>
      <c r="N316" s="4" t="s">
        <v>122</v>
      </c>
      <c r="O316" s="4" t="s">
        <v>122</v>
      </c>
      <c r="P316" s="3">
        <v>32.250300000000003</v>
      </c>
      <c r="Q316" s="3">
        <v>-110.94499999999999</v>
      </c>
      <c r="R316" s="4" t="s">
        <v>129</v>
      </c>
      <c r="S316" s="4" t="s">
        <v>124</v>
      </c>
      <c r="T316" s="3">
        <v>4</v>
      </c>
      <c r="U316" s="3">
        <v>0</v>
      </c>
      <c r="V316" s="3">
        <v>1</v>
      </c>
      <c r="W316" s="3">
        <v>1</v>
      </c>
      <c r="X316" s="3">
        <v>4</v>
      </c>
      <c r="Y316" s="3">
        <v>5</v>
      </c>
      <c r="Z316" s="3">
        <v>4</v>
      </c>
      <c r="AA316" s="3">
        <v>4</v>
      </c>
      <c r="AB316" s="4" t="s">
        <v>122</v>
      </c>
      <c r="AC316" s="4" t="s">
        <v>122</v>
      </c>
      <c r="AD316" s="4" t="s">
        <v>122</v>
      </c>
      <c r="AE316" s="4" t="s">
        <v>125</v>
      </c>
      <c r="AF316" s="4" t="s">
        <v>122</v>
      </c>
      <c r="AG316" s="3">
        <v>3</v>
      </c>
      <c r="AH316" s="3">
        <v>6</v>
      </c>
      <c r="AI316" s="3">
        <v>2</v>
      </c>
      <c r="AJ316" s="3">
        <v>7</v>
      </c>
      <c r="AK316" s="3">
        <v>5</v>
      </c>
      <c r="AL316" s="3">
        <v>7</v>
      </c>
      <c r="AM316" s="3">
        <v>7</v>
      </c>
      <c r="AN316" s="3">
        <v>6</v>
      </c>
      <c r="AO316" s="3">
        <v>2</v>
      </c>
      <c r="AP316" s="3">
        <v>2</v>
      </c>
      <c r="AQ316" s="4" t="s">
        <v>122</v>
      </c>
      <c r="AR316" s="4" t="s">
        <v>122</v>
      </c>
      <c r="AS316" s="3">
        <v>8</v>
      </c>
      <c r="AT316" s="3">
        <v>5</v>
      </c>
      <c r="AU316" s="3">
        <v>7</v>
      </c>
      <c r="AV316" s="3">
        <v>8</v>
      </c>
      <c r="AW316" s="3">
        <v>6</v>
      </c>
      <c r="AX316" s="3">
        <v>3</v>
      </c>
      <c r="AY316" s="3">
        <v>3</v>
      </c>
      <c r="AZ316" s="4" t="s">
        <v>122</v>
      </c>
      <c r="BA316" s="4" t="s">
        <v>122</v>
      </c>
      <c r="BB316" s="4" t="s">
        <v>122</v>
      </c>
      <c r="BC316" s="4" t="s">
        <v>122</v>
      </c>
      <c r="BD316" s="4" t="s">
        <v>122</v>
      </c>
      <c r="BE316" s="4" t="s">
        <v>122</v>
      </c>
      <c r="BF316" s="4" t="s">
        <v>122</v>
      </c>
      <c r="BG316" s="4" t="s">
        <v>122</v>
      </c>
      <c r="BH316" s="4" t="s">
        <v>122</v>
      </c>
      <c r="BI316" s="4" t="s">
        <v>122</v>
      </c>
      <c r="BJ316" s="4" t="s">
        <v>122</v>
      </c>
      <c r="BK316" s="4" t="s">
        <v>122</v>
      </c>
      <c r="BL316" s="4" t="s">
        <v>122</v>
      </c>
      <c r="BM316" s="4" t="s">
        <v>122</v>
      </c>
      <c r="BN316" s="4" t="s">
        <v>122</v>
      </c>
      <c r="BO316" s="3">
        <v>7</v>
      </c>
      <c r="BP316" s="3">
        <v>6</v>
      </c>
      <c r="BQ316" s="3">
        <v>3</v>
      </c>
      <c r="BR316" s="4" t="s">
        <v>125</v>
      </c>
      <c r="BS316" s="4" t="s">
        <v>122</v>
      </c>
      <c r="BT316" s="4" t="s">
        <v>122</v>
      </c>
      <c r="BU316" s="4" t="s">
        <v>122</v>
      </c>
      <c r="BV316" s="4" t="s">
        <v>122</v>
      </c>
      <c r="BW316" s="4" t="s">
        <v>122</v>
      </c>
      <c r="BX316" s="4" t="s">
        <v>122</v>
      </c>
      <c r="BY316" s="4" t="s">
        <v>122</v>
      </c>
      <c r="BZ316" s="4" t="s">
        <v>122</v>
      </c>
      <c r="CA316" s="3">
        <v>1</v>
      </c>
      <c r="CB316" s="3">
        <v>7</v>
      </c>
      <c r="CC316" s="3">
        <v>3</v>
      </c>
      <c r="CD316" s="3">
        <v>6</v>
      </c>
      <c r="CE316" s="3">
        <v>3</v>
      </c>
      <c r="CF316" s="3">
        <v>2</v>
      </c>
      <c r="CG316" s="4" t="s">
        <v>122</v>
      </c>
      <c r="CH316" s="3">
        <v>6</v>
      </c>
      <c r="CI316" s="4" t="s">
        <v>122</v>
      </c>
      <c r="CJ316" s="4" t="s">
        <v>122</v>
      </c>
      <c r="CK316" s="4" t="s">
        <v>122</v>
      </c>
      <c r="CL316" s="4" t="s">
        <v>122</v>
      </c>
      <c r="CM316" s="4" t="s">
        <v>122</v>
      </c>
      <c r="CN316" s="4" t="s">
        <v>122</v>
      </c>
      <c r="CO316" s="4" t="s">
        <v>125</v>
      </c>
      <c r="CP316" s="4" t="s">
        <v>122</v>
      </c>
      <c r="CQ316" s="4" t="s">
        <v>122</v>
      </c>
      <c r="CR316" s="4" t="s">
        <v>122</v>
      </c>
      <c r="CS316" s="3">
        <v>5</v>
      </c>
      <c r="CT316" s="3">
        <v>6</v>
      </c>
      <c r="CU316" s="42">
        <v>4</v>
      </c>
      <c r="CV316" cm="1">
        <f t="array" ref="CV316">_xlfn.IFS(CU316*1=2,1,CU316*1=4,1,TRUE,0)</f>
        <v>1</v>
      </c>
      <c r="CW316" cm="1">
        <f t="array" ref="CW316">_xlfn.IFS(CU316*1=1,1,CU316*1=2,1,TRUE,0)</f>
        <v>0</v>
      </c>
      <c r="CX316" s="3">
        <f t="shared" si="35"/>
        <v>7</v>
      </c>
      <c r="CY316" s="3">
        <f t="shared" si="36"/>
        <v>6</v>
      </c>
      <c r="CZ316" s="3" cm="1">
        <f t="array" ref="CZ316">_xlfn.IFS(BP316&lt;&gt;"", BP316, CV316=1,  AQ316, CV316=0,  AZ316)</f>
        <v>6</v>
      </c>
      <c r="DA316" s="36" cm="1">
        <f t="array" ref="DA316">_xlfn.IFS(BO316&lt;&gt;"", BO316, CV316=0,  AQ316, CV316=1,  AZ316)</f>
        <v>7</v>
      </c>
      <c r="DB316" s="36">
        <f t="shared" si="37"/>
        <v>0</v>
      </c>
      <c r="DC316" s="3">
        <f t="shared" si="38"/>
        <v>1</v>
      </c>
      <c r="DD316" s="3">
        <f t="shared" si="39"/>
        <v>0</v>
      </c>
      <c r="DE316" s="3">
        <f t="shared" si="42"/>
        <v>0</v>
      </c>
      <c r="DF316" s="3">
        <f t="shared" si="40"/>
        <v>1</v>
      </c>
      <c r="DG316" s="3">
        <f t="shared" si="41"/>
        <v>1</v>
      </c>
    </row>
    <row r="317" spans="1:112" x14ac:dyDescent="0.4">
      <c r="A317">
        <v>202511</v>
      </c>
      <c r="B317">
        <v>123</v>
      </c>
      <c r="C317" s="1">
        <v>45969.526736111111</v>
      </c>
      <c r="D317" s="1">
        <v>45969.531087962961</v>
      </c>
      <c r="E317">
        <v>0</v>
      </c>
      <c r="F317" s="2" t="s">
        <v>227</v>
      </c>
      <c r="G317">
        <v>100</v>
      </c>
      <c r="H317">
        <v>375</v>
      </c>
      <c r="I317">
        <v>1</v>
      </c>
      <c r="J317" s="1">
        <v>45969.531094317128</v>
      </c>
      <c r="K317" s="2" t="s">
        <v>228</v>
      </c>
      <c r="L317" s="2" t="s">
        <v>122</v>
      </c>
      <c r="M317" s="2" t="s">
        <v>122</v>
      </c>
      <c r="N317" s="2" t="s">
        <v>122</v>
      </c>
      <c r="O317" s="2" t="s">
        <v>122</v>
      </c>
      <c r="P317">
        <v>32.250300000000003</v>
      </c>
      <c r="Q317">
        <v>-110.94499999999999</v>
      </c>
      <c r="R317" s="2" t="s">
        <v>129</v>
      </c>
      <c r="S317" s="2" t="s">
        <v>124</v>
      </c>
      <c r="T317">
        <v>4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 s="2" t="s">
        <v>122</v>
      </c>
      <c r="AC317" s="2" t="s">
        <v>122</v>
      </c>
      <c r="AD317" s="2" t="s">
        <v>122</v>
      </c>
      <c r="AE317" s="2" t="s">
        <v>122</v>
      </c>
      <c r="AF317" s="2" t="s">
        <v>122</v>
      </c>
      <c r="AG317">
        <v>1</v>
      </c>
      <c r="AH317">
        <v>0</v>
      </c>
      <c r="AI317" s="2" t="s">
        <v>122</v>
      </c>
      <c r="AJ317">
        <v>4</v>
      </c>
      <c r="AK317">
        <v>7</v>
      </c>
      <c r="AL317">
        <v>6</v>
      </c>
      <c r="AM317">
        <v>6</v>
      </c>
      <c r="AN317">
        <v>3</v>
      </c>
      <c r="AO317">
        <v>2</v>
      </c>
      <c r="AP317">
        <v>3</v>
      </c>
      <c r="AQ317" s="2" t="s">
        <v>122</v>
      </c>
      <c r="AR317" s="2" t="s">
        <v>122</v>
      </c>
      <c r="AS317">
        <v>3</v>
      </c>
      <c r="AT317">
        <v>6</v>
      </c>
      <c r="AU317">
        <v>5</v>
      </c>
      <c r="AV317">
        <v>1</v>
      </c>
      <c r="AW317">
        <v>4</v>
      </c>
      <c r="AX317">
        <v>2</v>
      </c>
      <c r="AY317">
        <v>1</v>
      </c>
      <c r="AZ317" s="2" t="s">
        <v>122</v>
      </c>
      <c r="BA317" s="2" t="s">
        <v>122</v>
      </c>
      <c r="BB317" s="2" t="s">
        <v>122</v>
      </c>
      <c r="BC317" s="2" t="s">
        <v>122</v>
      </c>
      <c r="BD317" s="2" t="s">
        <v>122</v>
      </c>
      <c r="BE317" s="2" t="s">
        <v>122</v>
      </c>
      <c r="BF317" s="2" t="s">
        <v>122</v>
      </c>
      <c r="BG317" s="2" t="s">
        <v>122</v>
      </c>
      <c r="BH317" s="2" t="s">
        <v>122</v>
      </c>
      <c r="BI317" s="2" t="s">
        <v>122</v>
      </c>
      <c r="BJ317" s="2" t="s">
        <v>122</v>
      </c>
      <c r="BK317" s="2" t="s">
        <v>122</v>
      </c>
      <c r="BL317" s="2" t="s">
        <v>122</v>
      </c>
      <c r="BM317" s="2" t="s">
        <v>122</v>
      </c>
      <c r="BN317" s="2" t="s">
        <v>122</v>
      </c>
      <c r="BO317">
        <v>4</v>
      </c>
      <c r="BP317">
        <v>0</v>
      </c>
      <c r="BQ317">
        <v>3</v>
      </c>
      <c r="BR317" s="2" t="s">
        <v>122</v>
      </c>
      <c r="BS317" s="2" t="s">
        <v>122</v>
      </c>
      <c r="BT317" s="2" t="s">
        <v>122</v>
      </c>
      <c r="BU317" s="2" t="s">
        <v>122</v>
      </c>
      <c r="BV317" s="2" t="s">
        <v>122</v>
      </c>
      <c r="BW317" s="2" t="s">
        <v>122</v>
      </c>
      <c r="BX317" s="2" t="s">
        <v>122</v>
      </c>
      <c r="BY317" s="2" t="s">
        <v>122</v>
      </c>
      <c r="BZ317" s="2" t="s">
        <v>125</v>
      </c>
      <c r="CA317" s="2" t="s">
        <v>122</v>
      </c>
      <c r="CB317">
        <v>0</v>
      </c>
      <c r="CC317" s="2" t="s">
        <v>122</v>
      </c>
      <c r="CD317">
        <v>0</v>
      </c>
      <c r="CE317" s="2" t="s">
        <v>122</v>
      </c>
      <c r="CF317">
        <v>2</v>
      </c>
      <c r="CG317" s="2" t="s">
        <v>122</v>
      </c>
      <c r="CH317">
        <v>2.2999999999999998</v>
      </c>
      <c r="CI317" s="2" t="s">
        <v>122</v>
      </c>
      <c r="CJ317" s="2" t="s">
        <v>122</v>
      </c>
      <c r="CK317" s="2" t="s">
        <v>122</v>
      </c>
      <c r="CL317" s="2" t="s">
        <v>122</v>
      </c>
      <c r="CM317" s="2" t="s">
        <v>122</v>
      </c>
      <c r="CN317" s="2" t="s">
        <v>122</v>
      </c>
      <c r="CO317" s="2" t="s">
        <v>125</v>
      </c>
      <c r="CP317" s="2" t="s">
        <v>122</v>
      </c>
      <c r="CQ317" s="2" t="s">
        <v>122</v>
      </c>
      <c r="CR317" s="2" t="s">
        <v>122</v>
      </c>
      <c r="CS317">
        <v>3</v>
      </c>
      <c r="CT317">
        <v>1</v>
      </c>
      <c r="CU317" s="43">
        <v>3</v>
      </c>
      <c r="CV317" cm="1">
        <f t="array" ref="CV317">_xlfn.IFS(CU317*1=2,1,CU317*1=4,1,TRUE,0)</f>
        <v>0</v>
      </c>
      <c r="CW317" cm="1">
        <f t="array" ref="CW317">_xlfn.IFS(CU317*1=1,1,CU317*1=2,1,TRUE,0)</f>
        <v>0</v>
      </c>
      <c r="CX317" s="3">
        <f t="shared" si="35"/>
        <v>0</v>
      </c>
      <c r="CY317" s="3">
        <f t="shared" si="36"/>
        <v>0</v>
      </c>
      <c r="CZ317" s="3" cm="1">
        <f t="array" ref="CZ317">_xlfn.IFS(BP317&lt;&gt;"", BP317, CV317=1,  AQ317, CV317=0,  AZ317)</f>
        <v>0</v>
      </c>
      <c r="DA317" s="36" cm="1">
        <f t="array" ref="DA317">_xlfn.IFS(BO317&lt;&gt;"", BO317, CV317=0,  AQ317, CV317=1,  AZ317)</f>
        <v>4</v>
      </c>
      <c r="DB317" s="36">
        <f t="shared" si="37"/>
        <v>0</v>
      </c>
      <c r="DC317" s="3">
        <f t="shared" si="38"/>
        <v>0</v>
      </c>
      <c r="DD317" s="3">
        <f t="shared" si="39"/>
        <v>0</v>
      </c>
      <c r="DE317" s="3">
        <f t="shared" si="42"/>
        <v>0</v>
      </c>
      <c r="DF317" s="3">
        <f t="shared" si="40"/>
        <v>0</v>
      </c>
      <c r="DG317" s="3">
        <f t="shared" si="41"/>
        <v>4</v>
      </c>
    </row>
    <row r="318" spans="1:112" x14ac:dyDescent="0.4">
      <c r="A318">
        <v>202511</v>
      </c>
      <c r="B318">
        <v>123</v>
      </c>
      <c r="C318" s="1">
        <v>45969.527986111112</v>
      </c>
      <c r="D318" s="1">
        <v>45969.531134259261</v>
      </c>
      <c r="E318">
        <v>0</v>
      </c>
      <c r="F318" s="2" t="s">
        <v>229</v>
      </c>
      <c r="G318">
        <v>100</v>
      </c>
      <c r="H318">
        <v>272</v>
      </c>
      <c r="I318">
        <v>1</v>
      </c>
      <c r="J318" s="1">
        <v>45969.531144976849</v>
      </c>
      <c r="K318" s="2" t="s">
        <v>230</v>
      </c>
      <c r="L318" s="2" t="s">
        <v>122</v>
      </c>
      <c r="M318" s="2" t="s">
        <v>122</v>
      </c>
      <c r="N318" s="2" t="s">
        <v>122</v>
      </c>
      <c r="O318" s="2" t="s">
        <v>122</v>
      </c>
      <c r="P318">
        <v>33.434199999999997</v>
      </c>
      <c r="Q318">
        <v>-111.8454</v>
      </c>
      <c r="R318" s="2" t="s">
        <v>129</v>
      </c>
      <c r="S318" s="2" t="s">
        <v>124</v>
      </c>
      <c r="T318">
        <v>4</v>
      </c>
      <c r="U318">
        <v>1</v>
      </c>
      <c r="V318">
        <v>2</v>
      </c>
      <c r="W318">
        <v>1</v>
      </c>
      <c r="X318">
        <v>1</v>
      </c>
      <c r="Y318">
        <v>1</v>
      </c>
      <c r="Z318">
        <v>1</v>
      </c>
      <c r="AA318">
        <v>1</v>
      </c>
      <c r="AB318" s="2" t="s">
        <v>122</v>
      </c>
      <c r="AC318" s="2" t="s">
        <v>122</v>
      </c>
      <c r="AD318" s="2" t="s">
        <v>122</v>
      </c>
      <c r="AE318" s="2" t="s">
        <v>122</v>
      </c>
      <c r="AF318" s="2" t="s">
        <v>122</v>
      </c>
      <c r="AG318">
        <v>2</v>
      </c>
      <c r="AH318">
        <v>0</v>
      </c>
      <c r="AI318" s="2" t="s">
        <v>122</v>
      </c>
      <c r="AJ318">
        <v>1</v>
      </c>
      <c r="AK318">
        <v>5</v>
      </c>
      <c r="AL318">
        <v>5</v>
      </c>
      <c r="AM318">
        <v>2</v>
      </c>
      <c r="AN318">
        <v>2</v>
      </c>
      <c r="AO318">
        <v>3</v>
      </c>
      <c r="AP318">
        <v>3</v>
      </c>
      <c r="AQ318">
        <v>0</v>
      </c>
      <c r="AR318" s="2" t="s">
        <v>122</v>
      </c>
      <c r="AS318">
        <v>2</v>
      </c>
      <c r="AT318">
        <v>5</v>
      </c>
      <c r="AU318">
        <v>5</v>
      </c>
      <c r="AV318">
        <v>5</v>
      </c>
      <c r="AW318">
        <v>5</v>
      </c>
      <c r="AX318">
        <v>3</v>
      </c>
      <c r="AY318">
        <v>4</v>
      </c>
      <c r="AZ318">
        <v>0</v>
      </c>
      <c r="BA318" s="2" t="s">
        <v>122</v>
      </c>
      <c r="BB318">
        <v>0</v>
      </c>
      <c r="BC318">
        <v>0</v>
      </c>
      <c r="BD318">
        <v>2</v>
      </c>
      <c r="BE318" s="2" t="s">
        <v>122</v>
      </c>
      <c r="BF318" s="2" t="s">
        <v>122</v>
      </c>
      <c r="BG318" s="2" t="s">
        <v>122</v>
      </c>
      <c r="BH318" s="2" t="s">
        <v>122</v>
      </c>
      <c r="BI318" s="2" t="s">
        <v>122</v>
      </c>
      <c r="BJ318" s="2" t="s">
        <v>122</v>
      </c>
      <c r="BK318" s="2" t="s">
        <v>122</v>
      </c>
      <c r="BL318" s="2" t="s">
        <v>122</v>
      </c>
      <c r="BM318" s="2" t="s">
        <v>125</v>
      </c>
      <c r="BN318" s="2" t="s">
        <v>122</v>
      </c>
      <c r="BO318" s="2" t="s">
        <v>122</v>
      </c>
      <c r="BP318" s="2" t="s">
        <v>122</v>
      </c>
      <c r="BQ318" s="2" t="s">
        <v>122</v>
      </c>
      <c r="BR318" s="2" t="s">
        <v>122</v>
      </c>
      <c r="BS318" s="2" t="s">
        <v>122</v>
      </c>
      <c r="BT318" s="2" t="s">
        <v>122</v>
      </c>
      <c r="BU318" s="2" t="s">
        <v>122</v>
      </c>
      <c r="BV318" s="2" t="s">
        <v>122</v>
      </c>
      <c r="BW318" s="2" t="s">
        <v>122</v>
      </c>
      <c r="BX318" s="2" t="s">
        <v>122</v>
      </c>
      <c r="BY318" s="2" t="s">
        <v>122</v>
      </c>
      <c r="BZ318" s="2" t="s">
        <v>122</v>
      </c>
      <c r="CA318" s="2" t="s">
        <v>122</v>
      </c>
      <c r="CB318" s="2" t="s">
        <v>122</v>
      </c>
      <c r="CC318" s="2" t="s">
        <v>122</v>
      </c>
      <c r="CD318" s="2" t="s">
        <v>122</v>
      </c>
      <c r="CE318" s="2" t="s">
        <v>122</v>
      </c>
      <c r="CF318">
        <v>2</v>
      </c>
      <c r="CG318" s="2" t="s">
        <v>122</v>
      </c>
      <c r="CH318">
        <v>2.2999999999999998</v>
      </c>
      <c r="CI318" s="2" t="s">
        <v>122</v>
      </c>
      <c r="CJ318" s="2" t="s">
        <v>122</v>
      </c>
      <c r="CK318" s="2" t="s">
        <v>122</v>
      </c>
      <c r="CL318" s="2" t="s">
        <v>125</v>
      </c>
      <c r="CM318" s="2" t="s">
        <v>122</v>
      </c>
      <c r="CN318" s="2" t="s">
        <v>122</v>
      </c>
      <c r="CO318" s="2" t="s">
        <v>122</v>
      </c>
      <c r="CP318" s="2" t="s">
        <v>122</v>
      </c>
      <c r="CQ318" s="2" t="s">
        <v>122</v>
      </c>
      <c r="CR318" s="2" t="s">
        <v>122</v>
      </c>
      <c r="CS318">
        <v>4</v>
      </c>
      <c r="CT318">
        <v>4</v>
      </c>
      <c r="CU318" s="43">
        <v>1</v>
      </c>
      <c r="CV318" cm="1">
        <f t="array" ref="CV318">_xlfn.IFS(CU318*1=2,1,CU318*1=4,1,TRUE,0)</f>
        <v>0</v>
      </c>
      <c r="CW318" cm="1">
        <f t="array" ref="CW318">_xlfn.IFS(CU318*1=1,1,CU318*1=2,1,TRUE,0)</f>
        <v>1</v>
      </c>
      <c r="CX318" s="3">
        <f t="shared" si="35"/>
        <v>0</v>
      </c>
      <c r="CY318" s="3">
        <f t="shared" si="36"/>
        <v>0</v>
      </c>
      <c r="CZ318" s="3" cm="1">
        <f t="array" ref="CZ318">_xlfn.IFS(BP318&lt;&gt;"", BP318, CV318=1,  AQ318, CV318=0,  AZ318)</f>
        <v>0</v>
      </c>
      <c r="DA318" s="36" cm="1">
        <f t="array" ref="DA318">_xlfn.IFS(BO318&lt;&gt;"", BO318, CV318=0,  AQ318, CV318=1,  AZ318)</f>
        <v>0</v>
      </c>
      <c r="DB318" s="36">
        <f t="shared" si="37"/>
        <v>0</v>
      </c>
      <c r="DC318" s="3">
        <f t="shared" si="38"/>
        <v>0</v>
      </c>
      <c r="DD318" s="3">
        <f t="shared" si="39"/>
        <v>0</v>
      </c>
      <c r="DE318" s="3">
        <f t="shared" si="42"/>
        <v>0</v>
      </c>
      <c r="DF318" s="3">
        <f t="shared" si="40"/>
        <v>0</v>
      </c>
      <c r="DG318" s="3">
        <f t="shared" si="41"/>
        <v>0</v>
      </c>
    </row>
    <row r="319" spans="1:112" x14ac:dyDescent="0.4">
      <c r="A319">
        <v>202511</v>
      </c>
      <c r="B319">
        <v>456</v>
      </c>
      <c r="C319" s="5">
        <v>45969.529027777775</v>
      </c>
      <c r="D319" s="5">
        <v>45969.535173611112</v>
      </c>
      <c r="E319" s="3">
        <v>0</v>
      </c>
      <c r="F319" s="4" t="s">
        <v>282</v>
      </c>
      <c r="G319" s="3">
        <v>100</v>
      </c>
      <c r="H319" s="3">
        <v>531</v>
      </c>
      <c r="I319" s="3">
        <v>1</v>
      </c>
      <c r="J319" s="5">
        <v>45969.535188090274</v>
      </c>
      <c r="K319" s="4" t="s">
        <v>281</v>
      </c>
      <c r="L319" s="4" t="s">
        <v>122</v>
      </c>
      <c r="M319" s="4" t="s">
        <v>122</v>
      </c>
      <c r="N319" s="4" t="s">
        <v>122</v>
      </c>
      <c r="O319" s="4" t="s">
        <v>122</v>
      </c>
      <c r="P319" s="3">
        <v>32.145299999999999</v>
      </c>
      <c r="Q319" s="3">
        <v>-110.9456</v>
      </c>
      <c r="R319" s="4" t="s">
        <v>129</v>
      </c>
      <c r="S319" s="4" t="s">
        <v>124</v>
      </c>
      <c r="T319" s="3">
        <v>4</v>
      </c>
      <c r="U319" s="3">
        <v>1</v>
      </c>
      <c r="V319" s="3">
        <v>4</v>
      </c>
      <c r="W319" s="3">
        <v>2</v>
      </c>
      <c r="X319" s="3">
        <v>2</v>
      </c>
      <c r="Y319" s="3">
        <v>3</v>
      </c>
      <c r="Z319" s="3">
        <v>4</v>
      </c>
      <c r="AA319" s="3">
        <v>4</v>
      </c>
      <c r="AB319" s="4" t="s">
        <v>122</v>
      </c>
      <c r="AC319" s="4" t="s">
        <v>125</v>
      </c>
      <c r="AD319" s="4" t="s">
        <v>122</v>
      </c>
      <c r="AE319" s="4" t="s">
        <v>122</v>
      </c>
      <c r="AF319" s="4" t="s">
        <v>122</v>
      </c>
      <c r="AG319" s="3">
        <v>2</v>
      </c>
      <c r="AH319" s="3">
        <v>7</v>
      </c>
      <c r="AI319" s="3">
        <v>3</v>
      </c>
      <c r="AJ319" s="3">
        <v>8</v>
      </c>
      <c r="AK319" s="3">
        <v>8</v>
      </c>
      <c r="AL319" s="3">
        <v>7</v>
      </c>
      <c r="AM319" s="3">
        <v>8</v>
      </c>
      <c r="AN319" s="3">
        <v>8</v>
      </c>
      <c r="AO319" s="3">
        <v>1</v>
      </c>
      <c r="AP319" s="3">
        <v>3</v>
      </c>
      <c r="AQ319" s="3">
        <v>8</v>
      </c>
      <c r="AR319" s="3">
        <v>3</v>
      </c>
      <c r="AS319" s="3">
        <v>8</v>
      </c>
      <c r="AT319" s="3">
        <v>8</v>
      </c>
      <c r="AU319" s="3">
        <v>8</v>
      </c>
      <c r="AV319" s="3">
        <v>8</v>
      </c>
      <c r="AW319" s="3">
        <v>8</v>
      </c>
      <c r="AX319" s="3">
        <v>3</v>
      </c>
      <c r="AY319" s="3">
        <v>3</v>
      </c>
      <c r="AZ319" s="3">
        <v>8</v>
      </c>
      <c r="BA319" s="3">
        <v>3</v>
      </c>
      <c r="BB319" s="4" t="s">
        <v>122</v>
      </c>
      <c r="BC319" s="3">
        <v>8</v>
      </c>
      <c r="BD319" s="3">
        <v>3</v>
      </c>
      <c r="BE319" s="4" t="s">
        <v>125</v>
      </c>
      <c r="BF319" s="4" t="s">
        <v>122</v>
      </c>
      <c r="BG319" s="4" t="s">
        <v>122</v>
      </c>
      <c r="BH319" s="4" t="s">
        <v>122</v>
      </c>
      <c r="BI319" s="4" t="s">
        <v>125</v>
      </c>
      <c r="BJ319" s="4" t="s">
        <v>122</v>
      </c>
      <c r="BK319" s="4" t="s">
        <v>122</v>
      </c>
      <c r="BL319" s="4" t="s">
        <v>122</v>
      </c>
      <c r="BM319" s="4" t="s">
        <v>122</v>
      </c>
      <c r="BN319" s="3">
        <v>4</v>
      </c>
      <c r="BO319" s="4" t="s">
        <v>122</v>
      </c>
      <c r="BP319" s="4" t="s">
        <v>122</v>
      </c>
      <c r="BQ319" s="4" t="s">
        <v>122</v>
      </c>
      <c r="BR319" s="4" t="s">
        <v>122</v>
      </c>
      <c r="BS319" s="4" t="s">
        <v>122</v>
      </c>
      <c r="BT319" s="4" t="s">
        <v>122</v>
      </c>
      <c r="BU319" s="4" t="s">
        <v>122</v>
      </c>
      <c r="BV319" s="4" t="s">
        <v>122</v>
      </c>
      <c r="BW319" s="4" t="s">
        <v>122</v>
      </c>
      <c r="BX319" s="4" t="s">
        <v>122</v>
      </c>
      <c r="BY319" s="4" t="s">
        <v>122</v>
      </c>
      <c r="BZ319" s="4" t="s">
        <v>122</v>
      </c>
      <c r="CA319" s="4" t="s">
        <v>122</v>
      </c>
      <c r="CB319" s="4" t="s">
        <v>122</v>
      </c>
      <c r="CC319" s="4" t="s">
        <v>122</v>
      </c>
      <c r="CD319" s="4" t="s">
        <v>122</v>
      </c>
      <c r="CE319" s="4" t="s">
        <v>122</v>
      </c>
      <c r="CF319" s="3">
        <v>1</v>
      </c>
      <c r="CG319" s="4" t="s">
        <v>122</v>
      </c>
      <c r="CH319" s="3">
        <v>3</v>
      </c>
      <c r="CI319" s="4" t="s">
        <v>122</v>
      </c>
      <c r="CJ319" s="4" t="s">
        <v>122</v>
      </c>
      <c r="CK319" s="4" t="s">
        <v>122</v>
      </c>
      <c r="CL319" s="4" t="s">
        <v>122</v>
      </c>
      <c r="CM319" s="4" t="s">
        <v>122</v>
      </c>
      <c r="CN319" s="4" t="s">
        <v>122</v>
      </c>
      <c r="CO319" s="4" t="s">
        <v>125</v>
      </c>
      <c r="CP319" s="4" t="s">
        <v>122</v>
      </c>
      <c r="CQ319" s="4" t="s">
        <v>122</v>
      </c>
      <c r="CR319" s="4" t="s">
        <v>122</v>
      </c>
      <c r="CS319" s="3">
        <v>4</v>
      </c>
      <c r="CT319" s="3">
        <v>6</v>
      </c>
      <c r="CU319" s="42">
        <v>2</v>
      </c>
      <c r="CV319" cm="1">
        <f t="array" ref="CV319">_xlfn.IFS(CU319*1=2,1,CU319*1=4,1,TRUE,0)</f>
        <v>1</v>
      </c>
      <c r="CW319" cm="1">
        <f t="array" ref="CW319">_xlfn.IFS(CU319*1=1,1,CU319*1=2,1,TRUE,0)</f>
        <v>1</v>
      </c>
      <c r="CX319" s="3" t="str">
        <f t="shared" si="35"/>
        <v/>
      </c>
      <c r="CY319" s="3">
        <f t="shared" si="36"/>
        <v>8</v>
      </c>
      <c r="CZ319" s="3" cm="1">
        <f t="array" ref="CZ319">_xlfn.IFS(BP319&lt;&gt;"", BP319, CV319=1,  AQ319, CV319=0,  AZ319)</f>
        <v>8</v>
      </c>
      <c r="DA319" s="36" cm="1">
        <f t="array" ref="DA319">_xlfn.IFS(BO319&lt;&gt;"", BO319, CV319=0,  AQ319, CV319=1,  AZ319)</f>
        <v>8</v>
      </c>
      <c r="DB319" s="36">
        <f t="shared" si="37"/>
        <v>1</v>
      </c>
      <c r="DC319" s="60"/>
      <c r="DD319" s="3">
        <f t="shared" si="39"/>
        <v>1</v>
      </c>
      <c r="DE319" s="3">
        <f t="shared" si="42"/>
        <v>1</v>
      </c>
      <c r="DF319" s="3">
        <f t="shared" si="40"/>
        <v>1</v>
      </c>
      <c r="DG319" s="60"/>
      <c r="DH319" s="60"/>
    </row>
    <row r="320" spans="1:112" x14ac:dyDescent="0.4">
      <c r="A320">
        <v>202511</v>
      </c>
      <c r="B320">
        <v>123</v>
      </c>
      <c r="C320" s="1">
        <v>45969.529074074075</v>
      </c>
      <c r="D320" s="1">
        <v>45969.533206018517</v>
      </c>
      <c r="E320">
        <v>0</v>
      </c>
      <c r="F320" s="2" t="s">
        <v>231</v>
      </c>
      <c r="G320">
        <v>100</v>
      </c>
      <c r="H320">
        <v>356</v>
      </c>
      <c r="I320">
        <v>1</v>
      </c>
      <c r="J320" s="1">
        <v>45969.533210520836</v>
      </c>
      <c r="K320" s="2" t="s">
        <v>232</v>
      </c>
      <c r="L320" s="2" t="s">
        <v>122</v>
      </c>
      <c r="M320" s="2" t="s">
        <v>122</v>
      </c>
      <c r="N320" s="2" t="s">
        <v>122</v>
      </c>
      <c r="O320" s="2" t="s">
        <v>122</v>
      </c>
      <c r="P320">
        <v>36.128999999999998</v>
      </c>
      <c r="Q320">
        <v>-115.2765</v>
      </c>
      <c r="R320" s="2" t="s">
        <v>129</v>
      </c>
      <c r="S320" s="2" t="s">
        <v>124</v>
      </c>
      <c r="T320">
        <v>4</v>
      </c>
      <c r="U320">
        <v>1</v>
      </c>
      <c r="V320">
        <v>4</v>
      </c>
      <c r="W320">
        <v>2</v>
      </c>
      <c r="X320">
        <v>3</v>
      </c>
      <c r="Y320">
        <v>4</v>
      </c>
      <c r="Z320">
        <v>4</v>
      </c>
      <c r="AA320">
        <v>4</v>
      </c>
      <c r="AB320" s="2" t="s">
        <v>122</v>
      </c>
      <c r="AC320" s="2" t="s">
        <v>125</v>
      </c>
      <c r="AD320" s="2" t="s">
        <v>122</v>
      </c>
      <c r="AE320" s="2" t="s">
        <v>122</v>
      </c>
      <c r="AF320" s="2" t="s">
        <v>122</v>
      </c>
      <c r="AG320">
        <v>3</v>
      </c>
      <c r="AH320">
        <v>7.5</v>
      </c>
      <c r="AI320">
        <v>2</v>
      </c>
      <c r="AJ320">
        <v>8</v>
      </c>
      <c r="AK320">
        <v>8</v>
      </c>
      <c r="AL320">
        <v>8</v>
      </c>
      <c r="AM320">
        <v>8</v>
      </c>
      <c r="AN320">
        <v>8</v>
      </c>
      <c r="AO320">
        <v>3</v>
      </c>
      <c r="AP320">
        <v>3</v>
      </c>
      <c r="AQ320">
        <v>7</v>
      </c>
      <c r="AR320">
        <v>2</v>
      </c>
      <c r="AS320">
        <v>8</v>
      </c>
      <c r="AT320">
        <v>8</v>
      </c>
      <c r="AU320">
        <v>8</v>
      </c>
      <c r="AV320">
        <v>8</v>
      </c>
      <c r="AW320">
        <v>8</v>
      </c>
      <c r="AX320">
        <v>3</v>
      </c>
      <c r="AY320">
        <v>2</v>
      </c>
      <c r="AZ320">
        <v>7</v>
      </c>
      <c r="BA320">
        <v>3</v>
      </c>
      <c r="BB320">
        <v>7</v>
      </c>
      <c r="BC320">
        <v>7</v>
      </c>
      <c r="BD320">
        <v>3</v>
      </c>
      <c r="BE320" s="2" t="s">
        <v>125</v>
      </c>
      <c r="BF320" s="2" t="s">
        <v>122</v>
      </c>
      <c r="BG320" s="2" t="s">
        <v>125</v>
      </c>
      <c r="BH320" s="2" t="s">
        <v>122</v>
      </c>
      <c r="BI320" s="2" t="s">
        <v>122</v>
      </c>
      <c r="BJ320" s="2" t="s">
        <v>122</v>
      </c>
      <c r="BK320" s="2" t="s">
        <v>122</v>
      </c>
      <c r="BL320" s="2" t="s">
        <v>122</v>
      </c>
      <c r="BM320" s="2" t="s">
        <v>122</v>
      </c>
      <c r="BN320">
        <v>1</v>
      </c>
      <c r="BO320" s="2" t="s">
        <v>122</v>
      </c>
      <c r="BP320" s="2" t="s">
        <v>122</v>
      </c>
      <c r="BQ320" s="2" t="s">
        <v>122</v>
      </c>
      <c r="BR320" s="2" t="s">
        <v>122</v>
      </c>
      <c r="BS320" s="2" t="s">
        <v>122</v>
      </c>
      <c r="BT320" s="2" t="s">
        <v>122</v>
      </c>
      <c r="BU320" s="2" t="s">
        <v>122</v>
      </c>
      <c r="BV320" s="2" t="s">
        <v>122</v>
      </c>
      <c r="BW320" s="2" t="s">
        <v>122</v>
      </c>
      <c r="BX320" s="2" t="s">
        <v>122</v>
      </c>
      <c r="BY320" s="2" t="s">
        <v>122</v>
      </c>
      <c r="BZ320" s="2" t="s">
        <v>122</v>
      </c>
      <c r="CA320" s="2" t="s">
        <v>122</v>
      </c>
      <c r="CB320" s="2" t="s">
        <v>122</v>
      </c>
      <c r="CC320" s="2" t="s">
        <v>122</v>
      </c>
      <c r="CD320" s="2" t="s">
        <v>122</v>
      </c>
      <c r="CE320" s="2" t="s">
        <v>122</v>
      </c>
      <c r="CF320">
        <v>2</v>
      </c>
      <c r="CG320" s="2" t="s">
        <v>122</v>
      </c>
      <c r="CH320">
        <v>3</v>
      </c>
      <c r="CI320" s="2" t="s">
        <v>122</v>
      </c>
      <c r="CJ320" s="2" t="s">
        <v>122</v>
      </c>
      <c r="CK320" s="2" t="s">
        <v>122</v>
      </c>
      <c r="CL320" s="2" t="s">
        <v>122</v>
      </c>
      <c r="CM320" s="2" t="s">
        <v>122</v>
      </c>
      <c r="CN320" s="2" t="s">
        <v>122</v>
      </c>
      <c r="CO320" s="2" t="s">
        <v>125</v>
      </c>
      <c r="CP320" s="2" t="s">
        <v>122</v>
      </c>
      <c r="CQ320" s="2" t="s">
        <v>122</v>
      </c>
      <c r="CR320" s="2" t="s">
        <v>122</v>
      </c>
      <c r="CS320">
        <v>4</v>
      </c>
      <c r="CT320">
        <v>6</v>
      </c>
      <c r="CU320" s="43">
        <v>1</v>
      </c>
      <c r="CV320" cm="1">
        <f t="array" ref="CV320">_xlfn.IFS(CU320*1=2,1,CU320*1=4,1,TRUE,0)</f>
        <v>0</v>
      </c>
      <c r="CW320" cm="1">
        <f t="array" ref="CW320">_xlfn.IFS(CU320*1=1,1,CU320*1=2,1,TRUE,0)</f>
        <v>1</v>
      </c>
      <c r="CX320" s="3">
        <f t="shared" si="35"/>
        <v>7</v>
      </c>
      <c r="CY320" s="3">
        <f t="shared" si="36"/>
        <v>7</v>
      </c>
      <c r="CZ320" s="3" cm="1">
        <f t="array" ref="CZ320">_xlfn.IFS(BP320&lt;&gt;"", BP320, CV320=1,  AQ320, CV320=0,  AZ320)</f>
        <v>7</v>
      </c>
      <c r="DA320" s="36" cm="1">
        <f t="array" ref="DA320">_xlfn.IFS(BO320&lt;&gt;"", BO320, CV320=0,  AQ320, CV320=1,  AZ320)</f>
        <v>7</v>
      </c>
      <c r="DB320" s="36">
        <f t="shared" si="37"/>
        <v>-0.5</v>
      </c>
      <c r="DC320" s="3">
        <f t="shared" si="38"/>
        <v>-0.5</v>
      </c>
      <c r="DD320" s="3">
        <f t="shared" si="39"/>
        <v>-0.5</v>
      </c>
      <c r="DE320" s="3">
        <f t="shared" si="42"/>
        <v>-0.5</v>
      </c>
      <c r="DF320" s="3">
        <f t="shared" si="40"/>
        <v>-0.5</v>
      </c>
      <c r="DG320" s="3">
        <f t="shared" si="41"/>
        <v>-0.5</v>
      </c>
    </row>
    <row r="321" spans="1:111" x14ac:dyDescent="0.4">
      <c r="A321">
        <v>202511</v>
      </c>
      <c r="B321">
        <v>456</v>
      </c>
      <c r="C321" s="5">
        <v>45969.529687499999</v>
      </c>
      <c r="D321" s="5">
        <v>45969.533738425926</v>
      </c>
      <c r="E321" s="3">
        <v>0</v>
      </c>
      <c r="F321" s="4" t="s">
        <v>284</v>
      </c>
      <c r="G321" s="3">
        <v>100</v>
      </c>
      <c r="H321" s="3">
        <v>349</v>
      </c>
      <c r="I321" s="3">
        <v>1</v>
      </c>
      <c r="J321" s="5">
        <v>45969.533746967594</v>
      </c>
      <c r="K321" s="4" t="s">
        <v>283</v>
      </c>
      <c r="L321" s="4" t="s">
        <v>122</v>
      </c>
      <c r="M321" s="4" t="s">
        <v>122</v>
      </c>
      <c r="N321" s="4" t="s">
        <v>122</v>
      </c>
      <c r="O321" s="4" t="s">
        <v>122</v>
      </c>
      <c r="P321" s="3">
        <v>33.453200000000002</v>
      </c>
      <c r="Q321" s="3">
        <v>-112.0748</v>
      </c>
      <c r="R321" s="4" t="s">
        <v>129</v>
      </c>
      <c r="S321" s="4" t="s">
        <v>124</v>
      </c>
      <c r="T321" s="3">
        <v>4</v>
      </c>
      <c r="U321" s="3">
        <v>1</v>
      </c>
      <c r="V321" s="3">
        <v>5</v>
      </c>
      <c r="W321" s="3">
        <v>2</v>
      </c>
      <c r="X321" s="3">
        <v>1</v>
      </c>
      <c r="Y321" s="3">
        <v>1</v>
      </c>
      <c r="Z321" s="3">
        <v>1</v>
      </c>
      <c r="AA321" s="3">
        <v>1</v>
      </c>
      <c r="AB321" s="4" t="s">
        <v>122</v>
      </c>
      <c r="AC321" s="4" t="s">
        <v>122</v>
      </c>
      <c r="AD321" s="4" t="s">
        <v>122</v>
      </c>
      <c r="AE321" s="4" t="s">
        <v>122</v>
      </c>
      <c r="AF321" s="4" t="s">
        <v>122</v>
      </c>
      <c r="AG321" s="3">
        <v>3</v>
      </c>
      <c r="AH321" s="3">
        <v>2</v>
      </c>
      <c r="AI321" s="3">
        <v>2</v>
      </c>
      <c r="AJ321" s="3">
        <v>8</v>
      </c>
      <c r="AK321" s="3">
        <v>8</v>
      </c>
      <c r="AL321" s="3">
        <v>8</v>
      </c>
      <c r="AM321" s="3">
        <v>7</v>
      </c>
      <c r="AN321" s="3">
        <v>7</v>
      </c>
      <c r="AO321" s="3">
        <v>3</v>
      </c>
      <c r="AP321" s="3">
        <v>3</v>
      </c>
      <c r="AQ321" s="3">
        <v>2</v>
      </c>
      <c r="AR321" s="3">
        <v>2</v>
      </c>
      <c r="AS321" s="3">
        <v>6</v>
      </c>
      <c r="AT321" s="3">
        <v>6</v>
      </c>
      <c r="AU321" s="3">
        <v>6</v>
      </c>
      <c r="AV321" s="3">
        <v>6</v>
      </c>
      <c r="AW321" s="3">
        <v>6</v>
      </c>
      <c r="AX321" s="3">
        <v>3</v>
      </c>
      <c r="AY321" s="3">
        <v>2</v>
      </c>
      <c r="AZ321" s="3">
        <v>2</v>
      </c>
      <c r="BA321" s="3">
        <v>2</v>
      </c>
      <c r="BB321" s="3">
        <v>4</v>
      </c>
      <c r="BC321" s="3">
        <v>4</v>
      </c>
      <c r="BD321" s="3">
        <v>2</v>
      </c>
      <c r="BE321" s="4" t="s">
        <v>125</v>
      </c>
      <c r="BF321" s="4" t="s">
        <v>122</v>
      </c>
      <c r="BG321" s="4" t="s">
        <v>122</v>
      </c>
      <c r="BH321" s="4" t="s">
        <v>122</v>
      </c>
      <c r="BI321" s="4" t="s">
        <v>122</v>
      </c>
      <c r="BJ321" s="4" t="s">
        <v>122</v>
      </c>
      <c r="BK321" s="4" t="s">
        <v>122</v>
      </c>
      <c r="BL321" s="4" t="s">
        <v>122</v>
      </c>
      <c r="BM321" s="4" t="s">
        <v>122</v>
      </c>
      <c r="BN321" s="4" t="s">
        <v>122</v>
      </c>
      <c r="BO321" s="4" t="s">
        <v>122</v>
      </c>
      <c r="BP321" s="4" t="s">
        <v>122</v>
      </c>
      <c r="BQ321" s="4" t="s">
        <v>122</v>
      </c>
      <c r="BR321" s="4" t="s">
        <v>122</v>
      </c>
      <c r="BS321" s="4" t="s">
        <v>122</v>
      </c>
      <c r="BT321" s="4" t="s">
        <v>122</v>
      </c>
      <c r="BU321" s="4" t="s">
        <v>122</v>
      </c>
      <c r="BV321" s="4" t="s">
        <v>122</v>
      </c>
      <c r="BW321" s="4" t="s">
        <v>122</v>
      </c>
      <c r="BX321" s="4" t="s">
        <v>122</v>
      </c>
      <c r="BY321" s="4" t="s">
        <v>122</v>
      </c>
      <c r="BZ321" s="4" t="s">
        <v>122</v>
      </c>
      <c r="CA321" s="4" t="s">
        <v>122</v>
      </c>
      <c r="CB321" s="4" t="s">
        <v>122</v>
      </c>
      <c r="CC321" s="4" t="s">
        <v>122</v>
      </c>
      <c r="CD321" s="4" t="s">
        <v>122</v>
      </c>
      <c r="CE321" s="4" t="s">
        <v>122</v>
      </c>
      <c r="CF321" s="3">
        <v>1</v>
      </c>
      <c r="CG321" s="4" t="s">
        <v>122</v>
      </c>
      <c r="CH321" s="3">
        <v>6</v>
      </c>
      <c r="CI321" s="4" t="s">
        <v>122</v>
      </c>
      <c r="CJ321" s="4" t="s">
        <v>122</v>
      </c>
      <c r="CK321" s="4" t="s">
        <v>122</v>
      </c>
      <c r="CL321" s="4" t="s">
        <v>122</v>
      </c>
      <c r="CM321" s="4" t="s">
        <v>122</v>
      </c>
      <c r="CN321" s="4" t="s">
        <v>122</v>
      </c>
      <c r="CO321" s="4" t="s">
        <v>125</v>
      </c>
      <c r="CP321" s="4" t="s">
        <v>122</v>
      </c>
      <c r="CQ321" s="4" t="s">
        <v>122</v>
      </c>
      <c r="CR321" s="4" t="s">
        <v>122</v>
      </c>
      <c r="CS321" s="3">
        <v>4</v>
      </c>
      <c r="CT321" s="3">
        <v>5</v>
      </c>
      <c r="CU321" s="42">
        <v>2</v>
      </c>
      <c r="CV321" cm="1">
        <f t="array" ref="CV321">_xlfn.IFS(CU321*1=2,1,CU321*1=4,1,TRUE,0)</f>
        <v>1</v>
      </c>
      <c r="CW321" cm="1">
        <f t="array" ref="CW321">_xlfn.IFS(CU321*1=1,1,CU321*1=2,1,TRUE,0)</f>
        <v>1</v>
      </c>
      <c r="CX321" s="3">
        <f t="shared" si="35"/>
        <v>4</v>
      </c>
      <c r="CY321" s="3">
        <f t="shared" si="36"/>
        <v>4</v>
      </c>
      <c r="CZ321" s="3" cm="1">
        <f t="array" ref="CZ321">_xlfn.IFS(BP321&lt;&gt;"", BP321, CV321=1,  AQ321, CV321=0,  AZ321)</f>
        <v>2</v>
      </c>
      <c r="DA321" s="36" cm="1">
        <f t="array" ref="DA321">_xlfn.IFS(BO321&lt;&gt;"", BO321, CV321=0,  AQ321, CV321=1,  AZ321)</f>
        <v>2</v>
      </c>
      <c r="DB321" s="36">
        <f t="shared" si="37"/>
        <v>2</v>
      </c>
      <c r="DC321" s="3">
        <f t="shared" si="38"/>
        <v>2</v>
      </c>
      <c r="DD321" s="3">
        <f t="shared" si="39"/>
        <v>0</v>
      </c>
      <c r="DE321" s="3">
        <f t="shared" si="42"/>
        <v>2</v>
      </c>
      <c r="DF321" s="3">
        <f t="shared" si="40"/>
        <v>0</v>
      </c>
      <c r="DG321" s="3">
        <f t="shared" si="41"/>
        <v>2</v>
      </c>
    </row>
    <row r="322" spans="1:111" x14ac:dyDescent="0.4">
      <c r="A322">
        <v>202511</v>
      </c>
      <c r="B322">
        <v>456</v>
      </c>
      <c r="C322" s="5">
        <v>45969.530740740738</v>
      </c>
      <c r="D322" s="5">
        <v>45969.533125000002</v>
      </c>
      <c r="E322" s="3">
        <v>0</v>
      </c>
      <c r="F322" s="4" t="s">
        <v>286</v>
      </c>
      <c r="G322" s="3">
        <v>100</v>
      </c>
      <c r="H322" s="3">
        <v>206</v>
      </c>
      <c r="I322" s="3">
        <v>1</v>
      </c>
      <c r="J322" s="5">
        <v>45969.533137592596</v>
      </c>
      <c r="K322" s="4" t="s">
        <v>285</v>
      </c>
      <c r="L322" s="4" t="s">
        <v>122</v>
      </c>
      <c r="M322" s="4" t="s">
        <v>122</v>
      </c>
      <c r="N322" s="4" t="s">
        <v>122</v>
      </c>
      <c r="O322" s="4" t="s">
        <v>122</v>
      </c>
      <c r="P322" s="3">
        <v>33.453200000000002</v>
      </c>
      <c r="Q322" s="3">
        <v>-112.0748</v>
      </c>
      <c r="R322" s="4" t="s">
        <v>129</v>
      </c>
      <c r="S322" s="4" t="s">
        <v>124</v>
      </c>
      <c r="T322" s="3">
        <v>4</v>
      </c>
      <c r="U322" s="3">
        <v>1</v>
      </c>
      <c r="V322" s="3">
        <v>2</v>
      </c>
      <c r="W322" s="3">
        <v>2</v>
      </c>
      <c r="X322" s="3">
        <v>2</v>
      </c>
      <c r="Y322" s="3">
        <v>2</v>
      </c>
      <c r="Z322" s="3">
        <v>1</v>
      </c>
      <c r="AA322" s="3">
        <v>1</v>
      </c>
      <c r="AB322" s="4" t="s">
        <v>122</v>
      </c>
      <c r="AC322" s="4" t="s">
        <v>125</v>
      </c>
      <c r="AD322" s="4" t="s">
        <v>122</v>
      </c>
      <c r="AE322" s="4" t="s">
        <v>122</v>
      </c>
      <c r="AF322" s="4" t="s">
        <v>122</v>
      </c>
      <c r="AG322" s="3">
        <v>2</v>
      </c>
      <c r="AH322" s="3">
        <v>4.5</v>
      </c>
      <c r="AI322" s="3">
        <v>2</v>
      </c>
      <c r="AJ322" s="3">
        <v>4</v>
      </c>
      <c r="AK322" s="3">
        <v>6</v>
      </c>
      <c r="AL322" s="3">
        <v>4</v>
      </c>
      <c r="AM322" s="3">
        <v>3</v>
      </c>
      <c r="AN322" s="3">
        <v>5</v>
      </c>
      <c r="AO322" s="3">
        <v>4</v>
      </c>
      <c r="AP322" s="3">
        <v>4</v>
      </c>
      <c r="AQ322" s="4" t="s">
        <v>122</v>
      </c>
      <c r="AR322" s="4" t="s">
        <v>122</v>
      </c>
      <c r="AS322" s="3">
        <v>3</v>
      </c>
      <c r="AT322" s="3">
        <v>7</v>
      </c>
      <c r="AU322" s="3">
        <v>7</v>
      </c>
      <c r="AV322" s="3">
        <v>5</v>
      </c>
      <c r="AW322" s="3">
        <v>6</v>
      </c>
      <c r="AX322" s="3">
        <v>3</v>
      </c>
      <c r="AY322" s="3">
        <v>3</v>
      </c>
      <c r="AZ322" s="4" t="s">
        <v>122</v>
      </c>
      <c r="BA322" s="4" t="s">
        <v>122</v>
      </c>
      <c r="BB322" s="4" t="s">
        <v>122</v>
      </c>
      <c r="BC322" s="4" t="s">
        <v>122</v>
      </c>
      <c r="BD322" s="4" t="s">
        <v>122</v>
      </c>
      <c r="BE322" s="4" t="s">
        <v>122</v>
      </c>
      <c r="BF322" s="4" t="s">
        <v>122</v>
      </c>
      <c r="BG322" s="4" t="s">
        <v>122</v>
      </c>
      <c r="BH322" s="4" t="s">
        <v>122</v>
      </c>
      <c r="BI322" s="4" t="s">
        <v>122</v>
      </c>
      <c r="BJ322" s="4" t="s">
        <v>122</v>
      </c>
      <c r="BK322" s="4" t="s">
        <v>122</v>
      </c>
      <c r="BL322" s="4" t="s">
        <v>122</v>
      </c>
      <c r="BM322" s="4" t="s">
        <v>122</v>
      </c>
      <c r="BN322" s="4" t="s">
        <v>122</v>
      </c>
      <c r="BO322" s="4" t="s">
        <v>122</v>
      </c>
      <c r="BP322" s="3">
        <v>4</v>
      </c>
      <c r="BQ322" s="3">
        <v>2</v>
      </c>
      <c r="BR322" s="4" t="s">
        <v>122</v>
      </c>
      <c r="BS322" s="4" t="s">
        <v>125</v>
      </c>
      <c r="BT322" s="4" t="s">
        <v>122</v>
      </c>
      <c r="BU322" s="4" t="s">
        <v>122</v>
      </c>
      <c r="BV322" s="4" t="s">
        <v>122</v>
      </c>
      <c r="BW322" s="4" t="s">
        <v>122</v>
      </c>
      <c r="BX322" s="4" t="s">
        <v>122</v>
      </c>
      <c r="BY322" s="4" t="s">
        <v>122</v>
      </c>
      <c r="BZ322" s="4" t="s">
        <v>122</v>
      </c>
      <c r="CA322" s="3">
        <v>2</v>
      </c>
      <c r="CB322" s="3">
        <v>5</v>
      </c>
      <c r="CC322" s="3">
        <v>2</v>
      </c>
      <c r="CD322" s="3">
        <v>4.5</v>
      </c>
      <c r="CE322" s="3">
        <v>2</v>
      </c>
      <c r="CF322" s="3">
        <v>1</v>
      </c>
      <c r="CG322" s="4" t="s">
        <v>122</v>
      </c>
      <c r="CH322" s="3">
        <v>3</v>
      </c>
      <c r="CI322" s="4" t="s">
        <v>122</v>
      </c>
      <c r="CJ322" s="4" t="s">
        <v>122</v>
      </c>
      <c r="CK322" s="4" t="s">
        <v>122</v>
      </c>
      <c r="CL322" s="4" t="s">
        <v>125</v>
      </c>
      <c r="CM322" s="4" t="s">
        <v>122</v>
      </c>
      <c r="CN322" s="4" t="s">
        <v>122</v>
      </c>
      <c r="CO322" s="4" t="s">
        <v>122</v>
      </c>
      <c r="CP322" s="4" t="s">
        <v>122</v>
      </c>
      <c r="CQ322" s="4" t="s">
        <v>122</v>
      </c>
      <c r="CR322" s="4" t="s">
        <v>122</v>
      </c>
      <c r="CS322" s="3">
        <v>5</v>
      </c>
      <c r="CT322" s="3">
        <v>5</v>
      </c>
      <c r="CU322" s="42">
        <v>4</v>
      </c>
      <c r="CV322" cm="1">
        <f t="array" ref="CV322">_xlfn.IFS(CU322*1=2,1,CU322*1=4,1,TRUE,0)</f>
        <v>1</v>
      </c>
      <c r="CW322" cm="1">
        <f t="array" ref="CW322">_xlfn.IFS(CU322*1=1,1,CU322*1=2,1,TRUE,0)</f>
        <v>0</v>
      </c>
      <c r="CX322" s="3">
        <f t="shared" si="35"/>
        <v>5</v>
      </c>
      <c r="CY322" s="3">
        <f t="shared" si="36"/>
        <v>4.5</v>
      </c>
      <c r="CZ322" s="3" cm="1">
        <f t="array" ref="CZ322">_xlfn.IFS(BP322&lt;&gt;"", BP322, CV322=1,  AQ322, CV322=0,  AZ322)</f>
        <v>4</v>
      </c>
      <c r="DA322" s="36" t="str" cm="1">
        <f t="array" ref="DA322">_xlfn.IFS(BO322&lt;&gt;"", BO322, CV322=0,  AQ322, CV322=1,  AZ322)</f>
        <v/>
      </c>
      <c r="DB322" s="36">
        <f t="shared" si="37"/>
        <v>0</v>
      </c>
      <c r="DC322" s="3">
        <f t="shared" si="38"/>
        <v>0.5</v>
      </c>
      <c r="DD322" s="3">
        <f t="shared" si="39"/>
        <v>0</v>
      </c>
      <c r="DE322" s="3">
        <f t="shared" si="42"/>
        <v>-0.5</v>
      </c>
      <c r="DF322" s="3">
        <f t="shared" si="40"/>
        <v>0.5</v>
      </c>
      <c r="DG322" s="60"/>
    </row>
    <row r="323" spans="1:111" x14ac:dyDescent="0.4">
      <c r="A323">
        <v>202511</v>
      </c>
      <c r="B323">
        <v>123</v>
      </c>
      <c r="C323" s="1">
        <v>45969.531030092592</v>
      </c>
      <c r="D323" s="1">
        <v>45969.536770833336</v>
      </c>
      <c r="E323">
        <v>0</v>
      </c>
      <c r="F323" s="2" t="s">
        <v>233</v>
      </c>
      <c r="G323">
        <v>100</v>
      </c>
      <c r="H323">
        <v>495</v>
      </c>
      <c r="I323">
        <v>1</v>
      </c>
      <c r="J323" s="1">
        <v>45969.536781990741</v>
      </c>
      <c r="K323" s="2" t="s">
        <v>234</v>
      </c>
      <c r="L323" s="2" t="s">
        <v>122</v>
      </c>
      <c r="M323" s="2" t="s">
        <v>122</v>
      </c>
      <c r="N323" s="2" t="s">
        <v>122</v>
      </c>
      <c r="O323" s="2" t="s">
        <v>122</v>
      </c>
      <c r="P323">
        <v>33.508000000000003</v>
      </c>
      <c r="Q323">
        <v>-112.09950000000001</v>
      </c>
      <c r="R323" s="2" t="s">
        <v>129</v>
      </c>
      <c r="S323" s="2" t="s">
        <v>124</v>
      </c>
      <c r="T323">
        <v>4</v>
      </c>
      <c r="U323">
        <v>1</v>
      </c>
      <c r="V323">
        <v>2</v>
      </c>
      <c r="W323">
        <v>4</v>
      </c>
      <c r="X323">
        <v>1</v>
      </c>
      <c r="Y323">
        <v>1</v>
      </c>
      <c r="Z323">
        <v>1</v>
      </c>
      <c r="AA323">
        <v>1</v>
      </c>
      <c r="AB323" s="2" t="s">
        <v>122</v>
      </c>
      <c r="AC323" s="2" t="s">
        <v>122</v>
      </c>
      <c r="AD323" s="2" t="s">
        <v>122</v>
      </c>
      <c r="AE323" s="2" t="s">
        <v>122</v>
      </c>
      <c r="AF323" s="2" t="s">
        <v>122</v>
      </c>
      <c r="AG323">
        <v>1</v>
      </c>
      <c r="AH323">
        <v>2</v>
      </c>
      <c r="AI323">
        <v>3</v>
      </c>
      <c r="AJ323">
        <v>7</v>
      </c>
      <c r="AK323">
        <v>9</v>
      </c>
      <c r="AL323">
        <v>7</v>
      </c>
      <c r="AM323">
        <v>7</v>
      </c>
      <c r="AN323">
        <v>9</v>
      </c>
      <c r="AO323">
        <v>3</v>
      </c>
      <c r="AP323">
        <v>2</v>
      </c>
      <c r="AQ323" s="2" t="s">
        <v>122</v>
      </c>
      <c r="AR323" s="2" t="s">
        <v>122</v>
      </c>
      <c r="AS323">
        <v>5</v>
      </c>
      <c r="AT323">
        <v>7</v>
      </c>
      <c r="AU323">
        <v>6</v>
      </c>
      <c r="AV323">
        <v>5</v>
      </c>
      <c r="AW323">
        <v>6</v>
      </c>
      <c r="AX323">
        <v>3</v>
      </c>
      <c r="AY323">
        <v>3</v>
      </c>
      <c r="AZ323" s="2" t="s">
        <v>122</v>
      </c>
      <c r="BA323" s="2" t="s">
        <v>122</v>
      </c>
      <c r="BB323" s="2" t="s">
        <v>122</v>
      </c>
      <c r="BC323" s="2" t="s">
        <v>122</v>
      </c>
      <c r="BD323" s="2" t="s">
        <v>122</v>
      </c>
      <c r="BE323" s="2" t="s">
        <v>122</v>
      </c>
      <c r="BF323" s="2" t="s">
        <v>122</v>
      </c>
      <c r="BG323" s="2" t="s">
        <v>122</v>
      </c>
      <c r="BH323" s="2" t="s">
        <v>122</v>
      </c>
      <c r="BI323" s="2" t="s">
        <v>122</v>
      </c>
      <c r="BJ323" s="2" t="s">
        <v>122</v>
      </c>
      <c r="BK323" s="2" t="s">
        <v>122</v>
      </c>
      <c r="BL323" s="2" t="s">
        <v>122</v>
      </c>
      <c r="BM323" s="2" t="s">
        <v>122</v>
      </c>
      <c r="BN323" s="2" t="s">
        <v>122</v>
      </c>
      <c r="BO323">
        <v>0</v>
      </c>
      <c r="BP323">
        <v>0</v>
      </c>
      <c r="BQ323">
        <v>3</v>
      </c>
      <c r="BR323" s="2" t="s">
        <v>125</v>
      </c>
      <c r="BS323" s="2" t="s">
        <v>122</v>
      </c>
      <c r="BT323" s="2" t="s">
        <v>125</v>
      </c>
      <c r="BU323" s="2" t="s">
        <v>122</v>
      </c>
      <c r="BV323" s="2" t="s">
        <v>125</v>
      </c>
      <c r="BW323" s="2" t="s">
        <v>122</v>
      </c>
      <c r="BX323" s="2" t="s">
        <v>122</v>
      </c>
      <c r="BY323" s="2" t="s">
        <v>122</v>
      </c>
      <c r="BZ323" s="2" t="s">
        <v>122</v>
      </c>
      <c r="CA323">
        <v>4</v>
      </c>
      <c r="CB323">
        <v>0</v>
      </c>
      <c r="CC323" s="2" t="s">
        <v>122</v>
      </c>
      <c r="CD323">
        <v>0</v>
      </c>
      <c r="CE323" s="2" t="s">
        <v>122</v>
      </c>
      <c r="CF323">
        <v>2</v>
      </c>
      <c r="CG323" s="2" t="s">
        <v>122</v>
      </c>
      <c r="CH323">
        <v>4</v>
      </c>
      <c r="CI323" s="2" t="s">
        <v>122</v>
      </c>
      <c r="CJ323" s="2" t="s">
        <v>122</v>
      </c>
      <c r="CK323" s="2" t="s">
        <v>122</v>
      </c>
      <c r="CL323" s="2" t="s">
        <v>122</v>
      </c>
      <c r="CM323" s="2" t="s">
        <v>122</v>
      </c>
      <c r="CN323" s="2" t="s">
        <v>122</v>
      </c>
      <c r="CO323" s="2" t="s">
        <v>125</v>
      </c>
      <c r="CP323" s="2" t="s">
        <v>122</v>
      </c>
      <c r="CQ323" s="2" t="s">
        <v>122</v>
      </c>
      <c r="CR323" s="2" t="s">
        <v>122</v>
      </c>
      <c r="CS323">
        <v>5</v>
      </c>
      <c r="CT323">
        <v>4</v>
      </c>
      <c r="CU323" s="43">
        <v>3</v>
      </c>
      <c r="CV323" cm="1">
        <f t="array" ref="CV323">_xlfn.IFS(CU323*1=2,1,CU323*1=4,1,TRUE,0)</f>
        <v>0</v>
      </c>
      <c r="CW323" cm="1">
        <f t="array" ref="CW323">_xlfn.IFS(CU323*1=1,1,CU323*1=2,1,TRUE,0)</f>
        <v>0</v>
      </c>
      <c r="CX323" s="3">
        <f t="shared" ref="CX323:CX340" si="43">IF(BB323&lt;&gt;"",BB323,IF(CB323&lt;&gt;"",CB323,""))</f>
        <v>0</v>
      </c>
      <c r="CY323" s="3">
        <f t="shared" ref="CY323:CY340" si="44">IF(BC323&lt;&gt;"",BC323,IF(CD323&lt;&gt;"",CD323,""))</f>
        <v>0</v>
      </c>
      <c r="CZ323" s="3" cm="1">
        <f t="array" ref="CZ323">_xlfn.IFS(BP323&lt;&gt;"", BP323, CV323=1,  AQ323, CV323=0,  AZ323)</f>
        <v>0</v>
      </c>
      <c r="DA323" s="36" cm="1">
        <f t="array" ref="DA323">_xlfn.IFS(BO323&lt;&gt;"", BO323, CV323=0,  AQ323, CV323=1,  AZ323)</f>
        <v>0</v>
      </c>
      <c r="DB323" s="36">
        <f t="shared" ref="DB323:DB340" si="45">IF(COUNT(CY323,AH323)=2,CY323-AH323,"")</f>
        <v>-2</v>
      </c>
      <c r="DC323" s="3">
        <f t="shared" ref="DC323:DC340" si="46">CX323-AH323</f>
        <v>-2</v>
      </c>
      <c r="DD323" s="3">
        <f t="shared" ref="DD323:DD340" si="47">IF($CW323=1,CZ323-$AH323,CY323-$AH323)</f>
        <v>-2</v>
      </c>
      <c r="DE323" s="3">
        <f t="shared" ref="DE323:DE340" si="48">IF($CW323=1,CY323-$AH323,CZ323-$AH323)</f>
        <v>-2</v>
      </c>
      <c r="DF323" s="3">
        <f t="shared" ref="DF323:DF340" si="49">IF($CW323=1,$DA323-$AH323,$CX323-$AH323)</f>
        <v>-2</v>
      </c>
      <c r="DG323" s="3">
        <f t="shared" ref="DG323:DG340" si="50">IF($CW323=1,$CX323-$AH323, $DA323-$AH323)</f>
        <v>-2</v>
      </c>
    </row>
    <row r="324" spans="1:111" x14ac:dyDescent="0.4">
      <c r="A324">
        <v>202511</v>
      </c>
      <c r="B324">
        <v>123</v>
      </c>
      <c r="C324" s="1">
        <v>45969.533506944441</v>
      </c>
      <c r="D324" s="1">
        <v>45969.537129629629</v>
      </c>
      <c r="E324">
        <v>0</v>
      </c>
      <c r="F324" s="2" t="s">
        <v>235</v>
      </c>
      <c r="G324">
        <v>100</v>
      </c>
      <c r="H324">
        <v>312</v>
      </c>
      <c r="I324">
        <v>1</v>
      </c>
      <c r="J324" s="1">
        <v>45969.537138298612</v>
      </c>
      <c r="K324" s="2" t="s">
        <v>236</v>
      </c>
      <c r="L324" s="2" t="s">
        <v>122</v>
      </c>
      <c r="M324" s="2" t="s">
        <v>122</v>
      </c>
      <c r="N324" s="2" t="s">
        <v>122</v>
      </c>
      <c r="O324" s="2" t="s">
        <v>122</v>
      </c>
      <c r="P324">
        <v>33.453200000000002</v>
      </c>
      <c r="Q324">
        <v>-112.0748</v>
      </c>
      <c r="R324" s="2" t="s">
        <v>129</v>
      </c>
      <c r="S324" s="2" t="s">
        <v>124</v>
      </c>
      <c r="T324">
        <v>4</v>
      </c>
      <c r="U324">
        <v>1</v>
      </c>
      <c r="V324">
        <v>4</v>
      </c>
      <c r="W324">
        <v>2</v>
      </c>
      <c r="X324">
        <v>1</v>
      </c>
      <c r="Y324">
        <v>1</v>
      </c>
      <c r="Z324">
        <v>1</v>
      </c>
      <c r="AA324">
        <v>2</v>
      </c>
      <c r="AB324" s="2" t="s">
        <v>122</v>
      </c>
      <c r="AC324" s="2" t="s">
        <v>122</v>
      </c>
      <c r="AD324" s="2" t="s">
        <v>122</v>
      </c>
      <c r="AE324" s="2" t="s">
        <v>122</v>
      </c>
      <c r="AF324" s="2" t="s">
        <v>122</v>
      </c>
      <c r="AG324">
        <v>4</v>
      </c>
      <c r="AH324">
        <v>6</v>
      </c>
      <c r="AI324">
        <v>3</v>
      </c>
      <c r="AJ324">
        <v>4</v>
      </c>
      <c r="AK324">
        <v>8</v>
      </c>
      <c r="AL324">
        <v>7</v>
      </c>
      <c r="AM324">
        <v>6</v>
      </c>
      <c r="AN324">
        <v>3</v>
      </c>
      <c r="AO324">
        <v>3</v>
      </c>
      <c r="AP324">
        <v>2</v>
      </c>
      <c r="AQ324">
        <v>6</v>
      </c>
      <c r="AR324">
        <v>3</v>
      </c>
      <c r="AS324">
        <v>6</v>
      </c>
      <c r="AT324">
        <v>8</v>
      </c>
      <c r="AU324">
        <v>3</v>
      </c>
      <c r="AV324">
        <v>6</v>
      </c>
      <c r="AW324">
        <v>3</v>
      </c>
      <c r="AX324">
        <v>3</v>
      </c>
      <c r="AY324">
        <v>4</v>
      </c>
      <c r="AZ324">
        <v>6</v>
      </c>
      <c r="BA324">
        <v>3</v>
      </c>
      <c r="BB324">
        <v>6</v>
      </c>
      <c r="BC324">
        <v>6</v>
      </c>
      <c r="BD324">
        <v>3</v>
      </c>
      <c r="BE324" s="2" t="s">
        <v>125</v>
      </c>
      <c r="BF324" s="2" t="s">
        <v>122</v>
      </c>
      <c r="BG324" s="2" t="s">
        <v>122</v>
      </c>
      <c r="BH324" s="2" t="s">
        <v>122</v>
      </c>
      <c r="BI324" s="2" t="s">
        <v>122</v>
      </c>
      <c r="BJ324" s="2" t="s">
        <v>122</v>
      </c>
      <c r="BK324" s="2" t="s">
        <v>122</v>
      </c>
      <c r="BL324" s="2" t="s">
        <v>122</v>
      </c>
      <c r="BM324" s="2" t="s">
        <v>122</v>
      </c>
      <c r="BN324" s="2" t="s">
        <v>122</v>
      </c>
      <c r="BO324" s="2" t="s">
        <v>122</v>
      </c>
      <c r="BP324" s="2" t="s">
        <v>122</v>
      </c>
      <c r="BQ324" s="2" t="s">
        <v>122</v>
      </c>
      <c r="BR324" s="2" t="s">
        <v>122</v>
      </c>
      <c r="BS324" s="2" t="s">
        <v>122</v>
      </c>
      <c r="BT324" s="2" t="s">
        <v>122</v>
      </c>
      <c r="BU324" s="2" t="s">
        <v>122</v>
      </c>
      <c r="BV324" s="2" t="s">
        <v>122</v>
      </c>
      <c r="BW324" s="2" t="s">
        <v>122</v>
      </c>
      <c r="BX324" s="2" t="s">
        <v>122</v>
      </c>
      <c r="BY324" s="2" t="s">
        <v>122</v>
      </c>
      <c r="BZ324" s="2" t="s">
        <v>122</v>
      </c>
      <c r="CA324" s="2" t="s">
        <v>122</v>
      </c>
      <c r="CB324" s="2" t="s">
        <v>122</v>
      </c>
      <c r="CC324" s="2" t="s">
        <v>122</v>
      </c>
      <c r="CD324" s="2" t="s">
        <v>122</v>
      </c>
      <c r="CE324" s="2" t="s">
        <v>122</v>
      </c>
      <c r="CF324">
        <v>1</v>
      </c>
      <c r="CG324" s="2" t="s">
        <v>122</v>
      </c>
      <c r="CH324">
        <v>2.7</v>
      </c>
      <c r="CI324" s="2" t="s">
        <v>122</v>
      </c>
      <c r="CJ324" s="2" t="s">
        <v>122</v>
      </c>
      <c r="CK324" s="2" t="s">
        <v>122</v>
      </c>
      <c r="CL324" s="2" t="s">
        <v>122</v>
      </c>
      <c r="CM324" s="2" t="s">
        <v>122</v>
      </c>
      <c r="CN324" s="2" t="s">
        <v>122</v>
      </c>
      <c r="CO324" s="2" t="s">
        <v>125</v>
      </c>
      <c r="CP324" s="2" t="s">
        <v>122</v>
      </c>
      <c r="CQ324" s="2" t="s">
        <v>122</v>
      </c>
      <c r="CR324" s="2" t="s">
        <v>122</v>
      </c>
      <c r="CS324">
        <v>4</v>
      </c>
      <c r="CT324">
        <v>4</v>
      </c>
      <c r="CU324" s="43">
        <v>1</v>
      </c>
      <c r="CV324" cm="1">
        <f t="array" ref="CV324">_xlfn.IFS(CU324*1=2,1,CU324*1=4,1,TRUE,0)</f>
        <v>0</v>
      </c>
      <c r="CW324" cm="1">
        <f t="array" ref="CW324">_xlfn.IFS(CU324*1=1,1,CU324*1=2,1,TRUE,0)</f>
        <v>1</v>
      </c>
      <c r="CX324" s="3">
        <f t="shared" si="43"/>
        <v>6</v>
      </c>
      <c r="CY324" s="3">
        <f t="shared" si="44"/>
        <v>6</v>
      </c>
      <c r="CZ324" s="3" cm="1">
        <f t="array" ref="CZ324">_xlfn.IFS(BP324&lt;&gt;"", BP324, CV324=1,  AQ324, CV324=0,  AZ324)</f>
        <v>6</v>
      </c>
      <c r="DA324" s="36" cm="1">
        <f t="array" ref="DA324">_xlfn.IFS(BO324&lt;&gt;"", BO324, CV324=0,  AQ324, CV324=1,  AZ324)</f>
        <v>6</v>
      </c>
      <c r="DB324" s="36">
        <f t="shared" si="45"/>
        <v>0</v>
      </c>
      <c r="DC324" s="3">
        <f t="shared" si="46"/>
        <v>0</v>
      </c>
      <c r="DD324" s="3">
        <f t="shared" si="47"/>
        <v>0</v>
      </c>
      <c r="DE324" s="3">
        <f t="shared" si="48"/>
        <v>0</v>
      </c>
      <c r="DF324" s="3">
        <f t="shared" si="49"/>
        <v>0</v>
      </c>
      <c r="DG324" s="3">
        <f t="shared" si="50"/>
        <v>0</v>
      </c>
    </row>
    <row r="325" spans="1:111" x14ac:dyDescent="0.4">
      <c r="A325">
        <v>202511</v>
      </c>
      <c r="B325">
        <v>456</v>
      </c>
      <c r="C325" s="5">
        <v>45969.533518518518</v>
      </c>
      <c r="D325" s="5">
        <v>45969.53633101852</v>
      </c>
      <c r="E325" s="3">
        <v>0</v>
      </c>
      <c r="F325" s="4" t="s">
        <v>184</v>
      </c>
      <c r="G325" s="3">
        <v>100</v>
      </c>
      <c r="H325" s="3">
        <v>242</v>
      </c>
      <c r="I325" s="3">
        <v>1</v>
      </c>
      <c r="J325" s="5">
        <v>45969.536335925928</v>
      </c>
      <c r="K325" s="4" t="s">
        <v>280</v>
      </c>
      <c r="L325" s="4" t="s">
        <v>122</v>
      </c>
      <c r="M325" s="4" t="s">
        <v>122</v>
      </c>
      <c r="N325" s="4" t="s">
        <v>122</v>
      </c>
      <c r="O325" s="4" t="s">
        <v>122</v>
      </c>
      <c r="P325" s="3">
        <v>33.453200000000002</v>
      </c>
      <c r="Q325" s="3">
        <v>-112.0748</v>
      </c>
      <c r="R325" s="4" t="s">
        <v>129</v>
      </c>
      <c r="S325" s="4" t="s">
        <v>124</v>
      </c>
      <c r="T325" s="3">
        <v>4</v>
      </c>
      <c r="U325" s="3">
        <v>1</v>
      </c>
      <c r="V325" s="3">
        <v>4</v>
      </c>
      <c r="W325" s="3">
        <v>4</v>
      </c>
      <c r="X325" s="3">
        <v>2</v>
      </c>
      <c r="Y325" s="3">
        <v>3</v>
      </c>
      <c r="Z325" s="3">
        <v>2</v>
      </c>
      <c r="AA325" s="3">
        <v>2</v>
      </c>
      <c r="AB325" s="4" t="s">
        <v>122</v>
      </c>
      <c r="AC325" s="4" t="s">
        <v>125</v>
      </c>
      <c r="AD325" s="4" t="s">
        <v>122</v>
      </c>
      <c r="AE325" s="4" t="s">
        <v>122</v>
      </c>
      <c r="AF325" s="4" t="s">
        <v>122</v>
      </c>
      <c r="AG325" s="3">
        <v>2</v>
      </c>
      <c r="AH325" s="3">
        <v>7</v>
      </c>
      <c r="AI325" s="3">
        <v>3</v>
      </c>
      <c r="AJ325" s="3">
        <v>8</v>
      </c>
      <c r="AK325" s="3">
        <v>8</v>
      </c>
      <c r="AL325" s="3">
        <v>6</v>
      </c>
      <c r="AM325" s="3">
        <v>8</v>
      </c>
      <c r="AN325" s="3">
        <v>7</v>
      </c>
      <c r="AO325" s="3">
        <v>3</v>
      </c>
      <c r="AP325" s="3">
        <v>3</v>
      </c>
      <c r="AQ325" s="4" t="s">
        <v>122</v>
      </c>
      <c r="AR325" s="4" t="s">
        <v>122</v>
      </c>
      <c r="AS325" s="3">
        <v>6</v>
      </c>
      <c r="AT325" s="3">
        <v>8</v>
      </c>
      <c r="AU325" s="3">
        <v>7</v>
      </c>
      <c r="AV325" s="3">
        <v>6</v>
      </c>
      <c r="AW325" s="3">
        <v>8</v>
      </c>
      <c r="AX325" s="3">
        <v>1</v>
      </c>
      <c r="AY325" s="3">
        <v>2</v>
      </c>
      <c r="AZ325" s="4" t="s">
        <v>122</v>
      </c>
      <c r="BA325" s="4" t="s">
        <v>122</v>
      </c>
      <c r="BB325" s="4" t="s">
        <v>122</v>
      </c>
      <c r="BC325" s="4" t="s">
        <v>122</v>
      </c>
      <c r="BD325" s="4" t="s">
        <v>122</v>
      </c>
      <c r="BE325" s="4" t="s">
        <v>122</v>
      </c>
      <c r="BF325" s="4" t="s">
        <v>122</v>
      </c>
      <c r="BG325" s="4" t="s">
        <v>122</v>
      </c>
      <c r="BH325" s="4" t="s">
        <v>122</v>
      </c>
      <c r="BI325" s="4" t="s">
        <v>122</v>
      </c>
      <c r="BJ325" s="4" t="s">
        <v>122</v>
      </c>
      <c r="BK325" s="4" t="s">
        <v>122</v>
      </c>
      <c r="BL325" s="4" t="s">
        <v>122</v>
      </c>
      <c r="BM325" s="4" t="s">
        <v>122</v>
      </c>
      <c r="BN325" s="4" t="s">
        <v>122</v>
      </c>
      <c r="BO325" s="3">
        <v>7</v>
      </c>
      <c r="BP325" s="3">
        <v>7</v>
      </c>
      <c r="BQ325" s="3">
        <v>2</v>
      </c>
      <c r="BR325" s="4" t="s">
        <v>122</v>
      </c>
      <c r="BS325" s="4" t="s">
        <v>122</v>
      </c>
      <c r="BT325" s="4" t="s">
        <v>122</v>
      </c>
      <c r="BU325" s="4" t="s">
        <v>122</v>
      </c>
      <c r="BV325" s="4" t="s">
        <v>122</v>
      </c>
      <c r="BW325" s="4" t="s">
        <v>122</v>
      </c>
      <c r="BX325" s="4" t="s">
        <v>122</v>
      </c>
      <c r="BY325" s="4" t="s">
        <v>122</v>
      </c>
      <c r="BZ325" s="4" t="s">
        <v>125</v>
      </c>
      <c r="CA325" s="4" t="s">
        <v>122</v>
      </c>
      <c r="CB325" s="3">
        <v>7</v>
      </c>
      <c r="CC325" s="3">
        <v>3</v>
      </c>
      <c r="CD325" s="3">
        <v>7</v>
      </c>
      <c r="CE325" s="3">
        <v>3</v>
      </c>
      <c r="CF325" s="3">
        <v>2</v>
      </c>
      <c r="CG325" s="4" t="s">
        <v>122</v>
      </c>
      <c r="CH325" s="3">
        <v>2.7</v>
      </c>
      <c r="CI325" s="4" t="s">
        <v>122</v>
      </c>
      <c r="CJ325" s="4" t="s">
        <v>122</v>
      </c>
      <c r="CK325" s="4" t="s">
        <v>122</v>
      </c>
      <c r="CL325" s="4" t="s">
        <v>122</v>
      </c>
      <c r="CM325" s="4" t="s">
        <v>122</v>
      </c>
      <c r="CN325" s="4" t="s">
        <v>122</v>
      </c>
      <c r="CO325" s="4" t="s">
        <v>125</v>
      </c>
      <c r="CP325" s="4" t="s">
        <v>122</v>
      </c>
      <c r="CQ325" s="4" t="s">
        <v>122</v>
      </c>
      <c r="CR325" s="4" t="s">
        <v>122</v>
      </c>
      <c r="CS325" s="3">
        <v>5</v>
      </c>
      <c r="CT325" s="3">
        <v>4</v>
      </c>
      <c r="CU325" s="42">
        <v>4</v>
      </c>
      <c r="CV325" cm="1">
        <f t="array" ref="CV325">_xlfn.IFS(CU325*1=2,1,CU325*1=4,1,TRUE,0)</f>
        <v>1</v>
      </c>
      <c r="CW325" cm="1">
        <f t="array" ref="CW325">_xlfn.IFS(CU325*1=1,1,CU325*1=2,1,TRUE,0)</f>
        <v>0</v>
      </c>
      <c r="CX325" s="3">
        <f t="shared" si="43"/>
        <v>7</v>
      </c>
      <c r="CY325" s="3">
        <f t="shared" si="44"/>
        <v>7</v>
      </c>
      <c r="CZ325" s="3" cm="1">
        <f t="array" ref="CZ325">_xlfn.IFS(BP325&lt;&gt;"", BP325, CV325=1,  AQ325, CV325=0,  AZ325)</f>
        <v>7</v>
      </c>
      <c r="DA325" s="36" cm="1">
        <f t="array" ref="DA325">_xlfn.IFS(BO325&lt;&gt;"", BO325, CV325=0,  AQ325, CV325=1,  AZ325)</f>
        <v>7</v>
      </c>
      <c r="DB325" s="36">
        <f t="shared" si="45"/>
        <v>0</v>
      </c>
      <c r="DC325" s="3">
        <f t="shared" si="46"/>
        <v>0</v>
      </c>
      <c r="DD325" s="3">
        <f t="shared" si="47"/>
        <v>0</v>
      </c>
      <c r="DE325" s="3">
        <f t="shared" si="48"/>
        <v>0</v>
      </c>
      <c r="DF325" s="3">
        <f t="shared" si="49"/>
        <v>0</v>
      </c>
      <c r="DG325" s="3">
        <f t="shared" si="50"/>
        <v>0</v>
      </c>
    </row>
    <row r="326" spans="1:111" x14ac:dyDescent="0.4">
      <c r="A326">
        <v>202511</v>
      </c>
      <c r="B326">
        <v>456</v>
      </c>
      <c r="C326" s="5">
        <v>45969.534224537034</v>
      </c>
      <c r="D326" s="5">
        <v>45969.539606481485</v>
      </c>
      <c r="E326" s="3">
        <v>0</v>
      </c>
      <c r="F326" s="4" t="s">
        <v>279</v>
      </c>
      <c r="G326" s="3">
        <v>100</v>
      </c>
      <c r="H326" s="3">
        <v>465</v>
      </c>
      <c r="I326" s="3">
        <v>1</v>
      </c>
      <c r="J326" s="5">
        <v>45969.539619710646</v>
      </c>
      <c r="K326" s="4" t="s">
        <v>278</v>
      </c>
      <c r="L326" s="4" t="s">
        <v>122</v>
      </c>
      <c r="M326" s="4" t="s">
        <v>122</v>
      </c>
      <c r="N326" s="4" t="s">
        <v>122</v>
      </c>
      <c r="O326" s="4" t="s">
        <v>122</v>
      </c>
      <c r="P326" s="3">
        <v>34.054400000000001</v>
      </c>
      <c r="Q326" s="3">
        <v>-118.244</v>
      </c>
      <c r="R326" s="4" t="s">
        <v>129</v>
      </c>
      <c r="S326" s="4" t="s">
        <v>124</v>
      </c>
      <c r="T326" s="3">
        <v>4</v>
      </c>
      <c r="U326" s="3">
        <v>1</v>
      </c>
      <c r="V326" s="3">
        <v>2</v>
      </c>
      <c r="W326" s="3">
        <v>2</v>
      </c>
      <c r="X326" s="3">
        <v>2</v>
      </c>
      <c r="Y326" s="3">
        <v>2</v>
      </c>
      <c r="Z326" s="3">
        <v>3</v>
      </c>
      <c r="AA326" s="3">
        <v>3</v>
      </c>
      <c r="AB326" s="4" t="s">
        <v>125</v>
      </c>
      <c r="AC326" s="4" t="s">
        <v>122</v>
      </c>
      <c r="AD326" s="4" t="s">
        <v>122</v>
      </c>
      <c r="AE326" s="4" t="s">
        <v>122</v>
      </c>
      <c r="AF326" s="4" t="s">
        <v>122</v>
      </c>
      <c r="AG326" s="3">
        <v>4</v>
      </c>
      <c r="AH326" s="3">
        <v>7</v>
      </c>
      <c r="AI326" s="3">
        <v>3</v>
      </c>
      <c r="AJ326" s="3">
        <v>8</v>
      </c>
      <c r="AK326" s="3">
        <v>5</v>
      </c>
      <c r="AL326" s="3">
        <v>8</v>
      </c>
      <c r="AM326" s="3">
        <v>8</v>
      </c>
      <c r="AN326" s="3">
        <v>5</v>
      </c>
      <c r="AO326" s="3">
        <v>3</v>
      </c>
      <c r="AP326" s="3">
        <v>3</v>
      </c>
      <c r="AQ326" s="4" t="s">
        <v>122</v>
      </c>
      <c r="AR326" s="4" t="s">
        <v>122</v>
      </c>
      <c r="AS326" s="3">
        <v>3</v>
      </c>
      <c r="AT326" s="3">
        <v>6</v>
      </c>
      <c r="AU326" s="3">
        <v>6</v>
      </c>
      <c r="AV326" s="3">
        <v>3</v>
      </c>
      <c r="AW326" s="3">
        <v>5</v>
      </c>
      <c r="AX326" s="3">
        <v>2</v>
      </c>
      <c r="AY326" s="3">
        <v>2</v>
      </c>
      <c r="AZ326" s="4" t="s">
        <v>122</v>
      </c>
      <c r="BA326" s="4" t="s">
        <v>122</v>
      </c>
      <c r="BB326" s="4" t="s">
        <v>122</v>
      </c>
      <c r="BC326" s="4" t="s">
        <v>122</v>
      </c>
      <c r="BD326" s="4" t="s">
        <v>122</v>
      </c>
      <c r="BE326" s="4" t="s">
        <v>122</v>
      </c>
      <c r="BF326" s="4" t="s">
        <v>122</v>
      </c>
      <c r="BG326" s="4" t="s">
        <v>122</v>
      </c>
      <c r="BH326" s="4" t="s">
        <v>122</v>
      </c>
      <c r="BI326" s="4" t="s">
        <v>122</v>
      </c>
      <c r="BJ326" s="4" t="s">
        <v>122</v>
      </c>
      <c r="BK326" s="4" t="s">
        <v>122</v>
      </c>
      <c r="BL326" s="4" t="s">
        <v>122</v>
      </c>
      <c r="BM326" s="4" t="s">
        <v>122</v>
      </c>
      <c r="BN326" s="4" t="s">
        <v>122</v>
      </c>
      <c r="BO326" s="3">
        <v>0</v>
      </c>
      <c r="BP326" s="3">
        <v>0</v>
      </c>
      <c r="BQ326" s="3">
        <v>3</v>
      </c>
      <c r="BR326" s="4" t="s">
        <v>125</v>
      </c>
      <c r="BS326" s="4" t="s">
        <v>122</v>
      </c>
      <c r="BT326" s="4" t="s">
        <v>122</v>
      </c>
      <c r="BU326" s="4" t="s">
        <v>122</v>
      </c>
      <c r="BV326" s="4" t="s">
        <v>122</v>
      </c>
      <c r="BW326" s="4" t="s">
        <v>122</v>
      </c>
      <c r="BX326" s="4" t="s">
        <v>122</v>
      </c>
      <c r="BY326" s="4" t="s">
        <v>122</v>
      </c>
      <c r="BZ326" s="4" t="s">
        <v>122</v>
      </c>
      <c r="CA326" s="3">
        <v>1</v>
      </c>
      <c r="CB326" s="3">
        <v>2</v>
      </c>
      <c r="CC326" s="3">
        <v>1</v>
      </c>
      <c r="CD326" s="3">
        <v>7</v>
      </c>
      <c r="CE326" s="3">
        <v>3</v>
      </c>
      <c r="CF326" s="3">
        <v>1</v>
      </c>
      <c r="CG326" s="4" t="s">
        <v>122</v>
      </c>
      <c r="CH326" s="3">
        <v>5</v>
      </c>
      <c r="CI326" s="4" t="s">
        <v>122</v>
      </c>
      <c r="CJ326" s="4" t="s">
        <v>122</v>
      </c>
      <c r="CK326" s="4" t="s">
        <v>122</v>
      </c>
      <c r="CL326" s="4" t="s">
        <v>122</v>
      </c>
      <c r="CM326" s="4" t="s">
        <v>122</v>
      </c>
      <c r="CN326" s="4" t="s">
        <v>122</v>
      </c>
      <c r="CO326" s="4" t="s">
        <v>125</v>
      </c>
      <c r="CP326" s="4" t="s">
        <v>122</v>
      </c>
      <c r="CQ326" s="4" t="s">
        <v>122</v>
      </c>
      <c r="CR326" s="4" t="s">
        <v>122</v>
      </c>
      <c r="CS326" s="3">
        <v>3</v>
      </c>
      <c r="CT326" s="3">
        <v>6</v>
      </c>
      <c r="CU326" s="42">
        <v>4</v>
      </c>
      <c r="CV326" cm="1">
        <f t="array" ref="CV326">_xlfn.IFS(CU326*1=2,1,CU326*1=4,1,TRUE,0)</f>
        <v>1</v>
      </c>
      <c r="CW326" cm="1">
        <f t="array" ref="CW326">_xlfn.IFS(CU326*1=1,1,CU326*1=2,1,TRUE,0)</f>
        <v>0</v>
      </c>
      <c r="CX326" s="3">
        <f t="shared" si="43"/>
        <v>2</v>
      </c>
      <c r="CY326" s="3">
        <f t="shared" si="44"/>
        <v>7</v>
      </c>
      <c r="CZ326" s="3" cm="1">
        <f t="array" ref="CZ326">_xlfn.IFS(BP326&lt;&gt;"", BP326, CV326=1,  AQ326, CV326=0,  AZ326)</f>
        <v>0</v>
      </c>
      <c r="DA326" s="36" cm="1">
        <f t="array" ref="DA326">_xlfn.IFS(BO326&lt;&gt;"", BO326, CV326=0,  AQ326, CV326=1,  AZ326)</f>
        <v>0</v>
      </c>
      <c r="DB326" s="36">
        <f t="shared" si="45"/>
        <v>0</v>
      </c>
      <c r="DC326" s="3">
        <f t="shared" si="46"/>
        <v>-5</v>
      </c>
      <c r="DD326" s="3">
        <f t="shared" si="47"/>
        <v>0</v>
      </c>
      <c r="DE326" s="3">
        <f t="shared" si="48"/>
        <v>-7</v>
      </c>
      <c r="DF326" s="3">
        <f t="shared" si="49"/>
        <v>-5</v>
      </c>
      <c r="DG326" s="3">
        <f t="shared" si="50"/>
        <v>-7</v>
      </c>
    </row>
    <row r="327" spans="1:111" x14ac:dyDescent="0.4">
      <c r="A327">
        <v>202511</v>
      </c>
      <c r="B327">
        <v>123</v>
      </c>
      <c r="C327" s="1">
        <v>45969.534236111111</v>
      </c>
      <c r="D327" s="1">
        <v>45969.541932870372</v>
      </c>
      <c r="E327">
        <v>0</v>
      </c>
      <c r="F327" s="2" t="s">
        <v>253</v>
      </c>
      <c r="G327">
        <v>98</v>
      </c>
      <c r="H327">
        <v>665</v>
      </c>
      <c r="I327">
        <v>0</v>
      </c>
      <c r="J327" s="1">
        <v>45971.528538981482</v>
      </c>
      <c r="K327" s="2" t="s">
        <v>254</v>
      </c>
      <c r="L327" s="2" t="s">
        <v>122</v>
      </c>
      <c r="M327" s="2" t="s">
        <v>122</v>
      </c>
      <c r="N327" s="2" t="s">
        <v>122</v>
      </c>
      <c r="O327" s="2" t="s">
        <v>122</v>
      </c>
      <c r="P327">
        <v>36.172400000000003</v>
      </c>
      <c r="Q327">
        <v>-115.0677</v>
      </c>
      <c r="R327" s="2" t="s">
        <v>129</v>
      </c>
      <c r="S327" s="2" t="s">
        <v>124</v>
      </c>
      <c r="T327">
        <v>4</v>
      </c>
      <c r="U327">
        <v>1</v>
      </c>
      <c r="V327">
        <v>3</v>
      </c>
      <c r="W327">
        <v>2</v>
      </c>
      <c r="X327">
        <v>1</v>
      </c>
      <c r="Y327">
        <v>2</v>
      </c>
      <c r="Z327">
        <v>1</v>
      </c>
      <c r="AA327">
        <v>1</v>
      </c>
      <c r="AB327" s="2" t="s">
        <v>122</v>
      </c>
      <c r="AC327" s="2" t="s">
        <v>122</v>
      </c>
      <c r="AD327" s="2" t="s">
        <v>122</v>
      </c>
      <c r="AE327" s="2" t="s">
        <v>122</v>
      </c>
      <c r="AF327" s="2" t="s">
        <v>122</v>
      </c>
      <c r="AG327">
        <v>5</v>
      </c>
      <c r="AH327">
        <v>6</v>
      </c>
      <c r="AI327">
        <v>1</v>
      </c>
      <c r="AJ327">
        <v>7</v>
      </c>
      <c r="AK327">
        <v>7</v>
      </c>
      <c r="AL327">
        <v>8</v>
      </c>
      <c r="AM327">
        <v>7</v>
      </c>
      <c r="AN327">
        <v>8</v>
      </c>
      <c r="AO327">
        <v>2</v>
      </c>
      <c r="AP327">
        <v>1</v>
      </c>
      <c r="AQ327" s="2" t="s">
        <v>122</v>
      </c>
      <c r="AR327" s="2" t="s">
        <v>122</v>
      </c>
      <c r="AS327">
        <v>6</v>
      </c>
      <c r="AT327">
        <v>4</v>
      </c>
      <c r="AU327">
        <v>6</v>
      </c>
      <c r="AV327">
        <v>6</v>
      </c>
      <c r="AW327">
        <v>6</v>
      </c>
      <c r="AX327">
        <v>1</v>
      </c>
      <c r="AY327">
        <v>1</v>
      </c>
      <c r="AZ327" s="2" t="s">
        <v>122</v>
      </c>
      <c r="BA327" s="2" t="s">
        <v>122</v>
      </c>
      <c r="BB327" s="2" t="s">
        <v>122</v>
      </c>
      <c r="BC327" s="2" t="s">
        <v>122</v>
      </c>
      <c r="BD327" s="2" t="s">
        <v>122</v>
      </c>
      <c r="BE327" s="2" t="s">
        <v>122</v>
      </c>
      <c r="BF327" s="2" t="s">
        <v>122</v>
      </c>
      <c r="BG327" s="2" t="s">
        <v>122</v>
      </c>
      <c r="BH327" s="2" t="s">
        <v>122</v>
      </c>
      <c r="BI327" s="2" t="s">
        <v>122</v>
      </c>
      <c r="BJ327" s="2" t="s">
        <v>122</v>
      </c>
      <c r="BK327" s="2" t="s">
        <v>122</v>
      </c>
      <c r="BL327" s="2" t="s">
        <v>122</v>
      </c>
      <c r="BM327" s="2" t="s">
        <v>122</v>
      </c>
      <c r="BN327" s="2" t="s">
        <v>122</v>
      </c>
      <c r="BO327">
        <v>6.5</v>
      </c>
      <c r="BP327">
        <v>6.5</v>
      </c>
      <c r="BQ327">
        <v>1</v>
      </c>
      <c r="BR327" s="2" t="s">
        <v>125</v>
      </c>
      <c r="BS327" s="2" t="s">
        <v>122</v>
      </c>
      <c r="BT327" s="2" t="s">
        <v>122</v>
      </c>
      <c r="BU327" s="2" t="s">
        <v>122</v>
      </c>
      <c r="BV327" s="2" t="s">
        <v>122</v>
      </c>
      <c r="BW327" s="2" t="s">
        <v>122</v>
      </c>
      <c r="BX327" s="2" t="s">
        <v>122</v>
      </c>
      <c r="BY327" s="2" t="s">
        <v>122</v>
      </c>
      <c r="BZ327" s="2" t="s">
        <v>122</v>
      </c>
      <c r="CA327" s="2" t="s">
        <v>122</v>
      </c>
      <c r="CB327">
        <v>6.5</v>
      </c>
      <c r="CC327">
        <v>1</v>
      </c>
      <c r="CD327">
        <v>5</v>
      </c>
      <c r="CE327">
        <v>2</v>
      </c>
      <c r="CF327">
        <v>2</v>
      </c>
      <c r="CG327" s="2" t="s">
        <v>122</v>
      </c>
      <c r="CH327">
        <v>5</v>
      </c>
      <c r="CI327" s="2" t="s">
        <v>122</v>
      </c>
      <c r="CJ327" s="2" t="s">
        <v>122</v>
      </c>
      <c r="CK327" s="2" t="s">
        <v>122</v>
      </c>
      <c r="CL327" s="2" t="s">
        <v>122</v>
      </c>
      <c r="CM327" s="2" t="s">
        <v>122</v>
      </c>
      <c r="CN327" s="2" t="s">
        <v>122</v>
      </c>
      <c r="CO327" s="2" t="s">
        <v>125</v>
      </c>
      <c r="CP327" s="2" t="s">
        <v>122</v>
      </c>
      <c r="CQ327" s="2" t="s">
        <v>122</v>
      </c>
      <c r="CR327" s="2" t="s">
        <v>122</v>
      </c>
      <c r="CS327">
        <v>5</v>
      </c>
      <c r="CT327">
        <v>5</v>
      </c>
      <c r="CU327" s="43">
        <v>3</v>
      </c>
      <c r="CV327" cm="1">
        <f t="array" ref="CV327">_xlfn.IFS(CU327*1=2,1,CU327*1=4,1,TRUE,0)</f>
        <v>0</v>
      </c>
      <c r="CW327" cm="1">
        <f t="array" ref="CW327">_xlfn.IFS(CU327*1=1,1,CU327*1=2,1,TRUE,0)</f>
        <v>0</v>
      </c>
      <c r="CX327" s="3">
        <f t="shared" si="43"/>
        <v>6.5</v>
      </c>
      <c r="CY327" s="3">
        <f t="shared" si="44"/>
        <v>5</v>
      </c>
      <c r="CZ327" s="3" cm="1">
        <f t="array" ref="CZ327">_xlfn.IFS(BP327&lt;&gt;"", BP327, CV327=1,  AQ327, CV327=0,  AZ327)</f>
        <v>6.5</v>
      </c>
      <c r="DA327" s="36" cm="1">
        <f t="array" ref="DA327">_xlfn.IFS(BO327&lt;&gt;"", BO327, CV327=0,  AQ327, CV327=1,  AZ327)</f>
        <v>6.5</v>
      </c>
      <c r="DB327" s="36">
        <f t="shared" si="45"/>
        <v>-1</v>
      </c>
      <c r="DC327" s="3">
        <f t="shared" si="46"/>
        <v>0.5</v>
      </c>
      <c r="DD327" s="3">
        <f t="shared" si="47"/>
        <v>-1</v>
      </c>
      <c r="DE327" s="3">
        <f t="shared" si="48"/>
        <v>0.5</v>
      </c>
      <c r="DF327" s="3">
        <f t="shared" si="49"/>
        <v>0.5</v>
      </c>
      <c r="DG327" s="3">
        <f t="shared" si="50"/>
        <v>0.5</v>
      </c>
    </row>
    <row r="328" spans="1:111" x14ac:dyDescent="0.4">
      <c r="A328">
        <v>202511</v>
      </c>
      <c r="B328">
        <v>456</v>
      </c>
      <c r="C328" s="5">
        <v>45969.539120370369</v>
      </c>
      <c r="D328" s="5">
        <v>45969.542743055557</v>
      </c>
      <c r="E328" s="3">
        <v>0</v>
      </c>
      <c r="F328" s="4" t="s">
        <v>277</v>
      </c>
      <c r="G328" s="3">
        <v>100</v>
      </c>
      <c r="H328" s="3">
        <v>312</v>
      </c>
      <c r="I328" s="3">
        <v>1</v>
      </c>
      <c r="J328" s="5">
        <v>45969.542748113425</v>
      </c>
      <c r="K328" s="4" t="s">
        <v>276</v>
      </c>
      <c r="L328" s="4" t="s">
        <v>122</v>
      </c>
      <c r="M328" s="4" t="s">
        <v>122</v>
      </c>
      <c r="N328" s="4" t="s">
        <v>122</v>
      </c>
      <c r="O328" s="4" t="s">
        <v>122</v>
      </c>
      <c r="P328" s="3">
        <v>36.171500000000002</v>
      </c>
      <c r="Q328" s="3">
        <v>-115.2813</v>
      </c>
      <c r="R328" s="4" t="s">
        <v>129</v>
      </c>
      <c r="S328" s="4" t="s">
        <v>124</v>
      </c>
      <c r="T328" s="3">
        <v>4</v>
      </c>
      <c r="U328" s="3">
        <v>1</v>
      </c>
      <c r="V328" s="3">
        <v>2</v>
      </c>
      <c r="W328" s="3">
        <v>2</v>
      </c>
      <c r="X328" s="3">
        <v>2</v>
      </c>
      <c r="Y328" s="3">
        <v>1</v>
      </c>
      <c r="Z328" s="3">
        <v>1</v>
      </c>
      <c r="AA328" s="3">
        <v>2</v>
      </c>
      <c r="AB328" s="4" t="s">
        <v>122</v>
      </c>
      <c r="AC328" s="4" t="s">
        <v>125</v>
      </c>
      <c r="AD328" s="4" t="s">
        <v>122</v>
      </c>
      <c r="AE328" s="4" t="s">
        <v>122</v>
      </c>
      <c r="AF328" s="4" t="s">
        <v>122</v>
      </c>
      <c r="AG328" s="3">
        <v>4</v>
      </c>
      <c r="AH328" s="3">
        <v>4.5</v>
      </c>
      <c r="AI328" s="3">
        <v>2</v>
      </c>
      <c r="AJ328" s="3">
        <v>8</v>
      </c>
      <c r="AK328" s="3">
        <v>8</v>
      </c>
      <c r="AL328" s="3">
        <v>7</v>
      </c>
      <c r="AM328" s="3">
        <v>8</v>
      </c>
      <c r="AN328" s="3">
        <v>8</v>
      </c>
      <c r="AO328" s="3">
        <v>3</v>
      </c>
      <c r="AP328" s="3">
        <v>3</v>
      </c>
      <c r="AQ328" s="3">
        <v>4.5</v>
      </c>
      <c r="AR328" s="3">
        <v>2</v>
      </c>
      <c r="AS328" s="3">
        <v>5</v>
      </c>
      <c r="AT328" s="3">
        <v>5</v>
      </c>
      <c r="AU328" s="3">
        <v>5</v>
      </c>
      <c r="AV328" s="3">
        <v>5</v>
      </c>
      <c r="AW328" s="3">
        <v>5</v>
      </c>
      <c r="AX328" s="3">
        <v>2</v>
      </c>
      <c r="AY328" s="3">
        <v>2</v>
      </c>
      <c r="AZ328" s="3">
        <v>2</v>
      </c>
      <c r="BA328" s="3">
        <v>3</v>
      </c>
      <c r="BB328" s="3">
        <v>6</v>
      </c>
      <c r="BC328" s="3">
        <v>6</v>
      </c>
      <c r="BD328" s="3">
        <v>3</v>
      </c>
      <c r="BE328" s="4" t="s">
        <v>125</v>
      </c>
      <c r="BF328" s="4" t="s">
        <v>122</v>
      </c>
      <c r="BG328" s="4" t="s">
        <v>125</v>
      </c>
      <c r="BH328" s="4" t="s">
        <v>122</v>
      </c>
      <c r="BI328" s="4" t="s">
        <v>125</v>
      </c>
      <c r="BJ328" s="4" t="s">
        <v>122</v>
      </c>
      <c r="BK328" s="4" t="s">
        <v>122</v>
      </c>
      <c r="BL328" s="4" t="s">
        <v>125</v>
      </c>
      <c r="BM328" s="4" t="s">
        <v>122</v>
      </c>
      <c r="BN328" s="3">
        <v>3</v>
      </c>
      <c r="BO328" s="4" t="s">
        <v>122</v>
      </c>
      <c r="BP328" s="4" t="s">
        <v>122</v>
      </c>
      <c r="BQ328" s="4" t="s">
        <v>122</v>
      </c>
      <c r="BR328" s="4" t="s">
        <v>122</v>
      </c>
      <c r="BS328" s="4" t="s">
        <v>122</v>
      </c>
      <c r="BT328" s="4" t="s">
        <v>122</v>
      </c>
      <c r="BU328" s="4" t="s">
        <v>122</v>
      </c>
      <c r="BV328" s="4" t="s">
        <v>122</v>
      </c>
      <c r="BW328" s="4" t="s">
        <v>122</v>
      </c>
      <c r="BX328" s="4" t="s">
        <v>122</v>
      </c>
      <c r="BY328" s="4" t="s">
        <v>122</v>
      </c>
      <c r="BZ328" s="4" t="s">
        <v>122</v>
      </c>
      <c r="CA328" s="4" t="s">
        <v>122</v>
      </c>
      <c r="CB328" s="4" t="s">
        <v>122</v>
      </c>
      <c r="CC328" s="4" t="s">
        <v>122</v>
      </c>
      <c r="CD328" s="4" t="s">
        <v>122</v>
      </c>
      <c r="CE328" s="4" t="s">
        <v>122</v>
      </c>
      <c r="CF328" s="3">
        <v>1</v>
      </c>
      <c r="CG328" s="4" t="s">
        <v>122</v>
      </c>
      <c r="CH328" s="3">
        <v>2.7</v>
      </c>
      <c r="CI328" s="4" t="s">
        <v>122</v>
      </c>
      <c r="CJ328" s="4" t="s">
        <v>122</v>
      </c>
      <c r="CK328" s="4" t="s">
        <v>122</v>
      </c>
      <c r="CL328" s="4" t="s">
        <v>125</v>
      </c>
      <c r="CM328" s="4" t="s">
        <v>122</v>
      </c>
      <c r="CN328" s="4" t="s">
        <v>122</v>
      </c>
      <c r="CO328" s="4" t="s">
        <v>122</v>
      </c>
      <c r="CP328" s="4" t="s">
        <v>122</v>
      </c>
      <c r="CQ328" s="4" t="s">
        <v>122</v>
      </c>
      <c r="CR328" s="4" t="s">
        <v>122</v>
      </c>
      <c r="CS328" s="3">
        <v>4</v>
      </c>
      <c r="CT328" s="3">
        <v>3</v>
      </c>
      <c r="CU328" s="42">
        <v>2</v>
      </c>
      <c r="CV328" cm="1">
        <f t="array" ref="CV328">_xlfn.IFS(CU328*1=2,1,CU328*1=4,1,TRUE,0)</f>
        <v>1</v>
      </c>
      <c r="CW328" cm="1">
        <f t="array" ref="CW328">_xlfn.IFS(CU328*1=1,1,CU328*1=2,1,TRUE,0)</f>
        <v>1</v>
      </c>
      <c r="CX328" s="3">
        <f t="shared" si="43"/>
        <v>6</v>
      </c>
      <c r="CY328" s="3">
        <f t="shared" si="44"/>
        <v>6</v>
      </c>
      <c r="CZ328" s="3" cm="1">
        <f t="array" ref="CZ328">_xlfn.IFS(BP328&lt;&gt;"", BP328, CV328=1,  AQ328, CV328=0,  AZ328)</f>
        <v>4.5</v>
      </c>
      <c r="DA328" s="36" cm="1">
        <f t="array" ref="DA328">_xlfn.IFS(BO328&lt;&gt;"", BO328, CV328=0,  AQ328, CV328=1,  AZ328)</f>
        <v>2</v>
      </c>
      <c r="DB328" s="36">
        <f t="shared" si="45"/>
        <v>1.5</v>
      </c>
      <c r="DC328" s="3">
        <f t="shared" si="46"/>
        <v>1.5</v>
      </c>
      <c r="DD328" s="3">
        <f t="shared" si="47"/>
        <v>0</v>
      </c>
      <c r="DE328" s="3">
        <f t="shared" si="48"/>
        <v>1.5</v>
      </c>
      <c r="DF328" s="3">
        <f t="shared" si="49"/>
        <v>-2.5</v>
      </c>
      <c r="DG328" s="3">
        <f t="shared" si="50"/>
        <v>1.5</v>
      </c>
    </row>
    <row r="329" spans="1:111" x14ac:dyDescent="0.4">
      <c r="A329">
        <v>202511</v>
      </c>
      <c r="B329">
        <v>456</v>
      </c>
      <c r="C329" s="5">
        <v>45969.539178240739</v>
      </c>
      <c r="D329" s="5">
        <v>45969.543657407405</v>
      </c>
      <c r="E329" s="3">
        <v>0</v>
      </c>
      <c r="F329" s="4" t="s">
        <v>275</v>
      </c>
      <c r="G329" s="3">
        <v>100</v>
      </c>
      <c r="H329" s="3">
        <v>387</v>
      </c>
      <c r="I329" s="3">
        <v>1</v>
      </c>
      <c r="J329" s="5">
        <v>45969.543669768522</v>
      </c>
      <c r="K329" s="4" t="s">
        <v>274</v>
      </c>
      <c r="L329" s="4" t="s">
        <v>122</v>
      </c>
      <c r="M329" s="4" t="s">
        <v>122</v>
      </c>
      <c r="N329" s="4" t="s">
        <v>122</v>
      </c>
      <c r="O329" s="4" t="s">
        <v>122</v>
      </c>
      <c r="P329" s="3">
        <v>32.145299999999999</v>
      </c>
      <c r="Q329" s="3">
        <v>-110.9456</v>
      </c>
      <c r="R329" s="4" t="s">
        <v>129</v>
      </c>
      <c r="S329" s="4" t="s">
        <v>124</v>
      </c>
      <c r="T329" s="3">
        <v>4</v>
      </c>
      <c r="U329" s="3">
        <v>1</v>
      </c>
      <c r="V329" s="3">
        <v>3</v>
      </c>
      <c r="W329" s="3">
        <v>2</v>
      </c>
      <c r="X329" s="3">
        <v>1</v>
      </c>
      <c r="Y329" s="3">
        <v>2</v>
      </c>
      <c r="Z329" s="3">
        <v>2</v>
      </c>
      <c r="AA329" s="3">
        <v>2</v>
      </c>
      <c r="AB329" s="4" t="s">
        <v>122</v>
      </c>
      <c r="AC329" s="4" t="s">
        <v>122</v>
      </c>
      <c r="AD329" s="4" t="s">
        <v>122</v>
      </c>
      <c r="AE329" s="4" t="s">
        <v>122</v>
      </c>
      <c r="AF329" s="4" t="s">
        <v>122</v>
      </c>
      <c r="AG329" s="3">
        <v>3</v>
      </c>
      <c r="AH329" s="3">
        <v>7</v>
      </c>
      <c r="AI329" s="3">
        <v>3</v>
      </c>
      <c r="AJ329" s="3">
        <v>8</v>
      </c>
      <c r="AK329" s="3">
        <v>8</v>
      </c>
      <c r="AL329" s="3">
        <v>8</v>
      </c>
      <c r="AM329" s="3">
        <v>8</v>
      </c>
      <c r="AN329" s="3">
        <v>8</v>
      </c>
      <c r="AO329" s="3">
        <v>3</v>
      </c>
      <c r="AP329" s="3">
        <v>3</v>
      </c>
      <c r="AQ329" s="4" t="s">
        <v>122</v>
      </c>
      <c r="AR329" s="4" t="s">
        <v>122</v>
      </c>
      <c r="AS329" s="3">
        <v>8</v>
      </c>
      <c r="AT329" s="3">
        <v>9</v>
      </c>
      <c r="AU329" s="3">
        <v>9</v>
      </c>
      <c r="AV329" s="3">
        <v>9</v>
      </c>
      <c r="AW329" s="3">
        <v>8</v>
      </c>
      <c r="AX329" s="3">
        <v>1</v>
      </c>
      <c r="AY329" s="3">
        <v>2</v>
      </c>
      <c r="AZ329" s="4" t="s">
        <v>122</v>
      </c>
      <c r="BA329" s="4" t="s">
        <v>122</v>
      </c>
      <c r="BB329" s="4" t="s">
        <v>122</v>
      </c>
      <c r="BC329" s="4" t="s">
        <v>122</v>
      </c>
      <c r="BD329" s="4" t="s">
        <v>122</v>
      </c>
      <c r="BE329" s="4" t="s">
        <v>122</v>
      </c>
      <c r="BF329" s="4" t="s">
        <v>122</v>
      </c>
      <c r="BG329" s="4" t="s">
        <v>122</v>
      </c>
      <c r="BH329" s="4" t="s">
        <v>122</v>
      </c>
      <c r="BI329" s="4" t="s">
        <v>122</v>
      </c>
      <c r="BJ329" s="4" t="s">
        <v>122</v>
      </c>
      <c r="BK329" s="4" t="s">
        <v>122</v>
      </c>
      <c r="BL329" s="4" t="s">
        <v>122</v>
      </c>
      <c r="BM329" s="4" t="s">
        <v>122</v>
      </c>
      <c r="BN329" s="4" t="s">
        <v>122</v>
      </c>
      <c r="BO329" s="3">
        <v>8</v>
      </c>
      <c r="BP329" s="3">
        <v>8</v>
      </c>
      <c r="BQ329" s="3">
        <v>3</v>
      </c>
      <c r="BR329" s="4" t="s">
        <v>125</v>
      </c>
      <c r="BS329" s="4" t="s">
        <v>125</v>
      </c>
      <c r="BT329" s="4" t="s">
        <v>125</v>
      </c>
      <c r="BU329" s="4" t="s">
        <v>122</v>
      </c>
      <c r="BV329" s="4" t="s">
        <v>125</v>
      </c>
      <c r="BW329" s="4" t="s">
        <v>122</v>
      </c>
      <c r="BX329" s="4" t="s">
        <v>122</v>
      </c>
      <c r="BY329" s="4" t="s">
        <v>122</v>
      </c>
      <c r="BZ329" s="4" t="s">
        <v>122</v>
      </c>
      <c r="CA329" s="3">
        <v>1</v>
      </c>
      <c r="CB329" s="3">
        <v>7</v>
      </c>
      <c r="CC329" s="3">
        <v>3</v>
      </c>
      <c r="CD329" s="3">
        <v>7</v>
      </c>
      <c r="CE329" s="3">
        <v>3</v>
      </c>
      <c r="CF329" s="3">
        <v>2</v>
      </c>
      <c r="CG329" s="4" t="s">
        <v>122</v>
      </c>
      <c r="CH329" s="3">
        <v>2.2999999999999998</v>
      </c>
      <c r="CI329" s="4" t="s">
        <v>122</v>
      </c>
      <c r="CJ329" s="4" t="s">
        <v>122</v>
      </c>
      <c r="CK329" s="4" t="s">
        <v>122</v>
      </c>
      <c r="CL329" s="4" t="s">
        <v>125</v>
      </c>
      <c r="CM329" s="4" t="s">
        <v>122</v>
      </c>
      <c r="CN329" s="4" t="s">
        <v>122</v>
      </c>
      <c r="CO329" s="4" t="s">
        <v>122</v>
      </c>
      <c r="CP329" s="4" t="s">
        <v>122</v>
      </c>
      <c r="CQ329" s="4" t="s">
        <v>122</v>
      </c>
      <c r="CR329" s="4" t="s">
        <v>122</v>
      </c>
      <c r="CS329" s="3">
        <v>3</v>
      </c>
      <c r="CT329" s="3">
        <v>2</v>
      </c>
      <c r="CU329" s="42">
        <v>4</v>
      </c>
      <c r="CV329" cm="1">
        <f t="array" ref="CV329">_xlfn.IFS(CU329*1=2,1,CU329*1=4,1,TRUE,0)</f>
        <v>1</v>
      </c>
      <c r="CW329" cm="1">
        <f t="array" ref="CW329">_xlfn.IFS(CU329*1=1,1,CU329*1=2,1,TRUE,0)</f>
        <v>0</v>
      </c>
      <c r="CX329" s="3">
        <f t="shared" si="43"/>
        <v>7</v>
      </c>
      <c r="CY329" s="3">
        <f t="shared" si="44"/>
        <v>7</v>
      </c>
      <c r="CZ329" s="3" cm="1">
        <f t="array" ref="CZ329">_xlfn.IFS(BP329&lt;&gt;"", BP329, CV329=1,  AQ329, CV329=0,  AZ329)</f>
        <v>8</v>
      </c>
      <c r="DA329" s="36" cm="1">
        <f t="array" ref="DA329">_xlfn.IFS(BO329&lt;&gt;"", BO329, CV329=0,  AQ329, CV329=1,  AZ329)</f>
        <v>8</v>
      </c>
      <c r="DB329" s="36">
        <f t="shared" si="45"/>
        <v>0</v>
      </c>
      <c r="DC329" s="3">
        <f t="shared" si="46"/>
        <v>0</v>
      </c>
      <c r="DD329" s="3">
        <f t="shared" si="47"/>
        <v>0</v>
      </c>
      <c r="DE329" s="3">
        <f t="shared" si="48"/>
        <v>1</v>
      </c>
      <c r="DF329" s="3">
        <f t="shared" si="49"/>
        <v>0</v>
      </c>
      <c r="DG329" s="3">
        <f t="shared" si="50"/>
        <v>1</v>
      </c>
    </row>
    <row r="330" spans="1:111" x14ac:dyDescent="0.4">
      <c r="A330">
        <v>202511</v>
      </c>
      <c r="B330">
        <v>123</v>
      </c>
      <c r="C330" s="1">
        <v>45969.539942129632</v>
      </c>
      <c r="D330" s="1">
        <v>45969.544768518521</v>
      </c>
      <c r="E330">
        <v>0</v>
      </c>
      <c r="F330" s="2" t="s">
        <v>237</v>
      </c>
      <c r="G330">
        <v>100</v>
      </c>
      <c r="H330">
        <v>416</v>
      </c>
      <c r="I330">
        <v>1</v>
      </c>
      <c r="J330" s="1">
        <v>45969.544782280092</v>
      </c>
      <c r="K330" s="2" t="s">
        <v>238</v>
      </c>
      <c r="L330" s="2" t="s">
        <v>122</v>
      </c>
      <c r="M330" s="2" t="s">
        <v>122</v>
      </c>
      <c r="N330" s="2" t="s">
        <v>122</v>
      </c>
      <c r="O330" s="2" t="s">
        <v>122</v>
      </c>
      <c r="P330">
        <v>36.168500000000002</v>
      </c>
      <c r="Q330">
        <v>-115.1164</v>
      </c>
      <c r="R330" s="2" t="s">
        <v>129</v>
      </c>
      <c r="S330" s="2" t="s">
        <v>124</v>
      </c>
      <c r="T330">
        <v>4</v>
      </c>
      <c r="U330">
        <v>1</v>
      </c>
      <c r="V330">
        <v>5</v>
      </c>
      <c r="W330">
        <v>2</v>
      </c>
      <c r="X330">
        <v>1</v>
      </c>
      <c r="Y330">
        <v>1</v>
      </c>
      <c r="Z330">
        <v>1</v>
      </c>
      <c r="AA330">
        <v>1</v>
      </c>
      <c r="AB330" s="2" t="s">
        <v>122</v>
      </c>
      <c r="AC330" s="2" t="s">
        <v>122</v>
      </c>
      <c r="AD330" s="2" t="s">
        <v>122</v>
      </c>
      <c r="AE330" s="2" t="s">
        <v>122</v>
      </c>
      <c r="AF330" s="2" t="s">
        <v>122</v>
      </c>
      <c r="AG330">
        <v>4</v>
      </c>
      <c r="AH330">
        <v>6</v>
      </c>
      <c r="AI330">
        <v>3</v>
      </c>
      <c r="AJ330">
        <v>4</v>
      </c>
      <c r="AK330">
        <v>5</v>
      </c>
      <c r="AL330">
        <v>7</v>
      </c>
      <c r="AM330">
        <v>7</v>
      </c>
      <c r="AN330">
        <v>6</v>
      </c>
      <c r="AO330">
        <v>2</v>
      </c>
      <c r="AP330">
        <v>2</v>
      </c>
      <c r="AQ330" s="2" t="s">
        <v>122</v>
      </c>
      <c r="AR330" s="2" t="s">
        <v>122</v>
      </c>
      <c r="AS330">
        <v>4</v>
      </c>
      <c r="AT330">
        <v>4</v>
      </c>
      <c r="AU330">
        <v>7</v>
      </c>
      <c r="AV330">
        <v>4</v>
      </c>
      <c r="AW330">
        <v>4</v>
      </c>
      <c r="AX330">
        <v>2</v>
      </c>
      <c r="AY330">
        <v>2</v>
      </c>
      <c r="AZ330" s="2" t="s">
        <v>122</v>
      </c>
      <c r="BA330" s="2" t="s">
        <v>122</v>
      </c>
      <c r="BB330" s="2" t="s">
        <v>122</v>
      </c>
      <c r="BC330" s="2" t="s">
        <v>122</v>
      </c>
      <c r="BD330" s="2" t="s">
        <v>122</v>
      </c>
      <c r="BE330" s="2" t="s">
        <v>122</v>
      </c>
      <c r="BF330" s="2" t="s">
        <v>122</v>
      </c>
      <c r="BG330" s="2" t="s">
        <v>122</v>
      </c>
      <c r="BH330" s="2" t="s">
        <v>122</v>
      </c>
      <c r="BI330" s="2" t="s">
        <v>122</v>
      </c>
      <c r="BJ330" s="2" t="s">
        <v>122</v>
      </c>
      <c r="BK330" s="2" t="s">
        <v>122</v>
      </c>
      <c r="BL330" s="2" t="s">
        <v>122</v>
      </c>
      <c r="BM330" s="2" t="s">
        <v>122</v>
      </c>
      <c r="BN330" s="2" t="s">
        <v>122</v>
      </c>
      <c r="BO330">
        <v>6</v>
      </c>
      <c r="BP330">
        <v>4.5</v>
      </c>
      <c r="BQ330">
        <v>2</v>
      </c>
      <c r="BR330" s="2" t="s">
        <v>122</v>
      </c>
      <c r="BS330" s="2" t="s">
        <v>122</v>
      </c>
      <c r="BT330" s="2" t="s">
        <v>122</v>
      </c>
      <c r="BU330" s="2" t="s">
        <v>122</v>
      </c>
      <c r="BV330" s="2" t="s">
        <v>122</v>
      </c>
      <c r="BW330" s="2" t="s">
        <v>122</v>
      </c>
      <c r="BX330" s="2" t="s">
        <v>122</v>
      </c>
      <c r="BY330" s="2" t="s">
        <v>122</v>
      </c>
      <c r="BZ330" s="2" t="s">
        <v>125</v>
      </c>
      <c r="CA330" s="2" t="s">
        <v>122</v>
      </c>
      <c r="CB330">
        <v>4.5</v>
      </c>
      <c r="CC330">
        <v>3</v>
      </c>
      <c r="CD330">
        <v>4.5</v>
      </c>
      <c r="CE330">
        <v>2</v>
      </c>
      <c r="CF330">
        <v>1</v>
      </c>
      <c r="CG330" s="2" t="s">
        <v>122</v>
      </c>
      <c r="CH330">
        <v>7</v>
      </c>
      <c r="CI330" s="2" t="s">
        <v>122</v>
      </c>
      <c r="CJ330" s="2" t="s">
        <v>122</v>
      </c>
      <c r="CK330" s="2" t="s">
        <v>122</v>
      </c>
      <c r="CL330" s="2" t="s">
        <v>125</v>
      </c>
      <c r="CM330" s="2" t="s">
        <v>122</v>
      </c>
      <c r="CN330" s="2" t="s">
        <v>122</v>
      </c>
      <c r="CO330" s="2" t="s">
        <v>122</v>
      </c>
      <c r="CP330" s="2" t="s">
        <v>122</v>
      </c>
      <c r="CQ330" s="2" t="s">
        <v>122</v>
      </c>
      <c r="CR330" s="2" t="s">
        <v>122</v>
      </c>
      <c r="CS330">
        <v>3</v>
      </c>
      <c r="CT330">
        <v>6</v>
      </c>
      <c r="CU330" s="43">
        <v>3</v>
      </c>
      <c r="CV330" cm="1">
        <f t="array" ref="CV330">_xlfn.IFS(CU330*1=2,1,CU330*1=4,1,TRUE,0)</f>
        <v>0</v>
      </c>
      <c r="CW330" cm="1">
        <f t="array" ref="CW330">_xlfn.IFS(CU330*1=1,1,CU330*1=2,1,TRUE,0)</f>
        <v>0</v>
      </c>
      <c r="CX330" s="3">
        <f t="shared" si="43"/>
        <v>4.5</v>
      </c>
      <c r="CY330" s="3">
        <f t="shared" si="44"/>
        <v>4.5</v>
      </c>
      <c r="CZ330" s="3" cm="1">
        <f t="array" ref="CZ330">_xlfn.IFS(BP330&lt;&gt;"", BP330, CV330=1,  AQ330, CV330=0,  AZ330)</f>
        <v>4.5</v>
      </c>
      <c r="DA330" s="36" cm="1">
        <f t="array" ref="DA330">_xlfn.IFS(BO330&lt;&gt;"", BO330, CV330=0,  AQ330, CV330=1,  AZ330)</f>
        <v>6</v>
      </c>
      <c r="DB330" s="36">
        <f t="shared" si="45"/>
        <v>-1.5</v>
      </c>
      <c r="DC330" s="3">
        <f t="shared" si="46"/>
        <v>-1.5</v>
      </c>
      <c r="DD330" s="3">
        <f t="shared" si="47"/>
        <v>-1.5</v>
      </c>
      <c r="DE330" s="3">
        <f t="shared" si="48"/>
        <v>-1.5</v>
      </c>
      <c r="DF330" s="3">
        <f t="shared" si="49"/>
        <v>-1.5</v>
      </c>
      <c r="DG330" s="3">
        <f t="shared" si="50"/>
        <v>0</v>
      </c>
    </row>
    <row r="331" spans="1:111" x14ac:dyDescent="0.4">
      <c r="A331">
        <v>202511</v>
      </c>
      <c r="B331">
        <v>123</v>
      </c>
      <c r="C331" s="1">
        <v>45969.541527777779</v>
      </c>
      <c r="D331" s="1">
        <v>45969.544999999998</v>
      </c>
      <c r="E331">
        <v>0</v>
      </c>
      <c r="F331" s="2" t="s">
        <v>239</v>
      </c>
      <c r="G331">
        <v>100</v>
      </c>
      <c r="H331">
        <v>300</v>
      </c>
      <c r="I331">
        <v>1</v>
      </c>
      <c r="J331" s="1">
        <v>45969.545013900461</v>
      </c>
      <c r="K331" s="2" t="s">
        <v>240</v>
      </c>
      <c r="L331" s="2" t="s">
        <v>122</v>
      </c>
      <c r="M331" s="2" t="s">
        <v>122</v>
      </c>
      <c r="N331" s="2" t="s">
        <v>122</v>
      </c>
      <c r="O331" s="2" t="s">
        <v>122</v>
      </c>
      <c r="P331">
        <v>36.215800000000002</v>
      </c>
      <c r="Q331">
        <v>-115.066</v>
      </c>
      <c r="R331" s="2" t="s">
        <v>129</v>
      </c>
      <c r="S331" s="2" t="s">
        <v>124</v>
      </c>
      <c r="T331">
        <v>4</v>
      </c>
      <c r="U331">
        <v>1</v>
      </c>
      <c r="V331">
        <v>4</v>
      </c>
      <c r="W331">
        <v>3</v>
      </c>
      <c r="X331">
        <v>2</v>
      </c>
      <c r="Y331">
        <v>2</v>
      </c>
      <c r="Z331">
        <v>2</v>
      </c>
      <c r="AA331">
        <v>1</v>
      </c>
      <c r="AB331" s="2" t="s">
        <v>125</v>
      </c>
      <c r="AC331" s="2" t="s">
        <v>125</v>
      </c>
      <c r="AD331" s="2" t="s">
        <v>122</v>
      </c>
      <c r="AE331" s="2" t="s">
        <v>122</v>
      </c>
      <c r="AF331" s="2" t="s">
        <v>122</v>
      </c>
      <c r="AG331">
        <v>2</v>
      </c>
      <c r="AH331">
        <v>6</v>
      </c>
      <c r="AI331">
        <v>3</v>
      </c>
      <c r="AJ331">
        <v>7</v>
      </c>
      <c r="AK331">
        <v>8</v>
      </c>
      <c r="AL331">
        <v>8</v>
      </c>
      <c r="AM331">
        <v>7</v>
      </c>
      <c r="AN331">
        <v>6</v>
      </c>
      <c r="AO331">
        <v>2</v>
      </c>
      <c r="AP331">
        <v>2</v>
      </c>
      <c r="AQ331">
        <v>6.5</v>
      </c>
      <c r="AR331">
        <v>3</v>
      </c>
      <c r="AS331">
        <v>2</v>
      </c>
      <c r="AT331">
        <v>8</v>
      </c>
      <c r="AU331">
        <v>3</v>
      </c>
      <c r="AV331">
        <v>2</v>
      </c>
      <c r="AW331">
        <v>5</v>
      </c>
      <c r="AX331">
        <v>4</v>
      </c>
      <c r="AY331">
        <v>2</v>
      </c>
      <c r="AZ331">
        <v>6.5</v>
      </c>
      <c r="BA331">
        <v>3</v>
      </c>
      <c r="BB331">
        <v>6.5</v>
      </c>
      <c r="BC331">
        <v>6</v>
      </c>
      <c r="BD331">
        <v>3</v>
      </c>
      <c r="BE331" s="2" t="s">
        <v>125</v>
      </c>
      <c r="BF331" s="2" t="s">
        <v>122</v>
      </c>
      <c r="BG331" s="2" t="s">
        <v>122</v>
      </c>
      <c r="BH331" s="2" t="s">
        <v>122</v>
      </c>
      <c r="BI331" s="2" t="s">
        <v>125</v>
      </c>
      <c r="BJ331" s="2" t="s">
        <v>122</v>
      </c>
      <c r="BK331" s="2" t="s">
        <v>122</v>
      </c>
      <c r="BL331" s="2" t="s">
        <v>125</v>
      </c>
      <c r="BM331" s="2" t="s">
        <v>122</v>
      </c>
      <c r="BN331">
        <v>1</v>
      </c>
      <c r="BO331" s="2" t="s">
        <v>122</v>
      </c>
      <c r="BP331" s="2" t="s">
        <v>122</v>
      </c>
      <c r="BQ331" s="2" t="s">
        <v>122</v>
      </c>
      <c r="BR331" s="2" t="s">
        <v>122</v>
      </c>
      <c r="BS331" s="2" t="s">
        <v>122</v>
      </c>
      <c r="BT331" s="2" t="s">
        <v>122</v>
      </c>
      <c r="BU331" s="2" t="s">
        <v>122</v>
      </c>
      <c r="BV331" s="2" t="s">
        <v>122</v>
      </c>
      <c r="BW331" s="2" t="s">
        <v>122</v>
      </c>
      <c r="BX331" s="2" t="s">
        <v>122</v>
      </c>
      <c r="BY331" s="2" t="s">
        <v>122</v>
      </c>
      <c r="BZ331" s="2" t="s">
        <v>122</v>
      </c>
      <c r="CA331" s="2" t="s">
        <v>122</v>
      </c>
      <c r="CB331" s="2" t="s">
        <v>122</v>
      </c>
      <c r="CC331" s="2" t="s">
        <v>122</v>
      </c>
      <c r="CD331" s="2" t="s">
        <v>122</v>
      </c>
      <c r="CE331" s="2" t="s">
        <v>122</v>
      </c>
      <c r="CF331">
        <v>2</v>
      </c>
      <c r="CG331" s="2" t="s">
        <v>122</v>
      </c>
      <c r="CH331">
        <v>2.2999999999999998</v>
      </c>
      <c r="CI331" s="2" t="s">
        <v>122</v>
      </c>
      <c r="CJ331" s="2" t="s">
        <v>122</v>
      </c>
      <c r="CK331" s="2" t="s">
        <v>122</v>
      </c>
      <c r="CL331" s="2" t="s">
        <v>122</v>
      </c>
      <c r="CM331" s="2" t="s">
        <v>122</v>
      </c>
      <c r="CN331" s="2" t="s">
        <v>122</v>
      </c>
      <c r="CO331" s="2" t="s">
        <v>125</v>
      </c>
      <c r="CP331" s="2" t="s">
        <v>122</v>
      </c>
      <c r="CQ331" s="2" t="s">
        <v>122</v>
      </c>
      <c r="CR331" s="2" t="s">
        <v>122</v>
      </c>
      <c r="CS331">
        <v>2</v>
      </c>
      <c r="CT331">
        <v>1</v>
      </c>
      <c r="CU331" s="43">
        <v>1</v>
      </c>
      <c r="CV331" cm="1">
        <f t="array" ref="CV331">_xlfn.IFS(CU331*1=2,1,CU331*1=4,1,TRUE,0)</f>
        <v>0</v>
      </c>
      <c r="CW331" cm="1">
        <f t="array" ref="CW331">_xlfn.IFS(CU331*1=1,1,CU331*1=2,1,TRUE,0)</f>
        <v>1</v>
      </c>
      <c r="CX331" s="3">
        <f t="shared" si="43"/>
        <v>6.5</v>
      </c>
      <c r="CY331" s="3">
        <f t="shared" si="44"/>
        <v>6</v>
      </c>
      <c r="CZ331" s="3" cm="1">
        <f t="array" ref="CZ331">_xlfn.IFS(BP331&lt;&gt;"", BP331, CV331=1,  AQ331, CV331=0,  AZ331)</f>
        <v>6.5</v>
      </c>
      <c r="DA331" s="36" cm="1">
        <f t="array" ref="DA331">_xlfn.IFS(BO331&lt;&gt;"", BO331, CV331=0,  AQ331, CV331=1,  AZ331)</f>
        <v>6.5</v>
      </c>
      <c r="DB331" s="36">
        <f t="shared" si="45"/>
        <v>0</v>
      </c>
      <c r="DC331" s="3">
        <f t="shared" si="46"/>
        <v>0.5</v>
      </c>
      <c r="DD331" s="3">
        <f t="shared" si="47"/>
        <v>0.5</v>
      </c>
      <c r="DE331" s="3">
        <f t="shared" si="48"/>
        <v>0</v>
      </c>
      <c r="DF331" s="3">
        <f t="shared" si="49"/>
        <v>0.5</v>
      </c>
      <c r="DG331" s="3">
        <f t="shared" si="50"/>
        <v>0.5</v>
      </c>
    </row>
    <row r="332" spans="1:111" x14ac:dyDescent="0.4">
      <c r="A332">
        <v>202511</v>
      </c>
      <c r="B332">
        <v>456</v>
      </c>
      <c r="C332" s="5">
        <v>45969.54179398148</v>
      </c>
      <c r="D332" s="5">
        <v>45969.545358796298</v>
      </c>
      <c r="E332" s="3">
        <v>0</v>
      </c>
      <c r="F332" s="4" t="s">
        <v>273</v>
      </c>
      <c r="G332" s="3">
        <v>100</v>
      </c>
      <c r="H332" s="3">
        <v>308</v>
      </c>
      <c r="I332" s="3">
        <v>1</v>
      </c>
      <c r="J332" s="5">
        <v>45969.545375312497</v>
      </c>
      <c r="K332" s="4" t="s">
        <v>272</v>
      </c>
      <c r="L332" s="4" t="s">
        <v>122</v>
      </c>
      <c r="M332" s="4" t="s">
        <v>122</v>
      </c>
      <c r="N332" s="4" t="s">
        <v>122</v>
      </c>
      <c r="O332" s="4" t="s">
        <v>122</v>
      </c>
      <c r="P332" s="3">
        <v>33.453200000000002</v>
      </c>
      <c r="Q332" s="3">
        <v>-112.0748</v>
      </c>
      <c r="R332" s="4" t="s">
        <v>129</v>
      </c>
      <c r="S332" s="4" t="s">
        <v>124</v>
      </c>
      <c r="T332" s="3">
        <v>4</v>
      </c>
      <c r="U332" s="3">
        <v>1</v>
      </c>
      <c r="V332" s="3">
        <v>2</v>
      </c>
      <c r="W332" s="3">
        <v>3</v>
      </c>
      <c r="X332" s="3">
        <v>1</v>
      </c>
      <c r="Y332" s="3">
        <v>2</v>
      </c>
      <c r="Z332" s="3">
        <v>1</v>
      </c>
      <c r="AA332" s="3">
        <v>1</v>
      </c>
      <c r="AB332" s="4" t="s">
        <v>122</v>
      </c>
      <c r="AC332" s="4" t="s">
        <v>122</v>
      </c>
      <c r="AD332" s="4" t="s">
        <v>122</v>
      </c>
      <c r="AE332" s="4" t="s">
        <v>122</v>
      </c>
      <c r="AF332" s="4" t="s">
        <v>122</v>
      </c>
      <c r="AG332" s="3">
        <v>1</v>
      </c>
      <c r="AH332" s="3">
        <v>4.5</v>
      </c>
      <c r="AI332" s="3">
        <v>2</v>
      </c>
      <c r="AJ332" s="3">
        <v>6</v>
      </c>
      <c r="AK332" s="3">
        <v>6</v>
      </c>
      <c r="AL332" s="3">
        <v>6</v>
      </c>
      <c r="AM332" s="3">
        <v>4</v>
      </c>
      <c r="AN332" s="3">
        <v>3</v>
      </c>
      <c r="AO332" s="3">
        <v>2</v>
      </c>
      <c r="AP332" s="3">
        <v>2</v>
      </c>
      <c r="AQ332" s="3">
        <v>0</v>
      </c>
      <c r="AR332" s="4" t="s">
        <v>122</v>
      </c>
      <c r="AS332" s="3">
        <v>6</v>
      </c>
      <c r="AT332" s="3">
        <v>7</v>
      </c>
      <c r="AU332" s="3">
        <v>6</v>
      </c>
      <c r="AV332" s="3">
        <v>7</v>
      </c>
      <c r="AW332" s="3">
        <v>6</v>
      </c>
      <c r="AX332" s="3">
        <v>3</v>
      </c>
      <c r="AY332" s="3">
        <v>2</v>
      </c>
      <c r="AZ332" s="3">
        <v>4</v>
      </c>
      <c r="BA332" s="3">
        <v>2</v>
      </c>
      <c r="BB332" s="3">
        <v>5</v>
      </c>
      <c r="BC332" s="3">
        <v>5</v>
      </c>
      <c r="BD332" s="3">
        <v>3</v>
      </c>
      <c r="BE332" s="4" t="s">
        <v>125</v>
      </c>
      <c r="BF332" s="4" t="s">
        <v>125</v>
      </c>
      <c r="BG332" s="4" t="s">
        <v>125</v>
      </c>
      <c r="BH332" s="4" t="s">
        <v>122</v>
      </c>
      <c r="BI332" s="4" t="s">
        <v>122</v>
      </c>
      <c r="BJ332" s="4" t="s">
        <v>122</v>
      </c>
      <c r="BK332" s="4" t="s">
        <v>122</v>
      </c>
      <c r="BL332" s="4" t="s">
        <v>122</v>
      </c>
      <c r="BM332" s="4" t="s">
        <v>122</v>
      </c>
      <c r="BN332" s="3">
        <v>1</v>
      </c>
      <c r="BO332" s="4" t="s">
        <v>122</v>
      </c>
      <c r="BP332" s="4" t="s">
        <v>122</v>
      </c>
      <c r="BQ332" s="4" t="s">
        <v>122</v>
      </c>
      <c r="BR332" s="4" t="s">
        <v>122</v>
      </c>
      <c r="BS332" s="4" t="s">
        <v>122</v>
      </c>
      <c r="BT332" s="4" t="s">
        <v>122</v>
      </c>
      <c r="BU332" s="4" t="s">
        <v>122</v>
      </c>
      <c r="BV332" s="4" t="s">
        <v>122</v>
      </c>
      <c r="BW332" s="4" t="s">
        <v>122</v>
      </c>
      <c r="BX332" s="4" t="s">
        <v>122</v>
      </c>
      <c r="BY332" s="4" t="s">
        <v>122</v>
      </c>
      <c r="BZ332" s="4" t="s">
        <v>122</v>
      </c>
      <c r="CA332" s="4" t="s">
        <v>122</v>
      </c>
      <c r="CB332" s="4" t="s">
        <v>122</v>
      </c>
      <c r="CC332" s="4" t="s">
        <v>122</v>
      </c>
      <c r="CD332" s="4" t="s">
        <v>122</v>
      </c>
      <c r="CE332" s="4" t="s">
        <v>122</v>
      </c>
      <c r="CF332" s="3">
        <v>2</v>
      </c>
      <c r="CG332" s="4" t="s">
        <v>122</v>
      </c>
      <c r="CH332" s="3">
        <v>1</v>
      </c>
      <c r="CI332" s="4" t="s">
        <v>122</v>
      </c>
      <c r="CJ332" s="4" t="s">
        <v>122</v>
      </c>
      <c r="CK332" s="4" t="s">
        <v>122</v>
      </c>
      <c r="CL332" s="4" t="s">
        <v>122</v>
      </c>
      <c r="CM332" s="4" t="s">
        <v>122</v>
      </c>
      <c r="CN332" s="4" t="s">
        <v>122</v>
      </c>
      <c r="CO332" s="4" t="s">
        <v>125</v>
      </c>
      <c r="CP332" s="4" t="s">
        <v>122</v>
      </c>
      <c r="CQ332" s="4" t="s">
        <v>122</v>
      </c>
      <c r="CR332" s="4" t="s">
        <v>122</v>
      </c>
      <c r="CS332" s="3">
        <v>3</v>
      </c>
      <c r="CT332" s="3">
        <v>6</v>
      </c>
      <c r="CU332" s="42">
        <v>2</v>
      </c>
      <c r="CV332" cm="1">
        <f t="array" ref="CV332">_xlfn.IFS(CU332*1=2,1,CU332*1=4,1,TRUE,0)</f>
        <v>1</v>
      </c>
      <c r="CW332" cm="1">
        <f t="array" ref="CW332">_xlfn.IFS(CU332*1=1,1,CU332*1=2,1,TRUE,0)</f>
        <v>1</v>
      </c>
      <c r="CX332" s="3">
        <f t="shared" si="43"/>
        <v>5</v>
      </c>
      <c r="CY332" s="3">
        <f t="shared" si="44"/>
        <v>5</v>
      </c>
      <c r="CZ332" s="3" cm="1">
        <f t="array" ref="CZ332">_xlfn.IFS(BP332&lt;&gt;"", BP332, CV332=1,  AQ332, CV332=0,  AZ332)</f>
        <v>0</v>
      </c>
      <c r="DA332" s="36" cm="1">
        <f t="array" ref="DA332">_xlfn.IFS(BO332&lt;&gt;"", BO332, CV332=0,  AQ332, CV332=1,  AZ332)</f>
        <v>4</v>
      </c>
      <c r="DB332" s="36">
        <f t="shared" si="45"/>
        <v>0.5</v>
      </c>
      <c r="DC332" s="3">
        <f t="shared" si="46"/>
        <v>0.5</v>
      </c>
      <c r="DD332" s="3">
        <f t="shared" si="47"/>
        <v>-4.5</v>
      </c>
      <c r="DE332" s="3">
        <f t="shared" si="48"/>
        <v>0.5</v>
      </c>
      <c r="DF332" s="3">
        <f t="shared" si="49"/>
        <v>-0.5</v>
      </c>
      <c r="DG332" s="3">
        <f t="shared" si="50"/>
        <v>0.5</v>
      </c>
    </row>
    <row r="333" spans="1:111" x14ac:dyDescent="0.4">
      <c r="A333">
        <v>202511</v>
      </c>
      <c r="B333">
        <v>123</v>
      </c>
      <c r="C333" s="1">
        <v>45969.543506944443</v>
      </c>
      <c r="D333" s="1">
        <v>45969.548275462963</v>
      </c>
      <c r="E333">
        <v>0</v>
      </c>
      <c r="F333" s="2" t="s">
        <v>241</v>
      </c>
      <c r="G333">
        <v>100</v>
      </c>
      <c r="H333">
        <v>411</v>
      </c>
      <c r="I333">
        <v>1</v>
      </c>
      <c r="J333" s="1">
        <v>45969.548286238423</v>
      </c>
      <c r="K333" s="2" t="s">
        <v>242</v>
      </c>
      <c r="L333" s="2" t="s">
        <v>122</v>
      </c>
      <c r="M333" s="2" t="s">
        <v>122</v>
      </c>
      <c r="N333" s="2" t="s">
        <v>122</v>
      </c>
      <c r="O333" s="2" t="s">
        <v>122</v>
      </c>
      <c r="P333">
        <v>32.250300000000003</v>
      </c>
      <c r="Q333">
        <v>-110.94499999999999</v>
      </c>
      <c r="R333" s="2" t="s">
        <v>129</v>
      </c>
      <c r="S333" s="2" t="s">
        <v>124</v>
      </c>
      <c r="T333">
        <v>4</v>
      </c>
      <c r="U333">
        <v>1</v>
      </c>
      <c r="V333">
        <v>2</v>
      </c>
      <c r="W333">
        <v>4</v>
      </c>
      <c r="X333">
        <v>1</v>
      </c>
      <c r="Y333">
        <v>3</v>
      </c>
      <c r="Z333">
        <v>3</v>
      </c>
      <c r="AA333">
        <v>1</v>
      </c>
      <c r="AB333" s="2" t="s">
        <v>122</v>
      </c>
      <c r="AC333" s="2" t="s">
        <v>122</v>
      </c>
      <c r="AD333" s="2" t="s">
        <v>122</v>
      </c>
      <c r="AE333" s="2" t="s">
        <v>122</v>
      </c>
      <c r="AF333" s="2" t="s">
        <v>122</v>
      </c>
      <c r="AG333">
        <v>3</v>
      </c>
      <c r="AH333">
        <v>4.5</v>
      </c>
      <c r="AI333">
        <v>3</v>
      </c>
      <c r="AJ333">
        <v>7</v>
      </c>
      <c r="AK333">
        <v>8</v>
      </c>
      <c r="AL333">
        <v>6</v>
      </c>
      <c r="AM333">
        <v>3</v>
      </c>
      <c r="AN333">
        <v>5</v>
      </c>
      <c r="AO333">
        <v>3</v>
      </c>
      <c r="AP333">
        <v>3</v>
      </c>
      <c r="AQ333" s="2" t="s">
        <v>122</v>
      </c>
      <c r="AR333" s="2" t="s">
        <v>122</v>
      </c>
      <c r="AS333">
        <v>9</v>
      </c>
      <c r="AT333">
        <v>8</v>
      </c>
      <c r="AU333">
        <v>6</v>
      </c>
      <c r="AV333">
        <v>6</v>
      </c>
      <c r="AW333">
        <v>5</v>
      </c>
      <c r="AX333">
        <v>3</v>
      </c>
      <c r="AY333">
        <v>3</v>
      </c>
      <c r="AZ333" s="2" t="s">
        <v>122</v>
      </c>
      <c r="BA333" s="2" t="s">
        <v>122</v>
      </c>
      <c r="BB333" s="2" t="s">
        <v>122</v>
      </c>
      <c r="BC333" s="2" t="s">
        <v>122</v>
      </c>
      <c r="BD333" s="2" t="s">
        <v>122</v>
      </c>
      <c r="BE333" s="2" t="s">
        <v>122</v>
      </c>
      <c r="BF333" s="2" t="s">
        <v>122</v>
      </c>
      <c r="BG333" s="2" t="s">
        <v>122</v>
      </c>
      <c r="BH333" s="2" t="s">
        <v>122</v>
      </c>
      <c r="BI333" s="2" t="s">
        <v>122</v>
      </c>
      <c r="BJ333" s="2" t="s">
        <v>122</v>
      </c>
      <c r="BK333" s="2" t="s">
        <v>122</v>
      </c>
      <c r="BL333" s="2" t="s">
        <v>122</v>
      </c>
      <c r="BM333" s="2" t="s">
        <v>122</v>
      </c>
      <c r="BN333" s="2" t="s">
        <v>122</v>
      </c>
      <c r="BO333">
        <v>5</v>
      </c>
      <c r="BP333">
        <v>5</v>
      </c>
      <c r="BQ333">
        <v>2</v>
      </c>
      <c r="BR333" s="2" t="s">
        <v>125</v>
      </c>
      <c r="BS333" s="2" t="s">
        <v>122</v>
      </c>
      <c r="BT333" s="2" t="s">
        <v>122</v>
      </c>
      <c r="BU333" s="2" t="s">
        <v>122</v>
      </c>
      <c r="BV333" s="2" t="s">
        <v>125</v>
      </c>
      <c r="BW333" s="2" t="s">
        <v>122</v>
      </c>
      <c r="BX333" s="2" t="s">
        <v>122</v>
      </c>
      <c r="BY333" s="2" t="s">
        <v>122</v>
      </c>
      <c r="BZ333" s="2" t="s">
        <v>122</v>
      </c>
      <c r="CA333">
        <v>1</v>
      </c>
      <c r="CB333">
        <v>4.5</v>
      </c>
      <c r="CC333">
        <v>3</v>
      </c>
      <c r="CD333">
        <v>4</v>
      </c>
      <c r="CE333">
        <v>3</v>
      </c>
      <c r="CF333">
        <v>2</v>
      </c>
      <c r="CG333" s="2" t="s">
        <v>122</v>
      </c>
      <c r="CH333">
        <v>2.2999999999999998</v>
      </c>
      <c r="CI333" s="2" t="s">
        <v>122</v>
      </c>
      <c r="CJ333" s="2" t="s">
        <v>122</v>
      </c>
      <c r="CK333" s="2" t="s">
        <v>122</v>
      </c>
      <c r="CL333" s="2" t="s">
        <v>125</v>
      </c>
      <c r="CM333" s="2" t="s">
        <v>122</v>
      </c>
      <c r="CN333" s="2" t="s">
        <v>122</v>
      </c>
      <c r="CO333" s="2" t="s">
        <v>125</v>
      </c>
      <c r="CP333" s="2" t="s">
        <v>122</v>
      </c>
      <c r="CQ333" s="2" t="s">
        <v>122</v>
      </c>
      <c r="CR333" s="2" t="s">
        <v>122</v>
      </c>
      <c r="CS333">
        <v>3</v>
      </c>
      <c r="CT333">
        <v>2</v>
      </c>
      <c r="CU333" s="43">
        <v>3</v>
      </c>
      <c r="CV333" cm="1">
        <f t="array" ref="CV333">_xlfn.IFS(CU333*1=2,1,CU333*1=4,1,TRUE,0)</f>
        <v>0</v>
      </c>
      <c r="CW333" cm="1">
        <f t="array" ref="CW333">_xlfn.IFS(CU333*1=1,1,CU333*1=2,1,TRUE,0)</f>
        <v>0</v>
      </c>
      <c r="CX333" s="3">
        <f t="shared" si="43"/>
        <v>4.5</v>
      </c>
      <c r="CY333" s="3">
        <f t="shared" si="44"/>
        <v>4</v>
      </c>
      <c r="CZ333" s="3" cm="1">
        <f t="array" ref="CZ333">_xlfn.IFS(BP333&lt;&gt;"", BP333, CV333=1,  AQ333, CV333=0,  AZ333)</f>
        <v>5</v>
      </c>
      <c r="DA333" s="36" cm="1">
        <f t="array" ref="DA333">_xlfn.IFS(BO333&lt;&gt;"", BO333, CV333=0,  AQ333, CV333=1,  AZ333)</f>
        <v>5</v>
      </c>
      <c r="DB333" s="36">
        <f t="shared" si="45"/>
        <v>-0.5</v>
      </c>
      <c r="DC333" s="3">
        <f t="shared" si="46"/>
        <v>0</v>
      </c>
      <c r="DD333" s="3">
        <f t="shared" si="47"/>
        <v>-0.5</v>
      </c>
      <c r="DE333" s="3">
        <f t="shared" si="48"/>
        <v>0.5</v>
      </c>
      <c r="DF333" s="3">
        <f t="shared" si="49"/>
        <v>0</v>
      </c>
      <c r="DG333" s="3">
        <f t="shared" si="50"/>
        <v>0.5</v>
      </c>
    </row>
    <row r="334" spans="1:111" x14ac:dyDescent="0.4">
      <c r="A334">
        <v>202511</v>
      </c>
      <c r="B334">
        <v>456</v>
      </c>
      <c r="C334" s="5">
        <v>45969.54583333333</v>
      </c>
      <c r="D334" s="5">
        <v>45969.550196759257</v>
      </c>
      <c r="E334" s="3">
        <v>0</v>
      </c>
      <c r="F334" s="4" t="s">
        <v>271</v>
      </c>
      <c r="G334" s="3">
        <v>100</v>
      </c>
      <c r="H334" s="3">
        <v>377</v>
      </c>
      <c r="I334" s="3">
        <v>1</v>
      </c>
      <c r="J334" s="5">
        <v>45969.550206932872</v>
      </c>
      <c r="K334" s="4" t="s">
        <v>270</v>
      </c>
      <c r="L334" s="4" t="s">
        <v>122</v>
      </c>
      <c r="M334" s="4" t="s">
        <v>122</v>
      </c>
      <c r="N334" s="4" t="s">
        <v>122</v>
      </c>
      <c r="O334" s="4" t="s">
        <v>122</v>
      </c>
      <c r="P334" s="3">
        <v>32.250300000000003</v>
      </c>
      <c r="Q334" s="3">
        <v>-110.94499999999999</v>
      </c>
      <c r="R334" s="4" t="s">
        <v>129</v>
      </c>
      <c r="S334" s="4" t="s">
        <v>124</v>
      </c>
      <c r="T334" s="3">
        <v>4</v>
      </c>
      <c r="U334" s="3">
        <v>0</v>
      </c>
      <c r="V334" s="3">
        <v>1</v>
      </c>
      <c r="W334" s="3">
        <v>1</v>
      </c>
      <c r="X334" s="3">
        <v>2</v>
      </c>
      <c r="Y334" s="3">
        <v>4</v>
      </c>
      <c r="Z334" s="3">
        <v>1</v>
      </c>
      <c r="AA334" s="3">
        <v>1</v>
      </c>
      <c r="AB334" s="4" t="s">
        <v>122</v>
      </c>
      <c r="AC334" s="4" t="s">
        <v>122</v>
      </c>
      <c r="AD334" s="4" t="s">
        <v>125</v>
      </c>
      <c r="AE334" s="4" t="s">
        <v>122</v>
      </c>
      <c r="AF334" s="4" t="s">
        <v>122</v>
      </c>
      <c r="AG334" s="3">
        <v>4</v>
      </c>
      <c r="AH334" s="3">
        <v>5</v>
      </c>
      <c r="AI334" s="3">
        <v>2</v>
      </c>
      <c r="AJ334" s="3">
        <v>8</v>
      </c>
      <c r="AK334" s="3">
        <v>9</v>
      </c>
      <c r="AL334" s="3">
        <v>9</v>
      </c>
      <c r="AM334" s="3">
        <v>9</v>
      </c>
      <c r="AN334" s="3">
        <v>6</v>
      </c>
      <c r="AO334" s="3">
        <v>3</v>
      </c>
      <c r="AP334" s="3">
        <v>3</v>
      </c>
      <c r="AQ334" s="4" t="s">
        <v>122</v>
      </c>
      <c r="AR334" s="4" t="s">
        <v>122</v>
      </c>
      <c r="AS334" s="3">
        <v>9</v>
      </c>
      <c r="AT334" s="3">
        <v>9</v>
      </c>
      <c r="AU334" s="3">
        <v>9</v>
      </c>
      <c r="AV334" s="3">
        <v>9</v>
      </c>
      <c r="AW334" s="3">
        <v>9</v>
      </c>
      <c r="AX334" s="3">
        <v>3</v>
      </c>
      <c r="AY334" s="3">
        <v>3</v>
      </c>
      <c r="AZ334" s="4" t="s">
        <v>122</v>
      </c>
      <c r="BA334" s="4" t="s">
        <v>122</v>
      </c>
      <c r="BB334" s="4" t="s">
        <v>122</v>
      </c>
      <c r="BC334" s="4" t="s">
        <v>122</v>
      </c>
      <c r="BD334" s="4" t="s">
        <v>122</v>
      </c>
      <c r="BE334" s="4" t="s">
        <v>122</v>
      </c>
      <c r="BF334" s="4" t="s">
        <v>122</v>
      </c>
      <c r="BG334" s="4" t="s">
        <v>122</v>
      </c>
      <c r="BH334" s="4" t="s">
        <v>122</v>
      </c>
      <c r="BI334" s="4" t="s">
        <v>122</v>
      </c>
      <c r="BJ334" s="4" t="s">
        <v>122</v>
      </c>
      <c r="BK334" s="4" t="s">
        <v>122</v>
      </c>
      <c r="BL334" s="4" t="s">
        <v>122</v>
      </c>
      <c r="BM334" s="4" t="s">
        <v>122</v>
      </c>
      <c r="BN334" s="4" t="s">
        <v>122</v>
      </c>
      <c r="BO334" s="3">
        <v>5</v>
      </c>
      <c r="BP334" s="3">
        <v>5</v>
      </c>
      <c r="BQ334" s="3">
        <v>2</v>
      </c>
      <c r="BR334" s="4" t="s">
        <v>125</v>
      </c>
      <c r="BS334" s="4" t="s">
        <v>125</v>
      </c>
      <c r="BT334" s="4" t="s">
        <v>125</v>
      </c>
      <c r="BU334" s="4" t="s">
        <v>125</v>
      </c>
      <c r="BV334" s="4" t="s">
        <v>125</v>
      </c>
      <c r="BW334" s="4" t="s">
        <v>125</v>
      </c>
      <c r="BX334" s="4" t="s">
        <v>122</v>
      </c>
      <c r="BY334" s="4" t="s">
        <v>122</v>
      </c>
      <c r="BZ334" s="4" t="s">
        <v>122</v>
      </c>
      <c r="CA334" s="3">
        <v>4</v>
      </c>
      <c r="CB334" s="3">
        <v>5</v>
      </c>
      <c r="CC334" s="3">
        <v>2</v>
      </c>
      <c r="CD334" s="3">
        <v>5</v>
      </c>
      <c r="CE334" s="3">
        <v>2</v>
      </c>
      <c r="CF334" s="3">
        <v>1</v>
      </c>
      <c r="CG334" s="4" t="s">
        <v>122</v>
      </c>
      <c r="CH334" s="3">
        <v>4</v>
      </c>
      <c r="CI334" s="4" t="s">
        <v>122</v>
      </c>
      <c r="CJ334" s="4" t="s">
        <v>122</v>
      </c>
      <c r="CK334" s="4" t="s">
        <v>122</v>
      </c>
      <c r="CL334" s="4" t="s">
        <v>125</v>
      </c>
      <c r="CM334" s="4" t="s">
        <v>122</v>
      </c>
      <c r="CN334" s="4" t="s">
        <v>122</v>
      </c>
      <c r="CO334" s="4" t="s">
        <v>122</v>
      </c>
      <c r="CP334" s="4" t="s">
        <v>122</v>
      </c>
      <c r="CQ334" s="4" t="s">
        <v>122</v>
      </c>
      <c r="CR334" s="4" t="s">
        <v>122</v>
      </c>
      <c r="CS334" s="3">
        <v>4</v>
      </c>
      <c r="CT334" s="3">
        <v>3</v>
      </c>
      <c r="CU334" s="42">
        <v>4</v>
      </c>
      <c r="CV334" cm="1">
        <f t="array" ref="CV334">_xlfn.IFS(CU334*1=2,1,CU334*1=4,1,TRUE,0)</f>
        <v>1</v>
      </c>
      <c r="CW334" cm="1">
        <f t="array" ref="CW334">_xlfn.IFS(CU334*1=1,1,CU334*1=2,1,TRUE,0)</f>
        <v>0</v>
      </c>
      <c r="CX334" s="3">
        <f t="shared" si="43"/>
        <v>5</v>
      </c>
      <c r="CY334" s="3">
        <f t="shared" si="44"/>
        <v>5</v>
      </c>
      <c r="CZ334" s="3" cm="1">
        <f t="array" ref="CZ334">_xlfn.IFS(BP334&lt;&gt;"", BP334, CV334=1,  AQ334, CV334=0,  AZ334)</f>
        <v>5</v>
      </c>
      <c r="DA334" s="36" cm="1">
        <f t="array" ref="DA334">_xlfn.IFS(BO334&lt;&gt;"", BO334, CV334=0,  AQ334, CV334=1,  AZ334)</f>
        <v>5</v>
      </c>
      <c r="DB334" s="36">
        <f t="shared" si="45"/>
        <v>0</v>
      </c>
      <c r="DC334" s="3">
        <f t="shared" si="46"/>
        <v>0</v>
      </c>
      <c r="DD334" s="3">
        <f t="shared" si="47"/>
        <v>0</v>
      </c>
      <c r="DE334" s="3">
        <f t="shared" si="48"/>
        <v>0</v>
      </c>
      <c r="DF334" s="3">
        <f t="shared" si="49"/>
        <v>0</v>
      </c>
      <c r="DG334" s="3">
        <f t="shared" si="50"/>
        <v>0</v>
      </c>
    </row>
    <row r="335" spans="1:111" x14ac:dyDescent="0.4">
      <c r="A335">
        <v>202511</v>
      </c>
      <c r="B335">
        <v>123</v>
      </c>
      <c r="C335" s="1">
        <v>45969.548819444448</v>
      </c>
      <c r="D335" s="1">
        <v>45969.553020833337</v>
      </c>
      <c r="E335">
        <v>0</v>
      </c>
      <c r="F335" s="2" t="s">
        <v>227</v>
      </c>
      <c r="G335">
        <v>100</v>
      </c>
      <c r="H335">
        <v>363</v>
      </c>
      <c r="I335">
        <v>1</v>
      </c>
      <c r="J335" s="1">
        <v>45969.553028310183</v>
      </c>
      <c r="K335" s="2" t="s">
        <v>245</v>
      </c>
      <c r="L335" s="2" t="s">
        <v>122</v>
      </c>
      <c r="M335" s="2" t="s">
        <v>122</v>
      </c>
      <c r="N335" s="2" t="s">
        <v>122</v>
      </c>
      <c r="O335" s="2" t="s">
        <v>122</v>
      </c>
      <c r="P335">
        <v>32.250300000000003</v>
      </c>
      <c r="Q335">
        <v>-110.94499999999999</v>
      </c>
      <c r="R335" s="2" t="s">
        <v>129</v>
      </c>
      <c r="S335" s="2" t="s">
        <v>124</v>
      </c>
      <c r="T335">
        <v>4</v>
      </c>
      <c r="U335">
        <v>1</v>
      </c>
      <c r="V335">
        <v>4</v>
      </c>
      <c r="W335">
        <v>5</v>
      </c>
      <c r="X335">
        <v>1</v>
      </c>
      <c r="Y335">
        <v>2</v>
      </c>
      <c r="Z335">
        <v>3</v>
      </c>
      <c r="AA335">
        <v>3</v>
      </c>
      <c r="AB335" s="2" t="s">
        <v>122</v>
      </c>
      <c r="AC335" s="2" t="s">
        <v>122</v>
      </c>
      <c r="AD335" s="2" t="s">
        <v>122</v>
      </c>
      <c r="AE335" s="2" t="s">
        <v>122</v>
      </c>
      <c r="AF335" s="2" t="s">
        <v>122</v>
      </c>
      <c r="AG335">
        <v>5</v>
      </c>
      <c r="AH335">
        <v>8.5</v>
      </c>
      <c r="AI335">
        <v>2</v>
      </c>
      <c r="AJ335">
        <v>3</v>
      </c>
      <c r="AK335">
        <v>6</v>
      </c>
      <c r="AL335">
        <v>7</v>
      </c>
      <c r="AM335">
        <v>7</v>
      </c>
      <c r="AN335">
        <v>7</v>
      </c>
      <c r="AO335">
        <v>3</v>
      </c>
      <c r="AP335">
        <v>3</v>
      </c>
      <c r="AQ335">
        <v>6</v>
      </c>
      <c r="AR335">
        <v>3</v>
      </c>
      <c r="AS335">
        <v>8</v>
      </c>
      <c r="AT335">
        <v>8</v>
      </c>
      <c r="AU335">
        <v>8</v>
      </c>
      <c r="AV335">
        <v>8</v>
      </c>
      <c r="AW335">
        <v>8</v>
      </c>
      <c r="AX335">
        <v>3</v>
      </c>
      <c r="AY335">
        <v>3</v>
      </c>
      <c r="AZ335">
        <v>8</v>
      </c>
      <c r="BA335">
        <v>2</v>
      </c>
      <c r="BB335">
        <v>0</v>
      </c>
      <c r="BC335">
        <v>0</v>
      </c>
      <c r="BD335">
        <v>2</v>
      </c>
      <c r="BE335" s="2" t="s">
        <v>125</v>
      </c>
      <c r="BF335" s="2" t="s">
        <v>122</v>
      </c>
      <c r="BG335" s="2" t="s">
        <v>122</v>
      </c>
      <c r="BH335" s="2" t="s">
        <v>122</v>
      </c>
      <c r="BI335" s="2" t="s">
        <v>122</v>
      </c>
      <c r="BJ335" s="2" t="s">
        <v>122</v>
      </c>
      <c r="BK335" s="2" t="s">
        <v>122</v>
      </c>
      <c r="BL335" s="2" t="s">
        <v>122</v>
      </c>
      <c r="BM335" s="2" t="s">
        <v>122</v>
      </c>
      <c r="BN335" s="2" t="s">
        <v>122</v>
      </c>
      <c r="BO335" s="2" t="s">
        <v>122</v>
      </c>
      <c r="BP335" s="2" t="s">
        <v>122</v>
      </c>
      <c r="BQ335" s="2" t="s">
        <v>122</v>
      </c>
      <c r="BR335" s="2" t="s">
        <v>122</v>
      </c>
      <c r="BS335" s="2" t="s">
        <v>122</v>
      </c>
      <c r="BT335" s="2" t="s">
        <v>122</v>
      </c>
      <c r="BU335" s="2" t="s">
        <v>122</v>
      </c>
      <c r="BV335" s="2" t="s">
        <v>122</v>
      </c>
      <c r="BW335" s="2" t="s">
        <v>122</v>
      </c>
      <c r="BX335" s="2" t="s">
        <v>122</v>
      </c>
      <c r="BY335" s="2" t="s">
        <v>122</v>
      </c>
      <c r="BZ335" s="2" t="s">
        <v>122</v>
      </c>
      <c r="CA335" s="2" t="s">
        <v>122</v>
      </c>
      <c r="CB335" s="2" t="s">
        <v>122</v>
      </c>
      <c r="CC335" s="2" t="s">
        <v>122</v>
      </c>
      <c r="CD335" s="2" t="s">
        <v>122</v>
      </c>
      <c r="CE335" s="2" t="s">
        <v>122</v>
      </c>
      <c r="CF335">
        <v>1</v>
      </c>
      <c r="CG335" s="2" t="s">
        <v>122</v>
      </c>
      <c r="CH335">
        <v>2.7</v>
      </c>
      <c r="CI335" s="2" t="s">
        <v>122</v>
      </c>
      <c r="CJ335" s="2" t="s">
        <v>122</v>
      </c>
      <c r="CK335" s="2" t="s">
        <v>125</v>
      </c>
      <c r="CL335" s="2" t="s">
        <v>122</v>
      </c>
      <c r="CM335" s="2" t="s">
        <v>122</v>
      </c>
      <c r="CN335" s="2" t="s">
        <v>122</v>
      </c>
      <c r="CO335" s="2" t="s">
        <v>122</v>
      </c>
      <c r="CP335" s="2" t="s">
        <v>122</v>
      </c>
      <c r="CQ335" s="2" t="s">
        <v>122</v>
      </c>
      <c r="CR335" s="2" t="s">
        <v>122</v>
      </c>
      <c r="CS335">
        <v>5</v>
      </c>
      <c r="CT335">
        <v>-999</v>
      </c>
      <c r="CU335" s="43">
        <v>1</v>
      </c>
      <c r="CV335" cm="1">
        <f t="array" ref="CV335">_xlfn.IFS(CU335*1=2,1,CU335*1=4,1,TRUE,0)</f>
        <v>0</v>
      </c>
      <c r="CW335" cm="1">
        <f t="array" ref="CW335">_xlfn.IFS(CU335*1=1,1,CU335*1=2,1,TRUE,0)</f>
        <v>1</v>
      </c>
      <c r="CX335" s="3">
        <f t="shared" si="43"/>
        <v>0</v>
      </c>
      <c r="CY335" s="3">
        <f t="shared" si="44"/>
        <v>0</v>
      </c>
      <c r="CZ335" s="3" cm="1">
        <f t="array" ref="CZ335">_xlfn.IFS(BP335&lt;&gt;"", BP335, CV335=1,  AQ335, CV335=0,  AZ335)</f>
        <v>8</v>
      </c>
      <c r="DA335" s="36" cm="1">
        <f t="array" ref="DA335">_xlfn.IFS(BO335&lt;&gt;"", BO335, CV335=0,  AQ335, CV335=1,  AZ335)</f>
        <v>6</v>
      </c>
      <c r="DB335" s="36">
        <f t="shared" si="45"/>
        <v>-8.5</v>
      </c>
      <c r="DC335" s="3">
        <f t="shared" si="46"/>
        <v>-8.5</v>
      </c>
      <c r="DD335" s="3">
        <f t="shared" si="47"/>
        <v>-0.5</v>
      </c>
      <c r="DE335" s="3">
        <f t="shared" si="48"/>
        <v>-8.5</v>
      </c>
      <c r="DF335" s="3">
        <f t="shared" si="49"/>
        <v>-2.5</v>
      </c>
      <c r="DG335" s="3">
        <f t="shared" si="50"/>
        <v>-8.5</v>
      </c>
    </row>
    <row r="336" spans="1:111" x14ac:dyDescent="0.4">
      <c r="A336">
        <v>202511</v>
      </c>
      <c r="B336">
        <v>123</v>
      </c>
      <c r="C336" s="1">
        <v>45969.549513888887</v>
      </c>
      <c r="D336" s="1">
        <v>45969.552048611113</v>
      </c>
      <c r="E336">
        <v>0</v>
      </c>
      <c r="F336" s="2" t="s">
        <v>243</v>
      </c>
      <c r="G336">
        <v>100</v>
      </c>
      <c r="H336">
        <v>219</v>
      </c>
      <c r="I336">
        <v>1</v>
      </c>
      <c r="J336" s="1">
        <v>45969.552058553243</v>
      </c>
      <c r="K336" s="2" t="s">
        <v>244</v>
      </c>
      <c r="L336" s="2" t="s">
        <v>122</v>
      </c>
      <c r="M336" s="2" t="s">
        <v>122</v>
      </c>
      <c r="N336" s="2" t="s">
        <v>122</v>
      </c>
      <c r="O336" s="2" t="s">
        <v>122</v>
      </c>
      <c r="P336">
        <v>33.453200000000002</v>
      </c>
      <c r="Q336">
        <v>-112.0748</v>
      </c>
      <c r="R336" s="2" t="s">
        <v>129</v>
      </c>
      <c r="S336" s="2" t="s">
        <v>124</v>
      </c>
      <c r="T336">
        <v>4</v>
      </c>
      <c r="U336">
        <v>1</v>
      </c>
      <c r="V336">
        <v>4</v>
      </c>
      <c r="W336">
        <v>4</v>
      </c>
      <c r="X336">
        <v>4</v>
      </c>
      <c r="Y336">
        <v>3</v>
      </c>
      <c r="Z336">
        <v>2</v>
      </c>
      <c r="AA336">
        <v>3</v>
      </c>
      <c r="AB336" s="2" t="s">
        <v>122</v>
      </c>
      <c r="AC336" s="2" t="s">
        <v>125</v>
      </c>
      <c r="AD336" s="2" t="s">
        <v>122</v>
      </c>
      <c r="AE336" s="2" t="s">
        <v>122</v>
      </c>
      <c r="AF336" s="2" t="s">
        <v>122</v>
      </c>
      <c r="AG336">
        <v>2</v>
      </c>
      <c r="AH336">
        <v>2</v>
      </c>
      <c r="AI336">
        <v>3</v>
      </c>
      <c r="AJ336">
        <v>6</v>
      </c>
      <c r="AK336">
        <v>5</v>
      </c>
      <c r="AL336">
        <v>6</v>
      </c>
      <c r="AM336">
        <v>6</v>
      </c>
      <c r="AN336">
        <v>6</v>
      </c>
      <c r="AO336">
        <v>2</v>
      </c>
      <c r="AP336">
        <v>2</v>
      </c>
      <c r="AQ336">
        <v>2</v>
      </c>
      <c r="AR336">
        <v>2</v>
      </c>
      <c r="AS336">
        <v>7</v>
      </c>
      <c r="AT336">
        <v>6</v>
      </c>
      <c r="AU336">
        <v>6</v>
      </c>
      <c r="AV336">
        <v>6</v>
      </c>
      <c r="AW336">
        <v>6</v>
      </c>
      <c r="AX336">
        <v>3</v>
      </c>
      <c r="AY336">
        <v>3</v>
      </c>
      <c r="AZ336">
        <v>2</v>
      </c>
      <c r="BA336">
        <v>2</v>
      </c>
      <c r="BB336">
        <v>2</v>
      </c>
      <c r="BC336">
        <v>2</v>
      </c>
      <c r="BD336">
        <v>2</v>
      </c>
      <c r="BE336" s="2" t="s">
        <v>125</v>
      </c>
      <c r="BF336" s="2" t="s">
        <v>122</v>
      </c>
      <c r="BG336" s="2" t="s">
        <v>122</v>
      </c>
      <c r="BH336" s="2" t="s">
        <v>122</v>
      </c>
      <c r="BI336" s="2" t="s">
        <v>122</v>
      </c>
      <c r="BJ336" s="2" t="s">
        <v>122</v>
      </c>
      <c r="BK336" s="2" t="s">
        <v>125</v>
      </c>
      <c r="BL336" s="2" t="s">
        <v>122</v>
      </c>
      <c r="BM336" s="2" t="s">
        <v>122</v>
      </c>
      <c r="BN336">
        <v>1</v>
      </c>
      <c r="BO336" s="2" t="s">
        <v>122</v>
      </c>
      <c r="BP336" s="2" t="s">
        <v>122</v>
      </c>
      <c r="BQ336" s="2" t="s">
        <v>122</v>
      </c>
      <c r="BR336" s="2" t="s">
        <v>122</v>
      </c>
      <c r="BS336" s="2" t="s">
        <v>122</v>
      </c>
      <c r="BT336" s="2" t="s">
        <v>122</v>
      </c>
      <c r="BU336" s="2" t="s">
        <v>122</v>
      </c>
      <c r="BV336" s="2" t="s">
        <v>122</v>
      </c>
      <c r="BW336" s="2" t="s">
        <v>122</v>
      </c>
      <c r="BX336" s="2" t="s">
        <v>122</v>
      </c>
      <c r="BY336" s="2" t="s">
        <v>122</v>
      </c>
      <c r="BZ336" s="2" t="s">
        <v>122</v>
      </c>
      <c r="CA336" s="2" t="s">
        <v>122</v>
      </c>
      <c r="CB336" s="2" t="s">
        <v>122</v>
      </c>
      <c r="CC336" s="2" t="s">
        <v>122</v>
      </c>
      <c r="CD336" s="2" t="s">
        <v>122</v>
      </c>
      <c r="CE336" s="2" t="s">
        <v>122</v>
      </c>
      <c r="CF336">
        <v>-999</v>
      </c>
      <c r="CG336" s="2" t="s">
        <v>122</v>
      </c>
      <c r="CH336">
        <v>-999</v>
      </c>
      <c r="CI336" s="2" t="s">
        <v>122</v>
      </c>
      <c r="CJ336" s="2" t="s">
        <v>122</v>
      </c>
      <c r="CK336" s="2" t="s">
        <v>122</v>
      </c>
      <c r="CL336" s="2" t="s">
        <v>122</v>
      </c>
      <c r="CM336" s="2" t="s">
        <v>122</v>
      </c>
      <c r="CN336" s="2" t="s">
        <v>122</v>
      </c>
      <c r="CO336" s="2" t="s">
        <v>122</v>
      </c>
      <c r="CP336" s="2" t="s">
        <v>122</v>
      </c>
      <c r="CQ336" s="2" t="s">
        <v>125</v>
      </c>
      <c r="CR336" s="2" t="s">
        <v>122</v>
      </c>
      <c r="CS336">
        <v>1</v>
      </c>
      <c r="CT336">
        <v>2</v>
      </c>
      <c r="CU336" s="43">
        <v>1</v>
      </c>
      <c r="CV336" cm="1">
        <f t="array" ref="CV336">_xlfn.IFS(CU336*1=2,1,CU336*1=4,1,TRUE,0)</f>
        <v>0</v>
      </c>
      <c r="CW336" cm="1">
        <f t="array" ref="CW336">_xlfn.IFS(CU336*1=1,1,CU336*1=2,1,TRUE,0)</f>
        <v>1</v>
      </c>
      <c r="CX336" s="3">
        <f t="shared" si="43"/>
        <v>2</v>
      </c>
      <c r="CY336" s="3">
        <f t="shared" si="44"/>
        <v>2</v>
      </c>
      <c r="CZ336" s="3" cm="1">
        <f t="array" ref="CZ336">_xlfn.IFS(BP336&lt;&gt;"", BP336, CV336=1,  AQ336, CV336=0,  AZ336)</f>
        <v>2</v>
      </c>
      <c r="DA336" s="36" cm="1">
        <f t="array" ref="DA336">_xlfn.IFS(BO336&lt;&gt;"", BO336, CV336=0,  AQ336, CV336=1,  AZ336)</f>
        <v>2</v>
      </c>
      <c r="DB336" s="36">
        <f t="shared" si="45"/>
        <v>0</v>
      </c>
      <c r="DC336" s="3">
        <f t="shared" si="46"/>
        <v>0</v>
      </c>
      <c r="DD336" s="3">
        <f t="shared" si="47"/>
        <v>0</v>
      </c>
      <c r="DE336" s="3">
        <f t="shared" si="48"/>
        <v>0</v>
      </c>
      <c r="DF336" s="3">
        <f t="shared" si="49"/>
        <v>0</v>
      </c>
      <c r="DG336" s="3">
        <f t="shared" si="50"/>
        <v>0</v>
      </c>
    </row>
    <row r="337" spans="1:111" x14ac:dyDescent="0.4">
      <c r="A337">
        <v>202511</v>
      </c>
      <c r="B337">
        <v>456</v>
      </c>
      <c r="C337" s="5">
        <v>45969.550891203704</v>
      </c>
      <c r="D337" s="5">
        <v>45969.55263888889</v>
      </c>
      <c r="E337" s="3">
        <v>0</v>
      </c>
      <c r="F337" s="4" t="s">
        <v>269</v>
      </c>
      <c r="G337" s="3">
        <v>100</v>
      </c>
      <c r="H337" s="3">
        <v>150</v>
      </c>
      <c r="I337" s="3">
        <v>1</v>
      </c>
      <c r="J337" s="5">
        <v>45969.552651967591</v>
      </c>
      <c r="K337" s="4" t="s">
        <v>268</v>
      </c>
      <c r="L337" s="4" t="s">
        <v>122</v>
      </c>
      <c r="M337" s="4" t="s">
        <v>122</v>
      </c>
      <c r="N337" s="4" t="s">
        <v>122</v>
      </c>
      <c r="O337" s="4" t="s">
        <v>122</v>
      </c>
      <c r="P337" s="3">
        <v>33.453200000000002</v>
      </c>
      <c r="Q337" s="3">
        <v>-112.0748</v>
      </c>
      <c r="R337" s="4" t="s">
        <v>129</v>
      </c>
      <c r="S337" s="4" t="s">
        <v>124</v>
      </c>
      <c r="T337" s="3">
        <v>4</v>
      </c>
      <c r="U337" s="3">
        <v>1</v>
      </c>
      <c r="V337" s="3">
        <v>2</v>
      </c>
      <c r="W337" s="3">
        <v>1</v>
      </c>
      <c r="X337" s="3">
        <v>4</v>
      </c>
      <c r="Y337" s="3">
        <v>3</v>
      </c>
      <c r="Z337" s="3">
        <v>3</v>
      </c>
      <c r="AA337" s="3">
        <v>4</v>
      </c>
      <c r="AB337" s="4" t="s">
        <v>122</v>
      </c>
      <c r="AC337" s="4" t="s">
        <v>122</v>
      </c>
      <c r="AD337" s="4" t="s">
        <v>125</v>
      </c>
      <c r="AE337" s="4" t="s">
        <v>122</v>
      </c>
      <c r="AF337" s="4" t="s">
        <v>122</v>
      </c>
      <c r="AG337" s="3">
        <v>2</v>
      </c>
      <c r="AH337" s="3">
        <v>4.5</v>
      </c>
      <c r="AI337" s="3">
        <v>2</v>
      </c>
      <c r="AJ337" s="3">
        <v>3</v>
      </c>
      <c r="AK337" s="3">
        <v>3</v>
      </c>
      <c r="AL337" s="3">
        <v>5</v>
      </c>
      <c r="AM337" s="3">
        <v>3</v>
      </c>
      <c r="AN337" s="3">
        <v>5</v>
      </c>
      <c r="AO337" s="3">
        <v>3</v>
      </c>
      <c r="AP337" s="3">
        <v>2</v>
      </c>
      <c r="AQ337" s="4" t="s">
        <v>122</v>
      </c>
      <c r="AR337" s="4" t="s">
        <v>122</v>
      </c>
      <c r="AS337" s="3">
        <v>3</v>
      </c>
      <c r="AT337" s="3">
        <v>8</v>
      </c>
      <c r="AU337" s="3">
        <v>7</v>
      </c>
      <c r="AV337" s="3">
        <v>7</v>
      </c>
      <c r="AW337" s="3">
        <v>6</v>
      </c>
      <c r="AX337" s="3">
        <v>2</v>
      </c>
      <c r="AY337" s="3">
        <v>2</v>
      </c>
      <c r="AZ337" s="4" t="s">
        <v>122</v>
      </c>
      <c r="BA337" s="4" t="s">
        <v>122</v>
      </c>
      <c r="BB337" s="4" t="s">
        <v>122</v>
      </c>
      <c r="BC337" s="4" t="s">
        <v>122</v>
      </c>
      <c r="BD337" s="4" t="s">
        <v>122</v>
      </c>
      <c r="BE337" s="4" t="s">
        <v>122</v>
      </c>
      <c r="BF337" s="4" t="s">
        <v>122</v>
      </c>
      <c r="BG337" s="4" t="s">
        <v>122</v>
      </c>
      <c r="BH337" s="4" t="s">
        <v>122</v>
      </c>
      <c r="BI337" s="4" t="s">
        <v>122</v>
      </c>
      <c r="BJ337" s="4" t="s">
        <v>122</v>
      </c>
      <c r="BK337" s="4" t="s">
        <v>122</v>
      </c>
      <c r="BL337" s="4" t="s">
        <v>122</v>
      </c>
      <c r="BM337" s="4" t="s">
        <v>122</v>
      </c>
      <c r="BN337" s="4" t="s">
        <v>122</v>
      </c>
      <c r="BO337" s="3">
        <v>6.5</v>
      </c>
      <c r="BP337" s="3">
        <v>4</v>
      </c>
      <c r="BQ337" s="3">
        <v>2</v>
      </c>
      <c r="BR337" s="4" t="s">
        <v>122</v>
      </c>
      <c r="BS337" s="4" t="s">
        <v>125</v>
      </c>
      <c r="BT337" s="4" t="s">
        <v>122</v>
      </c>
      <c r="BU337" s="4" t="s">
        <v>122</v>
      </c>
      <c r="BV337" s="4" t="s">
        <v>122</v>
      </c>
      <c r="BW337" s="4" t="s">
        <v>122</v>
      </c>
      <c r="BX337" s="4" t="s">
        <v>122</v>
      </c>
      <c r="BY337" s="4" t="s">
        <v>122</v>
      </c>
      <c r="BZ337" s="4" t="s">
        <v>122</v>
      </c>
      <c r="CA337" s="3">
        <v>2</v>
      </c>
      <c r="CB337" s="3">
        <v>5</v>
      </c>
      <c r="CC337" s="3">
        <v>2</v>
      </c>
      <c r="CD337" s="3">
        <v>4.5</v>
      </c>
      <c r="CE337" s="3">
        <v>1</v>
      </c>
      <c r="CF337" s="3">
        <v>1</v>
      </c>
      <c r="CG337" s="4" t="s">
        <v>122</v>
      </c>
      <c r="CH337" s="3">
        <v>2.7</v>
      </c>
      <c r="CI337" s="4" t="s">
        <v>122</v>
      </c>
      <c r="CJ337" s="4" t="s">
        <v>122</v>
      </c>
      <c r="CK337" s="4" t="s">
        <v>122</v>
      </c>
      <c r="CL337" s="4" t="s">
        <v>125</v>
      </c>
      <c r="CM337" s="4" t="s">
        <v>122</v>
      </c>
      <c r="CN337" s="4" t="s">
        <v>122</v>
      </c>
      <c r="CO337" s="4" t="s">
        <v>122</v>
      </c>
      <c r="CP337" s="4" t="s">
        <v>122</v>
      </c>
      <c r="CQ337" s="4" t="s">
        <v>122</v>
      </c>
      <c r="CR337" s="4" t="s">
        <v>122</v>
      </c>
      <c r="CS337" s="3">
        <v>5</v>
      </c>
      <c r="CT337" s="3">
        <v>6</v>
      </c>
      <c r="CU337" s="42">
        <v>4</v>
      </c>
      <c r="CV337" cm="1">
        <f t="array" ref="CV337">_xlfn.IFS(CU337*1=2,1,CU337*1=4,1,TRUE,0)</f>
        <v>1</v>
      </c>
      <c r="CW337" cm="1">
        <f t="array" ref="CW337">_xlfn.IFS(CU337*1=1,1,CU337*1=2,1,TRUE,0)</f>
        <v>0</v>
      </c>
      <c r="CX337" s="3">
        <f t="shared" si="43"/>
        <v>5</v>
      </c>
      <c r="CY337" s="3">
        <f t="shared" si="44"/>
        <v>4.5</v>
      </c>
      <c r="CZ337" s="3" cm="1">
        <f t="array" ref="CZ337">_xlfn.IFS(BP337&lt;&gt;"", BP337, CV337=1,  AQ337, CV337=0,  AZ337)</f>
        <v>4</v>
      </c>
      <c r="DA337" s="36" cm="1">
        <f t="array" ref="DA337">_xlfn.IFS(BO337&lt;&gt;"", BO337, CV337=0,  AQ337, CV337=1,  AZ337)</f>
        <v>6.5</v>
      </c>
      <c r="DB337" s="36">
        <f t="shared" si="45"/>
        <v>0</v>
      </c>
      <c r="DC337" s="3">
        <f t="shared" si="46"/>
        <v>0.5</v>
      </c>
      <c r="DD337" s="3">
        <f t="shared" si="47"/>
        <v>0</v>
      </c>
      <c r="DE337" s="3">
        <f t="shared" si="48"/>
        <v>-0.5</v>
      </c>
      <c r="DF337" s="3">
        <f t="shared" si="49"/>
        <v>0.5</v>
      </c>
      <c r="DG337" s="3">
        <f t="shared" si="50"/>
        <v>2</v>
      </c>
    </row>
    <row r="338" spans="1:111" x14ac:dyDescent="0.4">
      <c r="A338">
        <v>202511</v>
      </c>
      <c r="B338">
        <v>123</v>
      </c>
      <c r="C338" s="1">
        <v>45969.552395833336</v>
      </c>
      <c r="D338" s="1">
        <v>45969.554756944446</v>
      </c>
      <c r="E338">
        <v>0</v>
      </c>
      <c r="F338" s="2" t="s">
        <v>246</v>
      </c>
      <c r="G338">
        <v>100</v>
      </c>
      <c r="H338">
        <v>203</v>
      </c>
      <c r="I338">
        <v>1</v>
      </c>
      <c r="J338" s="1">
        <v>45969.554766956018</v>
      </c>
      <c r="K338" s="2" t="s">
        <v>247</v>
      </c>
      <c r="L338" s="2" t="s">
        <v>122</v>
      </c>
      <c r="M338" s="2" t="s">
        <v>122</v>
      </c>
      <c r="N338" s="2" t="s">
        <v>122</v>
      </c>
      <c r="O338" s="2" t="s">
        <v>122</v>
      </c>
      <c r="P338">
        <v>32.250300000000003</v>
      </c>
      <c r="Q338">
        <v>-110.94499999999999</v>
      </c>
      <c r="R338" s="2" t="s">
        <v>129</v>
      </c>
      <c r="S338" s="2" t="s">
        <v>124</v>
      </c>
      <c r="T338">
        <v>4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1</v>
      </c>
      <c r="AA338">
        <v>1</v>
      </c>
      <c r="AB338" s="2" t="s">
        <v>122</v>
      </c>
      <c r="AC338" s="2" t="s">
        <v>122</v>
      </c>
      <c r="AD338" s="2" t="s">
        <v>122</v>
      </c>
      <c r="AE338" s="2" t="s">
        <v>122</v>
      </c>
      <c r="AF338" s="2" t="s">
        <v>122</v>
      </c>
      <c r="AG338">
        <v>2</v>
      </c>
      <c r="AH338">
        <v>0</v>
      </c>
      <c r="AI338" s="2" t="s">
        <v>122</v>
      </c>
      <c r="AJ338">
        <v>3</v>
      </c>
      <c r="AK338">
        <v>6</v>
      </c>
      <c r="AL338">
        <v>6</v>
      </c>
      <c r="AM338">
        <v>2</v>
      </c>
      <c r="AN338">
        <v>6</v>
      </c>
      <c r="AO338">
        <v>2</v>
      </c>
      <c r="AP338">
        <v>2</v>
      </c>
      <c r="AQ338" s="2" t="s">
        <v>122</v>
      </c>
      <c r="AR338" s="2" t="s">
        <v>122</v>
      </c>
      <c r="AS338">
        <v>3</v>
      </c>
      <c r="AT338">
        <v>7</v>
      </c>
      <c r="AU338">
        <v>7</v>
      </c>
      <c r="AV338">
        <v>4</v>
      </c>
      <c r="AW338">
        <v>5</v>
      </c>
      <c r="AX338">
        <v>2</v>
      </c>
      <c r="AY338">
        <v>3</v>
      </c>
      <c r="AZ338" s="2" t="s">
        <v>122</v>
      </c>
      <c r="BA338" s="2" t="s">
        <v>122</v>
      </c>
      <c r="BB338" s="2" t="s">
        <v>122</v>
      </c>
      <c r="BC338" s="2" t="s">
        <v>122</v>
      </c>
      <c r="BD338" s="2" t="s">
        <v>122</v>
      </c>
      <c r="BE338" s="2" t="s">
        <v>122</v>
      </c>
      <c r="BF338" s="2" t="s">
        <v>122</v>
      </c>
      <c r="BG338" s="2" t="s">
        <v>122</v>
      </c>
      <c r="BH338" s="2" t="s">
        <v>122</v>
      </c>
      <c r="BI338" s="2" t="s">
        <v>122</v>
      </c>
      <c r="BJ338" s="2" t="s">
        <v>122</v>
      </c>
      <c r="BK338" s="2" t="s">
        <v>122</v>
      </c>
      <c r="BL338" s="2" t="s">
        <v>122</v>
      </c>
      <c r="BM338" s="2" t="s">
        <v>122</v>
      </c>
      <c r="BN338" s="2" t="s">
        <v>122</v>
      </c>
      <c r="BO338">
        <v>0</v>
      </c>
      <c r="BP338">
        <v>0</v>
      </c>
      <c r="BQ338">
        <v>2</v>
      </c>
      <c r="BR338" s="2" t="s">
        <v>125</v>
      </c>
      <c r="BS338" s="2" t="s">
        <v>122</v>
      </c>
      <c r="BT338" s="2" t="s">
        <v>122</v>
      </c>
      <c r="BU338" s="2" t="s">
        <v>122</v>
      </c>
      <c r="BV338" s="2" t="s">
        <v>122</v>
      </c>
      <c r="BW338" s="2" t="s">
        <v>122</v>
      </c>
      <c r="BX338" s="2" t="s">
        <v>122</v>
      </c>
      <c r="BY338" s="2" t="s">
        <v>122</v>
      </c>
      <c r="BZ338" s="2" t="s">
        <v>122</v>
      </c>
      <c r="CA338" s="2" t="s">
        <v>122</v>
      </c>
      <c r="CB338">
        <v>0</v>
      </c>
      <c r="CC338" s="2" t="s">
        <v>122</v>
      </c>
      <c r="CD338">
        <v>2</v>
      </c>
      <c r="CE338">
        <v>3</v>
      </c>
      <c r="CF338">
        <v>2</v>
      </c>
      <c r="CG338" s="2" t="s">
        <v>122</v>
      </c>
      <c r="CH338">
        <v>2.2999999999999998</v>
      </c>
      <c r="CI338" s="2" t="s">
        <v>122</v>
      </c>
      <c r="CJ338" s="2" t="s">
        <v>122</v>
      </c>
      <c r="CK338" s="2" t="s">
        <v>122</v>
      </c>
      <c r="CL338" s="2" t="s">
        <v>122</v>
      </c>
      <c r="CM338" s="2" t="s">
        <v>122</v>
      </c>
      <c r="CN338" s="2" t="s">
        <v>122</v>
      </c>
      <c r="CO338" s="2" t="s">
        <v>122</v>
      </c>
      <c r="CP338" s="2" t="s">
        <v>122</v>
      </c>
      <c r="CQ338" s="2" t="s">
        <v>125</v>
      </c>
      <c r="CR338" s="2" t="s">
        <v>122</v>
      </c>
      <c r="CS338">
        <v>3</v>
      </c>
      <c r="CT338">
        <v>1</v>
      </c>
      <c r="CU338" s="43">
        <v>3</v>
      </c>
      <c r="CV338" cm="1">
        <f t="array" ref="CV338">_xlfn.IFS(CU338*1=2,1,CU338*1=4,1,TRUE,0)</f>
        <v>0</v>
      </c>
      <c r="CW338" cm="1">
        <f t="array" ref="CW338">_xlfn.IFS(CU338*1=1,1,CU338*1=2,1,TRUE,0)</f>
        <v>0</v>
      </c>
      <c r="CX338" s="3">
        <f t="shared" si="43"/>
        <v>0</v>
      </c>
      <c r="CY338" s="3">
        <f t="shared" si="44"/>
        <v>2</v>
      </c>
      <c r="CZ338" s="3" cm="1">
        <f t="array" ref="CZ338">_xlfn.IFS(BP338&lt;&gt;"", BP338, CV338=1,  AQ338, CV338=0,  AZ338)</f>
        <v>0</v>
      </c>
      <c r="DA338" s="36" cm="1">
        <f t="array" ref="DA338">_xlfn.IFS(BO338&lt;&gt;"", BO338, CV338=0,  AQ338, CV338=1,  AZ338)</f>
        <v>0</v>
      </c>
      <c r="DB338" s="36">
        <f t="shared" si="45"/>
        <v>2</v>
      </c>
      <c r="DC338" s="3">
        <f t="shared" si="46"/>
        <v>0</v>
      </c>
      <c r="DD338" s="3">
        <f t="shared" si="47"/>
        <v>2</v>
      </c>
      <c r="DE338" s="3">
        <f t="shared" si="48"/>
        <v>0</v>
      </c>
      <c r="DF338" s="3">
        <f t="shared" si="49"/>
        <v>0</v>
      </c>
      <c r="DG338" s="3">
        <f t="shared" si="50"/>
        <v>0</v>
      </c>
    </row>
    <row r="339" spans="1:111" x14ac:dyDescent="0.4">
      <c r="A339">
        <v>202511</v>
      </c>
      <c r="B339">
        <v>123</v>
      </c>
      <c r="C339" s="1">
        <v>45969.557581018518</v>
      </c>
      <c r="D339" s="1">
        <v>45969.562824074077</v>
      </c>
      <c r="E339">
        <v>0</v>
      </c>
      <c r="F339" s="2" t="s">
        <v>248</v>
      </c>
      <c r="G339">
        <v>100</v>
      </c>
      <c r="H339">
        <v>453</v>
      </c>
      <c r="I339">
        <v>1</v>
      </c>
      <c r="J339" s="1">
        <v>45969.562830023147</v>
      </c>
      <c r="K339" s="2" t="s">
        <v>249</v>
      </c>
      <c r="L339" s="2" t="s">
        <v>122</v>
      </c>
      <c r="M339" s="2" t="s">
        <v>122</v>
      </c>
      <c r="N339" s="2" t="s">
        <v>122</v>
      </c>
      <c r="O339" s="2" t="s">
        <v>122</v>
      </c>
      <c r="P339">
        <v>32.250300000000003</v>
      </c>
      <c r="Q339">
        <v>-110.94499999999999</v>
      </c>
      <c r="R339" s="2" t="s">
        <v>129</v>
      </c>
      <c r="S339" s="2" t="s">
        <v>124</v>
      </c>
      <c r="T339">
        <v>4</v>
      </c>
      <c r="U339">
        <v>1</v>
      </c>
      <c r="V339">
        <v>3</v>
      </c>
      <c r="W339">
        <v>1</v>
      </c>
      <c r="X339">
        <v>1</v>
      </c>
      <c r="Y339">
        <v>1</v>
      </c>
      <c r="Z339">
        <v>1</v>
      </c>
      <c r="AA339">
        <v>1</v>
      </c>
      <c r="AB339" s="2" t="s">
        <v>122</v>
      </c>
      <c r="AC339" s="2" t="s">
        <v>122</v>
      </c>
      <c r="AD339" s="2" t="s">
        <v>122</v>
      </c>
      <c r="AE339" s="2" t="s">
        <v>122</v>
      </c>
      <c r="AF339" s="2" t="s">
        <v>122</v>
      </c>
      <c r="AG339">
        <v>4</v>
      </c>
      <c r="AH339">
        <v>4.5</v>
      </c>
      <c r="AI339">
        <v>2</v>
      </c>
      <c r="AJ339">
        <v>1</v>
      </c>
      <c r="AK339">
        <v>8</v>
      </c>
      <c r="AL339">
        <v>8</v>
      </c>
      <c r="AM339">
        <v>1</v>
      </c>
      <c r="AN339">
        <v>5</v>
      </c>
      <c r="AO339">
        <v>4</v>
      </c>
      <c r="AP339">
        <v>4</v>
      </c>
      <c r="AQ339">
        <v>0</v>
      </c>
      <c r="AR339" s="2" t="s">
        <v>122</v>
      </c>
      <c r="AS339">
        <v>2</v>
      </c>
      <c r="AT339">
        <v>8</v>
      </c>
      <c r="AU339">
        <v>7</v>
      </c>
      <c r="AV339">
        <v>2</v>
      </c>
      <c r="AW339">
        <v>5</v>
      </c>
      <c r="AX339">
        <v>4</v>
      </c>
      <c r="AY339">
        <v>4</v>
      </c>
      <c r="AZ339">
        <v>0</v>
      </c>
      <c r="BA339" s="2" t="s">
        <v>122</v>
      </c>
      <c r="BB339">
        <v>0</v>
      </c>
      <c r="BC339">
        <v>4.5</v>
      </c>
      <c r="BD339">
        <v>2</v>
      </c>
      <c r="BE339" s="2" t="s">
        <v>122</v>
      </c>
      <c r="BF339" s="2" t="s">
        <v>122</v>
      </c>
      <c r="BG339" s="2" t="s">
        <v>122</v>
      </c>
      <c r="BH339" s="2" t="s">
        <v>122</v>
      </c>
      <c r="BI339" s="2" t="s">
        <v>122</v>
      </c>
      <c r="BJ339" s="2" t="s">
        <v>122</v>
      </c>
      <c r="BK339" s="2" t="s">
        <v>122</v>
      </c>
      <c r="BL339" s="2" t="s">
        <v>122</v>
      </c>
      <c r="BM339" s="2" t="s">
        <v>125</v>
      </c>
      <c r="BN339" s="2" t="s">
        <v>122</v>
      </c>
      <c r="BO339" s="2" t="s">
        <v>122</v>
      </c>
      <c r="BP339" s="2" t="s">
        <v>122</v>
      </c>
      <c r="BQ339" s="2" t="s">
        <v>122</v>
      </c>
      <c r="BR339" s="2" t="s">
        <v>122</v>
      </c>
      <c r="BS339" s="2" t="s">
        <v>122</v>
      </c>
      <c r="BT339" s="2" t="s">
        <v>122</v>
      </c>
      <c r="BU339" s="2" t="s">
        <v>122</v>
      </c>
      <c r="BV339" s="2" t="s">
        <v>122</v>
      </c>
      <c r="BW339" s="2" t="s">
        <v>122</v>
      </c>
      <c r="BX339" s="2" t="s">
        <v>122</v>
      </c>
      <c r="BY339" s="2" t="s">
        <v>122</v>
      </c>
      <c r="BZ339" s="2" t="s">
        <v>122</v>
      </c>
      <c r="CA339" s="2" t="s">
        <v>122</v>
      </c>
      <c r="CB339" s="2" t="s">
        <v>122</v>
      </c>
      <c r="CC339" s="2" t="s">
        <v>122</v>
      </c>
      <c r="CD339" s="2" t="s">
        <v>122</v>
      </c>
      <c r="CE339" s="2" t="s">
        <v>122</v>
      </c>
      <c r="CF339">
        <v>1</v>
      </c>
      <c r="CG339" s="2" t="s">
        <v>122</v>
      </c>
      <c r="CH339">
        <v>2.2999999999999998</v>
      </c>
      <c r="CI339" s="2" t="s">
        <v>125</v>
      </c>
      <c r="CJ339" s="2" t="s">
        <v>122</v>
      </c>
      <c r="CK339" s="2" t="s">
        <v>122</v>
      </c>
      <c r="CL339" s="2" t="s">
        <v>122</v>
      </c>
      <c r="CM339" s="2" t="s">
        <v>122</v>
      </c>
      <c r="CN339" s="2" t="s">
        <v>122</v>
      </c>
      <c r="CO339" s="2" t="s">
        <v>122</v>
      </c>
      <c r="CP339" s="2" t="s">
        <v>122</v>
      </c>
      <c r="CQ339" s="2" t="s">
        <v>122</v>
      </c>
      <c r="CR339" s="2" t="s">
        <v>122</v>
      </c>
      <c r="CS339">
        <v>3</v>
      </c>
      <c r="CT339">
        <v>-999</v>
      </c>
      <c r="CU339" s="43">
        <v>1</v>
      </c>
      <c r="CV339" cm="1">
        <f t="array" ref="CV339">_xlfn.IFS(CU339*1=2,1,CU339*1=4,1,TRUE,0)</f>
        <v>0</v>
      </c>
      <c r="CW339" cm="1">
        <f t="array" ref="CW339">_xlfn.IFS(CU339*1=1,1,CU339*1=2,1,TRUE,0)</f>
        <v>1</v>
      </c>
      <c r="CX339" s="3">
        <f t="shared" si="43"/>
        <v>0</v>
      </c>
      <c r="CY339" s="3">
        <f t="shared" si="44"/>
        <v>4.5</v>
      </c>
      <c r="CZ339" s="3" cm="1">
        <f t="array" ref="CZ339">_xlfn.IFS(BP339&lt;&gt;"", BP339, CV339=1,  AQ339, CV339=0,  AZ339)</f>
        <v>0</v>
      </c>
      <c r="DA339" s="36" cm="1">
        <f t="array" ref="DA339">_xlfn.IFS(BO339&lt;&gt;"", BO339, CV339=0,  AQ339, CV339=1,  AZ339)</f>
        <v>0</v>
      </c>
      <c r="DB339" s="36">
        <f t="shared" si="45"/>
        <v>0</v>
      </c>
      <c r="DC339" s="3">
        <f t="shared" si="46"/>
        <v>-4.5</v>
      </c>
      <c r="DD339" s="3">
        <f t="shared" si="47"/>
        <v>-4.5</v>
      </c>
      <c r="DE339" s="3">
        <f t="shared" si="48"/>
        <v>0</v>
      </c>
      <c r="DF339" s="3">
        <f t="shared" si="49"/>
        <v>-4.5</v>
      </c>
      <c r="DG339" s="3">
        <f t="shared" si="50"/>
        <v>-4.5</v>
      </c>
    </row>
    <row r="340" spans="1:111" x14ac:dyDescent="0.4">
      <c r="A340">
        <v>202511</v>
      </c>
      <c r="B340">
        <v>456</v>
      </c>
      <c r="C340" s="5">
        <v>45969.560023148151</v>
      </c>
      <c r="D340" s="5">
        <v>45969.563043981485</v>
      </c>
      <c r="E340" s="3">
        <v>0</v>
      </c>
      <c r="F340" s="4" t="s">
        <v>267</v>
      </c>
      <c r="G340" s="3">
        <v>100</v>
      </c>
      <c r="H340" s="3">
        <v>260</v>
      </c>
      <c r="I340" s="3">
        <v>1</v>
      </c>
      <c r="J340" s="5">
        <v>45969.563048020835</v>
      </c>
      <c r="K340" s="4" t="s">
        <v>266</v>
      </c>
      <c r="L340" s="4" t="s">
        <v>122</v>
      </c>
      <c r="M340" s="4" t="s">
        <v>122</v>
      </c>
      <c r="N340" s="4" t="s">
        <v>122</v>
      </c>
      <c r="O340" s="4" t="s">
        <v>122</v>
      </c>
      <c r="P340" s="3">
        <v>32.250300000000003</v>
      </c>
      <c r="Q340" s="3">
        <v>-110.94499999999999</v>
      </c>
      <c r="R340" s="4" t="s">
        <v>129</v>
      </c>
      <c r="S340" s="4" t="s">
        <v>124</v>
      </c>
      <c r="T340" s="3">
        <v>4</v>
      </c>
      <c r="U340" s="3">
        <v>0</v>
      </c>
      <c r="V340" s="3">
        <v>1</v>
      </c>
      <c r="W340" s="3">
        <v>1</v>
      </c>
      <c r="X340" s="3">
        <v>1</v>
      </c>
      <c r="Y340" s="3">
        <v>4</v>
      </c>
      <c r="Z340" s="3">
        <v>4</v>
      </c>
      <c r="AA340" s="3">
        <v>4</v>
      </c>
      <c r="AB340" s="4" t="s">
        <v>122</v>
      </c>
      <c r="AC340" s="4" t="s">
        <v>122</v>
      </c>
      <c r="AD340" s="4" t="s">
        <v>122</v>
      </c>
      <c r="AE340" s="4" t="s">
        <v>122</v>
      </c>
      <c r="AF340" s="4" t="s">
        <v>122</v>
      </c>
      <c r="AG340" s="3">
        <v>1</v>
      </c>
      <c r="AH340" s="3">
        <v>5</v>
      </c>
      <c r="AI340" s="3">
        <v>3</v>
      </c>
      <c r="AJ340" s="3">
        <v>7</v>
      </c>
      <c r="AK340" s="3">
        <v>7</v>
      </c>
      <c r="AL340" s="3">
        <v>7</v>
      </c>
      <c r="AM340" s="3">
        <v>7</v>
      </c>
      <c r="AN340" s="3">
        <v>7</v>
      </c>
      <c r="AO340" s="3">
        <v>3</v>
      </c>
      <c r="AP340" s="3">
        <v>3</v>
      </c>
      <c r="AQ340" s="3">
        <v>5.5</v>
      </c>
      <c r="AR340" s="3">
        <v>3</v>
      </c>
      <c r="AS340" s="3">
        <v>7</v>
      </c>
      <c r="AT340" s="3">
        <v>7</v>
      </c>
      <c r="AU340" s="3">
        <v>7</v>
      </c>
      <c r="AV340" s="3">
        <v>7</v>
      </c>
      <c r="AW340" s="3">
        <v>7</v>
      </c>
      <c r="AX340" s="3">
        <v>3</v>
      </c>
      <c r="AY340" s="3">
        <v>3</v>
      </c>
      <c r="AZ340" s="3">
        <v>5.5</v>
      </c>
      <c r="BA340" s="3">
        <v>3</v>
      </c>
      <c r="BB340" s="3">
        <v>6</v>
      </c>
      <c r="BC340" s="3">
        <v>6</v>
      </c>
      <c r="BD340" s="4" t="s">
        <v>122</v>
      </c>
      <c r="BE340" s="4" t="s">
        <v>125</v>
      </c>
      <c r="BF340" s="4" t="s">
        <v>122</v>
      </c>
      <c r="BG340" s="4" t="s">
        <v>122</v>
      </c>
      <c r="BH340" s="4" t="s">
        <v>122</v>
      </c>
      <c r="BI340" s="4" t="s">
        <v>122</v>
      </c>
      <c r="BJ340" s="4" t="s">
        <v>122</v>
      </c>
      <c r="BK340" s="4" t="s">
        <v>122</v>
      </c>
      <c r="BL340" s="4" t="s">
        <v>122</v>
      </c>
      <c r="BM340" s="4" t="s">
        <v>122</v>
      </c>
      <c r="BN340" s="4" t="s">
        <v>122</v>
      </c>
      <c r="BO340" s="4" t="s">
        <v>122</v>
      </c>
      <c r="BP340" s="4" t="s">
        <v>122</v>
      </c>
      <c r="BQ340" s="4" t="s">
        <v>122</v>
      </c>
      <c r="BR340" s="4" t="s">
        <v>122</v>
      </c>
      <c r="BS340" s="4" t="s">
        <v>122</v>
      </c>
      <c r="BT340" s="4" t="s">
        <v>122</v>
      </c>
      <c r="BU340" s="4" t="s">
        <v>122</v>
      </c>
      <c r="BV340" s="4" t="s">
        <v>122</v>
      </c>
      <c r="BW340" s="4" t="s">
        <v>122</v>
      </c>
      <c r="BX340" s="4" t="s">
        <v>122</v>
      </c>
      <c r="BY340" s="4" t="s">
        <v>122</v>
      </c>
      <c r="BZ340" s="4" t="s">
        <v>122</v>
      </c>
      <c r="CA340" s="4" t="s">
        <v>122</v>
      </c>
      <c r="CB340" s="4" t="s">
        <v>122</v>
      </c>
      <c r="CC340" s="4" t="s">
        <v>122</v>
      </c>
      <c r="CD340" s="4" t="s">
        <v>122</v>
      </c>
      <c r="CE340" s="4" t="s">
        <v>122</v>
      </c>
      <c r="CF340" s="3">
        <v>1</v>
      </c>
      <c r="CG340" s="4" t="s">
        <v>122</v>
      </c>
      <c r="CH340" s="3">
        <v>6</v>
      </c>
      <c r="CI340" s="4" t="s">
        <v>122</v>
      </c>
      <c r="CJ340" s="4" t="s">
        <v>122</v>
      </c>
      <c r="CK340" s="4" t="s">
        <v>125</v>
      </c>
      <c r="CL340" s="4" t="s">
        <v>122</v>
      </c>
      <c r="CM340" s="4" t="s">
        <v>122</v>
      </c>
      <c r="CN340" s="4" t="s">
        <v>122</v>
      </c>
      <c r="CO340" s="4" t="s">
        <v>122</v>
      </c>
      <c r="CP340" s="4" t="s">
        <v>122</v>
      </c>
      <c r="CQ340" s="4" t="s">
        <v>122</v>
      </c>
      <c r="CR340" s="4" t="s">
        <v>122</v>
      </c>
      <c r="CS340" s="3">
        <v>5</v>
      </c>
      <c r="CT340" s="3">
        <v>5</v>
      </c>
      <c r="CU340" s="42">
        <v>2</v>
      </c>
      <c r="CV340" cm="1">
        <f t="array" ref="CV340">_xlfn.IFS(CU340*1=2,1,CU340*1=4,1,TRUE,0)</f>
        <v>1</v>
      </c>
      <c r="CW340" cm="1">
        <f t="array" ref="CW340">_xlfn.IFS(CU340*1=1,1,CU340*1=2,1,TRUE,0)</f>
        <v>1</v>
      </c>
      <c r="CX340" s="3">
        <f t="shared" si="43"/>
        <v>6</v>
      </c>
      <c r="CY340" s="3">
        <f t="shared" si="44"/>
        <v>6</v>
      </c>
      <c r="CZ340" s="3" cm="1">
        <f t="array" ref="CZ340">_xlfn.IFS(BP340&lt;&gt;"", BP340, CV340=1,  AQ340, CV340=0,  AZ340)</f>
        <v>5.5</v>
      </c>
      <c r="DA340" s="36" cm="1">
        <f t="array" ref="DA340">_xlfn.IFS(BO340&lt;&gt;"", BO340, CV340=0,  AQ340, CV340=1,  AZ340)</f>
        <v>5.5</v>
      </c>
      <c r="DB340" s="36">
        <f t="shared" si="45"/>
        <v>1</v>
      </c>
      <c r="DC340" s="3">
        <f t="shared" si="46"/>
        <v>1</v>
      </c>
      <c r="DD340" s="3">
        <f t="shared" si="47"/>
        <v>0.5</v>
      </c>
      <c r="DE340" s="3">
        <f t="shared" si="48"/>
        <v>1</v>
      </c>
      <c r="DF340" s="3">
        <f t="shared" si="49"/>
        <v>0.5</v>
      </c>
      <c r="DG340" s="3">
        <f t="shared" si="50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70B5-8F45-4B33-A56B-661BFBEBDDD2}">
  <dimension ref="A1:Q155"/>
  <sheetViews>
    <sheetView showGridLines="0" zoomScale="115" zoomScaleNormal="115" workbookViewId="0">
      <selection activeCell="D76" sqref="D76"/>
    </sheetView>
  </sheetViews>
  <sheetFormatPr defaultRowHeight="14.6" x14ac:dyDescent="0.4"/>
  <cols>
    <col min="2" max="2" width="16" customWidth="1"/>
    <col min="3" max="3" width="10.4609375" customWidth="1"/>
    <col min="4" max="4" width="16" customWidth="1"/>
    <col min="7" max="7" width="13" bestFit="1" customWidth="1"/>
    <col min="8" max="8" width="11.84375" customWidth="1"/>
    <col min="9" max="9" width="16.53515625" customWidth="1"/>
  </cols>
  <sheetData>
    <row r="1" spans="1:9" x14ac:dyDescent="0.4">
      <c r="C1" s="44" t="s">
        <v>925</v>
      </c>
      <c r="D1" s="44"/>
      <c r="H1" s="44" t="s">
        <v>925</v>
      </c>
      <c r="I1" s="44"/>
    </row>
    <row r="2" spans="1:9" x14ac:dyDescent="0.4">
      <c r="B2" s="44"/>
      <c r="C2" s="45" t="s">
        <v>921</v>
      </c>
      <c r="D2" s="45" t="s">
        <v>922</v>
      </c>
      <c r="G2" s="44"/>
      <c r="H2" s="45" t="s">
        <v>921</v>
      </c>
      <c r="I2" s="45" t="s">
        <v>922</v>
      </c>
    </row>
    <row r="3" spans="1:9" x14ac:dyDescent="0.4">
      <c r="B3" t="s">
        <v>937</v>
      </c>
      <c r="C3" s="46">
        <v>0</v>
      </c>
      <c r="D3" s="46" t="s">
        <v>923</v>
      </c>
      <c r="G3" t="s">
        <v>926</v>
      </c>
      <c r="H3" s="46" t="s">
        <v>931</v>
      </c>
      <c r="I3" s="46" t="s">
        <v>932</v>
      </c>
    </row>
    <row r="4" spans="1:9" x14ac:dyDescent="0.4">
      <c r="B4" s="44" t="s">
        <v>938</v>
      </c>
      <c r="C4" s="45">
        <v>1</v>
      </c>
      <c r="D4" s="45" t="s">
        <v>924</v>
      </c>
      <c r="G4" s="44" t="s">
        <v>927</v>
      </c>
      <c r="H4" s="73" t="s">
        <v>930</v>
      </c>
      <c r="I4" s="45" t="s">
        <v>933</v>
      </c>
    </row>
    <row r="5" spans="1:9" x14ac:dyDescent="0.4">
      <c r="H5" s="46" t="s">
        <v>985</v>
      </c>
    </row>
    <row r="6" spans="1:9" x14ac:dyDescent="0.4">
      <c r="A6" t="s">
        <v>928</v>
      </c>
    </row>
    <row r="7" spans="1:9" x14ac:dyDescent="0.4">
      <c r="A7" t="s">
        <v>929</v>
      </c>
    </row>
    <row r="9" spans="1:9" x14ac:dyDescent="0.4">
      <c r="A9" t="s">
        <v>399</v>
      </c>
    </row>
    <row r="10" spans="1:9" x14ac:dyDescent="0.4">
      <c r="A10" t="s">
        <v>400</v>
      </c>
    </row>
    <row r="11" spans="1:9" x14ac:dyDescent="0.4">
      <c r="B11" t="s">
        <v>395</v>
      </c>
    </row>
    <row r="12" spans="1:9" x14ac:dyDescent="0.4">
      <c r="B12" t="s">
        <v>396</v>
      </c>
    </row>
    <row r="14" spans="1:9" ht="18.45" x14ac:dyDescent="0.5">
      <c r="B14" s="13" t="s">
        <v>397</v>
      </c>
      <c r="C14" s="13"/>
      <c r="D14" s="13" t="s">
        <v>398</v>
      </c>
    </row>
    <row r="15" spans="1:9" ht="18.45" x14ac:dyDescent="0.5">
      <c r="B15" s="14" t="s">
        <v>52</v>
      </c>
      <c r="C15" s="13"/>
      <c r="D15" s="17" t="s">
        <v>53</v>
      </c>
    </row>
    <row r="16" spans="1:9" ht="18.45" x14ac:dyDescent="0.5">
      <c r="B16" s="16" t="s">
        <v>53</v>
      </c>
      <c r="C16" s="13"/>
      <c r="D16" s="15" t="s">
        <v>52</v>
      </c>
    </row>
    <row r="17" spans="1:5" x14ac:dyDescent="0.4">
      <c r="B17" s="9" t="s">
        <v>65</v>
      </c>
      <c r="D17" s="12" t="s">
        <v>66</v>
      </c>
    </row>
    <row r="18" spans="1:5" x14ac:dyDescent="0.4">
      <c r="B18" s="11" t="s">
        <v>66</v>
      </c>
      <c r="D18" s="10" t="s">
        <v>65</v>
      </c>
    </row>
    <row r="19" spans="1:5" x14ac:dyDescent="0.4">
      <c r="A19">
        <v>81</v>
      </c>
      <c r="B19" s="20" t="s">
        <v>78</v>
      </c>
      <c r="C19" s="19"/>
      <c r="D19" s="25" t="s">
        <v>80</v>
      </c>
      <c r="E19">
        <v>81</v>
      </c>
    </row>
    <row r="20" spans="1:5" x14ac:dyDescent="0.4">
      <c r="A20">
        <v>82</v>
      </c>
      <c r="B20" s="22" t="s">
        <v>79</v>
      </c>
      <c r="C20" s="19"/>
      <c r="D20" s="18" t="s">
        <v>81</v>
      </c>
      <c r="E20">
        <v>82</v>
      </c>
    </row>
    <row r="21" spans="1:5" x14ac:dyDescent="0.4">
      <c r="A21">
        <v>83</v>
      </c>
      <c r="B21" s="24" t="s">
        <v>80</v>
      </c>
      <c r="C21" s="19"/>
      <c r="D21" s="21" t="s">
        <v>78</v>
      </c>
      <c r="E21">
        <v>83</v>
      </c>
    </row>
    <row r="22" spans="1:5" x14ac:dyDescent="0.4">
      <c r="A22">
        <v>84</v>
      </c>
      <c r="B22" s="19" t="s">
        <v>81</v>
      </c>
      <c r="C22" s="19"/>
      <c r="D22" s="23" t="s">
        <v>79</v>
      </c>
      <c r="E22">
        <v>84</v>
      </c>
    </row>
    <row r="23" spans="1:5" x14ac:dyDescent="0.4">
      <c r="D23" s="7"/>
    </row>
    <row r="24" spans="1:5" x14ac:dyDescent="0.4">
      <c r="B24" s="8" t="s">
        <v>401</v>
      </c>
      <c r="D24" s="7"/>
    </row>
    <row r="25" spans="1:5" x14ac:dyDescent="0.4">
      <c r="B25" t="s">
        <v>409</v>
      </c>
      <c r="D25" s="7"/>
    </row>
    <row r="26" spans="1:5" x14ac:dyDescent="0.4">
      <c r="B26" t="s">
        <v>410</v>
      </c>
      <c r="D26" s="7"/>
    </row>
    <row r="27" spans="1:5" x14ac:dyDescent="0.4">
      <c r="B27" t="s">
        <v>404</v>
      </c>
      <c r="D27" s="7"/>
    </row>
    <row r="28" spans="1:5" x14ac:dyDescent="0.4">
      <c r="B28" t="s">
        <v>405</v>
      </c>
      <c r="C28" t="s">
        <v>406</v>
      </c>
      <c r="D28" s="7"/>
    </row>
    <row r="29" spans="1:5" x14ac:dyDescent="0.4">
      <c r="B29" t="s">
        <v>408</v>
      </c>
      <c r="C29" t="s">
        <v>407</v>
      </c>
      <c r="D29" s="7"/>
    </row>
    <row r="30" spans="1:5" x14ac:dyDescent="0.4">
      <c r="D30" s="7"/>
    </row>
    <row r="31" spans="1:5" x14ac:dyDescent="0.4">
      <c r="B31" t="s">
        <v>402</v>
      </c>
      <c r="D31" s="7"/>
    </row>
    <row r="32" spans="1:5" x14ac:dyDescent="0.4">
      <c r="B32" t="s">
        <v>403</v>
      </c>
      <c r="D32" s="7"/>
    </row>
    <row r="34" spans="1:17" x14ac:dyDescent="0.4">
      <c r="B34" t="s">
        <v>411</v>
      </c>
    </row>
    <row r="35" spans="1:17" x14ac:dyDescent="0.4">
      <c r="B35" t="s">
        <v>412</v>
      </c>
    </row>
    <row r="37" spans="1:17" ht="34.75" x14ac:dyDescent="0.95">
      <c r="B37" s="27" t="s">
        <v>606</v>
      </c>
      <c r="C37" s="26"/>
    </row>
    <row r="38" spans="1:17" ht="34.75" x14ac:dyDescent="0.95">
      <c r="B38" s="27" t="s">
        <v>605</v>
      </c>
    </row>
    <row r="39" spans="1:17" x14ac:dyDescent="0.4">
      <c r="Q39" s="6"/>
    </row>
    <row r="40" spans="1:17" x14ac:dyDescent="0.4">
      <c r="Q40" s="6"/>
    </row>
    <row r="41" spans="1:17" x14ac:dyDescent="0.4">
      <c r="Q41" s="6"/>
    </row>
    <row r="42" spans="1:17" x14ac:dyDescent="0.4">
      <c r="Q42" s="6"/>
    </row>
    <row r="43" spans="1:17" x14ac:dyDescent="0.4">
      <c r="A43" t="s">
        <v>884</v>
      </c>
      <c r="Q43" s="6"/>
    </row>
    <row r="44" spans="1:17" x14ac:dyDescent="0.4">
      <c r="B44" t="s">
        <v>885</v>
      </c>
      <c r="Q44" s="6"/>
    </row>
    <row r="45" spans="1:17" x14ac:dyDescent="0.4">
      <c r="B45" t="s">
        <v>887</v>
      </c>
      <c r="Q45" s="6"/>
    </row>
    <row r="46" spans="1:17" x14ac:dyDescent="0.4">
      <c r="C46" s="6" t="s">
        <v>607</v>
      </c>
      <c r="D46" s="6" t="s">
        <v>608</v>
      </c>
      <c r="E46" s="6" t="s">
        <v>609</v>
      </c>
      <c r="Q46" s="6"/>
    </row>
    <row r="47" spans="1:17" x14ac:dyDescent="0.4">
      <c r="B47" t="s">
        <v>886</v>
      </c>
      <c r="Q47" s="6"/>
    </row>
    <row r="48" spans="1:17" x14ac:dyDescent="0.4">
      <c r="C48" s="6" t="s">
        <v>25</v>
      </c>
      <c r="D48" s="6" t="s">
        <v>26</v>
      </c>
      <c r="E48" s="6" t="s">
        <v>27</v>
      </c>
      <c r="F48" s="6" t="s">
        <v>28</v>
      </c>
      <c r="G48" s="6" t="s">
        <v>29</v>
      </c>
      <c r="H48" s="6" t="s">
        <v>30</v>
      </c>
    </row>
    <row r="49" spans="2:11" x14ac:dyDescent="0.4">
      <c r="C49" s="6" t="s">
        <v>43</v>
      </c>
      <c r="D49" s="6" t="s">
        <v>44</v>
      </c>
      <c r="E49" s="6" t="s">
        <v>45</v>
      </c>
      <c r="F49" s="6" t="s">
        <v>46</v>
      </c>
      <c r="G49" s="6" t="s">
        <v>47</v>
      </c>
      <c r="H49" s="6" t="s">
        <v>48</v>
      </c>
      <c r="I49" s="6" t="s">
        <v>49</v>
      </c>
      <c r="J49" s="6" t="s">
        <v>50</v>
      </c>
      <c r="K49" s="6" t="s">
        <v>51</v>
      </c>
    </row>
    <row r="50" spans="2:11" x14ac:dyDescent="0.4">
      <c r="C50" s="28" t="s">
        <v>52</v>
      </c>
      <c r="D50" s="29" t="s">
        <v>79</v>
      </c>
    </row>
    <row r="51" spans="2:11" x14ac:dyDescent="0.4">
      <c r="C51" s="29" t="s">
        <v>71</v>
      </c>
      <c r="D51" s="28" t="s">
        <v>58</v>
      </c>
    </row>
    <row r="52" spans="2:11" x14ac:dyDescent="0.4">
      <c r="C52" s="29" t="s">
        <v>65</v>
      </c>
      <c r="D52" s="6" t="s">
        <v>78</v>
      </c>
    </row>
    <row r="54" spans="2:11" x14ac:dyDescent="0.4">
      <c r="B54" s="41" t="s">
        <v>918</v>
      </c>
      <c r="C54" s="41"/>
      <c r="D54" s="41"/>
      <c r="E54" s="41"/>
      <c r="F54" s="41"/>
      <c r="G54" s="41"/>
    </row>
    <row r="55" spans="2:11" x14ac:dyDescent="0.4">
      <c r="B55" s="41" t="s">
        <v>919</v>
      </c>
      <c r="C55" s="41"/>
      <c r="D55" s="41"/>
      <c r="E55" s="41"/>
      <c r="F55" s="41"/>
      <c r="G55" s="41"/>
    </row>
    <row r="56" spans="2:11" x14ac:dyDescent="0.4">
      <c r="B56" t="s">
        <v>888</v>
      </c>
    </row>
    <row r="57" spans="2:11" x14ac:dyDescent="0.4">
      <c r="C57" s="6" t="s">
        <v>612</v>
      </c>
      <c r="D57" t="s">
        <v>889</v>
      </c>
      <c r="E57" s="6" t="s">
        <v>42</v>
      </c>
    </row>
    <row r="58" spans="2:11" x14ac:dyDescent="0.4">
      <c r="C58" s="6" t="s">
        <v>611</v>
      </c>
      <c r="D58" t="s">
        <v>889</v>
      </c>
      <c r="E58" s="6" t="s">
        <v>41</v>
      </c>
    </row>
    <row r="59" spans="2:11" x14ac:dyDescent="0.4">
      <c r="C59" t="s">
        <v>890</v>
      </c>
      <c r="D59" t="s">
        <v>889</v>
      </c>
      <c r="E59" t="s">
        <v>17</v>
      </c>
    </row>
    <row r="60" spans="2:11" x14ac:dyDescent="0.4">
      <c r="C60" s="6" t="s">
        <v>610</v>
      </c>
      <c r="D60" t="s">
        <v>889</v>
      </c>
      <c r="E60" s="6" t="s">
        <v>67</v>
      </c>
    </row>
    <row r="61" spans="2:11" x14ac:dyDescent="0.4">
      <c r="C61" t="s">
        <v>613</v>
      </c>
      <c r="D61" t="s">
        <v>889</v>
      </c>
      <c r="E61" s="6" t="s">
        <v>97</v>
      </c>
    </row>
    <row r="62" spans="2:11" x14ac:dyDescent="0.4">
      <c r="C62" s="6"/>
    </row>
    <row r="65" spans="1:5" x14ac:dyDescent="0.4">
      <c r="A65" t="s">
        <v>892</v>
      </c>
    </row>
    <row r="66" spans="1:5" x14ac:dyDescent="0.4">
      <c r="B66" t="s">
        <v>891</v>
      </c>
    </row>
    <row r="68" spans="1:5" x14ac:dyDescent="0.4">
      <c r="B68" t="s">
        <v>941</v>
      </c>
    </row>
    <row r="69" spans="1:5" x14ac:dyDescent="0.4">
      <c r="B69" t="s">
        <v>942</v>
      </c>
    </row>
    <row r="70" spans="1:5" x14ac:dyDescent="0.4">
      <c r="B70" t="s">
        <v>893</v>
      </c>
    </row>
    <row r="73" spans="1:5" x14ac:dyDescent="0.4">
      <c r="B73" t="s">
        <v>894</v>
      </c>
    </row>
    <row r="74" spans="1:5" x14ac:dyDescent="0.4">
      <c r="C74" t="s">
        <v>30</v>
      </c>
    </row>
    <row r="77" spans="1:5" x14ac:dyDescent="0.4">
      <c r="A77" s="48" t="s">
        <v>952</v>
      </c>
      <c r="B77" s="49"/>
      <c r="C77" s="49"/>
      <c r="D77" s="49"/>
      <c r="E77" s="50"/>
    </row>
    <row r="78" spans="1:5" x14ac:dyDescent="0.4">
      <c r="A78" s="51"/>
      <c r="C78" s="46" t="s">
        <v>944</v>
      </c>
      <c r="D78" s="46" t="s">
        <v>945</v>
      </c>
      <c r="E78" s="58" t="s">
        <v>946</v>
      </c>
    </row>
    <row r="79" spans="1:5" x14ac:dyDescent="0.4">
      <c r="A79" s="51" t="s">
        <v>947</v>
      </c>
      <c r="B79">
        <v>6</v>
      </c>
      <c r="C79" t="b">
        <f>ISNUMBER(B79)</f>
        <v>1</v>
      </c>
      <c r="D79" t="b">
        <f>ISBLANK(B79)</f>
        <v>0</v>
      </c>
      <c r="E79" s="52" t="b">
        <f>ISNONTEXT(B79)</f>
        <v>1</v>
      </c>
    </row>
    <row r="80" spans="1:5" x14ac:dyDescent="0.4">
      <c r="A80" s="51" t="s">
        <v>948</v>
      </c>
      <c r="B80" s="53" t="s">
        <v>943</v>
      </c>
      <c r="C80" t="b">
        <f>ISNUMBER(B80)</f>
        <v>0</v>
      </c>
      <c r="D80" t="b">
        <f>ISBLANK(B80)</f>
        <v>0</v>
      </c>
      <c r="E80" s="52" t="b">
        <f>ISNONTEXT(B80)</f>
        <v>0</v>
      </c>
    </row>
    <row r="81" spans="1:5" x14ac:dyDescent="0.4">
      <c r="A81" s="51" t="s">
        <v>948</v>
      </c>
      <c r="B81" s="54" t="s">
        <v>949</v>
      </c>
      <c r="C81" t="b">
        <f>ISNUMBER(B81)</f>
        <v>0</v>
      </c>
      <c r="D81" t="b">
        <f>ISBLANK(B81)</f>
        <v>0</v>
      </c>
      <c r="E81" s="52" t="b">
        <f>ISNONTEXT(B81)</f>
        <v>0</v>
      </c>
    </row>
    <row r="82" spans="1:5" x14ac:dyDescent="0.4">
      <c r="A82" s="51" t="s">
        <v>950</v>
      </c>
      <c r="B82" s="54"/>
      <c r="C82" t="b">
        <f>ISNUMBER(B82)</f>
        <v>0</v>
      </c>
      <c r="D82" t="b">
        <f>ISBLANK(B82)</f>
        <v>1</v>
      </c>
      <c r="E82" s="52" t="b">
        <f>ISNONTEXT(B82)</f>
        <v>1</v>
      </c>
    </row>
    <row r="83" spans="1:5" x14ac:dyDescent="0.4">
      <c r="A83" s="55" t="s">
        <v>951</v>
      </c>
      <c r="B83" s="56" t="str">
        <f>IF(ISBLANK(A83),99,"")</f>
        <v/>
      </c>
      <c r="C83" s="44" t="b">
        <f>ISNUMBER(B83)</f>
        <v>0</v>
      </c>
      <c r="D83" s="44" t="b">
        <f>ISBLANK(B83)</f>
        <v>0</v>
      </c>
      <c r="E83" s="57" t="b">
        <f>ISNONTEXT(B83)</f>
        <v>0</v>
      </c>
    </row>
    <row r="89" spans="1:5" x14ac:dyDescent="0.4">
      <c r="A89" s="31" t="s">
        <v>911</v>
      </c>
    </row>
    <row r="90" spans="1:5" x14ac:dyDescent="0.4">
      <c r="A90" t="s">
        <v>912</v>
      </c>
    </row>
    <row r="91" spans="1:5" x14ac:dyDescent="0.4">
      <c r="A91" t="s">
        <v>914</v>
      </c>
    </row>
    <row r="93" spans="1:5" ht="18.45" x14ac:dyDescent="0.5">
      <c r="A93" s="37" t="s">
        <v>895</v>
      </c>
      <c r="B93" s="38"/>
    </row>
    <row r="94" spans="1:5" ht="18.45" x14ac:dyDescent="0.5">
      <c r="A94" s="38" t="s">
        <v>913</v>
      </c>
      <c r="B94" s="38"/>
    </row>
    <row r="95" spans="1:5" x14ac:dyDescent="0.4">
      <c r="B95" t="s">
        <v>32</v>
      </c>
    </row>
    <row r="96" spans="1:5" x14ac:dyDescent="0.4">
      <c r="B96" s="6" t="s">
        <v>41</v>
      </c>
    </row>
    <row r="97" spans="1:3" x14ac:dyDescent="0.4">
      <c r="B97" s="6" t="s">
        <v>42</v>
      </c>
    </row>
    <row r="98" spans="1:3" x14ac:dyDescent="0.4">
      <c r="B98" s="6" t="s">
        <v>50</v>
      </c>
      <c r="C98" t="s">
        <v>1003</v>
      </c>
    </row>
    <row r="99" spans="1:3" x14ac:dyDescent="0.4">
      <c r="B99" s="6" t="s">
        <v>51</v>
      </c>
    </row>
    <row r="100" spans="1:3" x14ac:dyDescent="0.4">
      <c r="B100" s="28" t="s">
        <v>52</v>
      </c>
    </row>
    <row r="101" spans="1:3" x14ac:dyDescent="0.4">
      <c r="B101" s="28" t="s">
        <v>53</v>
      </c>
    </row>
    <row r="102" spans="1:3" x14ac:dyDescent="0.4">
      <c r="B102" s="28" t="s">
        <v>54</v>
      </c>
    </row>
    <row r="103" spans="1:3" x14ac:dyDescent="0.4">
      <c r="B103" s="29" t="s">
        <v>65</v>
      </c>
    </row>
    <row r="104" spans="1:3" x14ac:dyDescent="0.4">
      <c r="B104" s="29" t="s">
        <v>66</v>
      </c>
    </row>
    <row r="105" spans="1:3" x14ac:dyDescent="0.4">
      <c r="B105" s="29" t="s">
        <v>67</v>
      </c>
    </row>
    <row r="106" spans="1:3" x14ac:dyDescent="0.4">
      <c r="B106" s="29" t="s">
        <v>78</v>
      </c>
    </row>
    <row r="107" spans="1:3" x14ac:dyDescent="0.4">
      <c r="B107" s="29" t="s">
        <v>79</v>
      </c>
    </row>
    <row r="108" spans="1:3" x14ac:dyDescent="0.4">
      <c r="B108" s="29" t="s">
        <v>80</v>
      </c>
    </row>
    <row r="109" spans="1:3" x14ac:dyDescent="0.4">
      <c r="B109" s="29" t="s">
        <v>81</v>
      </c>
    </row>
    <row r="112" spans="1:3" ht="18.45" x14ac:dyDescent="0.5">
      <c r="A112" s="32" t="s">
        <v>896</v>
      </c>
    </row>
    <row r="113" spans="1:3" x14ac:dyDescent="0.4">
      <c r="A113" s="33" t="s">
        <v>907</v>
      </c>
      <c r="B113" s="33" t="s">
        <v>909</v>
      </c>
      <c r="C113" s="33" t="s">
        <v>908</v>
      </c>
    </row>
    <row r="114" spans="1:3" x14ac:dyDescent="0.4">
      <c r="A114" s="34" t="s">
        <v>898</v>
      </c>
      <c r="B114" s="34" t="s">
        <v>32</v>
      </c>
      <c r="C114" s="34" t="s">
        <v>939</v>
      </c>
    </row>
    <row r="115" spans="1:3" x14ac:dyDescent="0.4">
      <c r="A115" t="s">
        <v>899</v>
      </c>
      <c r="B115" t="s">
        <v>901</v>
      </c>
      <c r="C115" t="s">
        <v>900</v>
      </c>
    </row>
    <row r="116" spans="1:3" x14ac:dyDescent="0.4">
      <c r="C116" t="s">
        <v>897</v>
      </c>
    </row>
    <row r="117" spans="1:3" x14ac:dyDescent="0.4">
      <c r="C117" t="s">
        <v>1004</v>
      </c>
    </row>
    <row r="118" spans="1:3" x14ac:dyDescent="0.4">
      <c r="C118" t="s">
        <v>1005</v>
      </c>
    </row>
    <row r="123" spans="1:3" x14ac:dyDescent="0.4">
      <c r="A123" s="35" t="s">
        <v>902</v>
      </c>
      <c r="B123" s="35" t="s">
        <v>904</v>
      </c>
      <c r="C123" s="35" t="s">
        <v>903</v>
      </c>
    </row>
    <row r="124" spans="1:3" x14ac:dyDescent="0.4">
      <c r="C124" t="s">
        <v>905</v>
      </c>
    </row>
    <row r="125" spans="1:3" x14ac:dyDescent="0.4">
      <c r="C125" t="s">
        <v>906</v>
      </c>
    </row>
    <row r="129" spans="1:8" ht="20.6" x14ac:dyDescent="0.55000000000000004">
      <c r="A129" s="39" t="s">
        <v>916</v>
      </c>
    </row>
    <row r="130" spans="1:8" ht="20.6" x14ac:dyDescent="0.55000000000000004">
      <c r="A130" s="40" t="s">
        <v>940</v>
      </c>
      <c r="B130" s="36"/>
    </row>
    <row r="131" spans="1:8" x14ac:dyDescent="0.4">
      <c r="B131" t="s">
        <v>971</v>
      </c>
    </row>
    <row r="133" spans="1:8" ht="20.6" x14ac:dyDescent="0.55000000000000004">
      <c r="A133" s="39" t="s">
        <v>936</v>
      </c>
    </row>
    <row r="136" spans="1:8" x14ac:dyDescent="0.4">
      <c r="A136" s="26" t="s">
        <v>961</v>
      </c>
    </row>
    <row r="137" spans="1:8" x14ac:dyDescent="0.4">
      <c r="A137" s="26" t="s">
        <v>960</v>
      </c>
    </row>
    <row r="139" spans="1:8" x14ac:dyDescent="0.4">
      <c r="A139" s="26" t="s">
        <v>973</v>
      </c>
    </row>
    <row r="140" spans="1:8" x14ac:dyDescent="0.4">
      <c r="A140" s="26" t="s">
        <v>984</v>
      </c>
    </row>
    <row r="141" spans="1:8" x14ac:dyDescent="0.4">
      <c r="A141" s="26" t="s">
        <v>972</v>
      </c>
    </row>
    <row r="143" spans="1:8" x14ac:dyDescent="0.4">
      <c r="D143" t="s">
        <v>1008</v>
      </c>
    </row>
    <row r="144" spans="1:8" x14ac:dyDescent="0.4">
      <c r="D144" t="s">
        <v>1006</v>
      </c>
      <c r="E144" t="s">
        <v>1007</v>
      </c>
      <c r="G144" t="s">
        <v>1006</v>
      </c>
      <c r="H144" t="s">
        <v>1007</v>
      </c>
    </row>
    <row r="145" spans="4:9" x14ac:dyDescent="0.4">
      <c r="D145" s="3" t="s">
        <v>987</v>
      </c>
      <c r="E145" s="6" t="s">
        <v>32</v>
      </c>
      <c r="F145" s="3"/>
      <c r="G145" s="3" t="s">
        <v>986</v>
      </c>
      <c r="H145" s="6" t="s">
        <v>33</v>
      </c>
      <c r="I145" s="3"/>
    </row>
    <row r="146" spans="4:9" x14ac:dyDescent="0.4">
      <c r="D146" s="3"/>
      <c r="E146" s="3"/>
      <c r="F146" s="3"/>
      <c r="G146" s="3"/>
      <c r="H146" s="3"/>
      <c r="I146" s="3"/>
    </row>
    <row r="147" spans="4:9" x14ac:dyDescent="0.4">
      <c r="D147" s="3" t="s">
        <v>988</v>
      </c>
      <c r="E147" s="6" t="s">
        <v>41</v>
      </c>
      <c r="F147" s="3"/>
      <c r="G147" s="3" t="s">
        <v>989</v>
      </c>
      <c r="H147" s="6" t="s">
        <v>42</v>
      </c>
      <c r="I147" s="3"/>
    </row>
    <row r="148" spans="4:9" x14ac:dyDescent="0.4">
      <c r="D148" s="3" t="s">
        <v>990</v>
      </c>
      <c r="E148" s="6" t="s">
        <v>50</v>
      </c>
      <c r="F148" s="3"/>
      <c r="G148" s="3" t="s">
        <v>991</v>
      </c>
      <c r="H148" s="6" t="s">
        <v>51</v>
      </c>
      <c r="I148" s="3"/>
    </row>
    <row r="149" spans="4:9" x14ac:dyDescent="0.4">
      <c r="D149" s="3" t="s">
        <v>995</v>
      </c>
      <c r="E149" s="29" t="s">
        <v>65</v>
      </c>
      <c r="F149" s="3"/>
      <c r="G149" s="3" t="s">
        <v>997</v>
      </c>
      <c r="H149" s="29" t="s">
        <v>67</v>
      </c>
      <c r="I149" s="3"/>
    </row>
    <row r="150" spans="4:9" x14ac:dyDescent="0.4">
      <c r="D150" s="3" t="s">
        <v>996</v>
      </c>
      <c r="E150" s="29" t="s">
        <v>66</v>
      </c>
      <c r="F150" s="3"/>
      <c r="G150" s="3" t="s">
        <v>997</v>
      </c>
      <c r="H150" s="29" t="s">
        <v>67</v>
      </c>
      <c r="I150" s="3"/>
    </row>
    <row r="151" spans="4:9" x14ac:dyDescent="0.4">
      <c r="D151" s="3"/>
      <c r="E151" s="3"/>
      <c r="F151" s="3"/>
      <c r="G151" s="3"/>
      <c r="H151" s="3"/>
      <c r="I151" s="3"/>
    </row>
    <row r="152" spans="4:9" x14ac:dyDescent="0.4">
      <c r="D152" s="3" t="s">
        <v>992</v>
      </c>
      <c r="E152" s="28" t="s">
        <v>52</v>
      </c>
      <c r="F152" s="3"/>
      <c r="G152" s="3" t="s">
        <v>994</v>
      </c>
      <c r="H152" s="28" t="s">
        <v>54</v>
      </c>
      <c r="I152" s="3"/>
    </row>
    <row r="153" spans="4:9" x14ac:dyDescent="0.4">
      <c r="D153" s="3" t="s">
        <v>993</v>
      </c>
      <c r="E153" s="28" t="s">
        <v>53</v>
      </c>
      <c r="F153" s="3"/>
      <c r="G153" s="3" t="s">
        <v>994</v>
      </c>
      <c r="H153" s="28" t="s">
        <v>54</v>
      </c>
      <c r="I153" s="3"/>
    </row>
    <row r="154" spans="4:9" x14ac:dyDescent="0.4">
      <c r="D154" s="3" t="s">
        <v>998</v>
      </c>
      <c r="E154" s="29" t="s">
        <v>78</v>
      </c>
      <c r="F154" s="3"/>
      <c r="G154" s="3" t="s">
        <v>1001</v>
      </c>
      <c r="H154" s="29" t="s">
        <v>81</v>
      </c>
      <c r="I154" s="3"/>
    </row>
    <row r="155" spans="4:9" x14ac:dyDescent="0.4">
      <c r="D155" s="3" t="s">
        <v>1000</v>
      </c>
      <c r="E155" s="47" t="s">
        <v>80</v>
      </c>
      <c r="F155" s="3"/>
      <c r="G155" s="3" t="s">
        <v>999</v>
      </c>
      <c r="H155" s="29" t="s">
        <v>79</v>
      </c>
      <c r="I1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 do</vt:lpstr>
      <vt:lpstr>t_test_two_samp</vt:lpstr>
      <vt:lpstr>t_test_paired</vt:lpstr>
      <vt:lpstr>202503data</vt:lpstr>
      <vt:lpstr>data dictionary</vt:lpstr>
      <vt:lpstr>all_final with t tests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Leavy, Tim Martin - (timleavy)</cp:lastModifiedBy>
  <dcterms:created xsi:type="dcterms:W3CDTF">2025-12-05T23:11:01Z</dcterms:created>
  <dcterms:modified xsi:type="dcterms:W3CDTF">2026-04-16T22:58:07Z</dcterms:modified>
</cp:coreProperties>
</file>