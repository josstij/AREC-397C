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leav\Desktop\GitFolder\AREC-397C\reg_tables\"/>
    </mc:Choice>
  </mc:AlternateContent>
  <xr:revisionPtr revIDLastSave="0" documentId="8_{7F1DD8F7-1654-46AB-A1D5-BFADB4455E42}" xr6:coauthVersionLast="47" xr6:coauthVersionMax="47" xr10:uidLastSave="{00000000-0000-0000-0000-000000000000}"/>
  <bookViews>
    <workbookView xWindow="7110" yWindow="-10455" windowWidth="18000" windowHeight="9615" activeTab="2" xr2:uid="{8EBA136F-28A8-4589-8BC9-A996EAFDB261}"/>
  </bookViews>
  <sheets>
    <sheet name="Day_1_Flavor" sheetId="1" r:id="rId1"/>
    <sheet name="Day_2_Flavor" sheetId="2" r:id="rId2"/>
    <sheet name="Day_2_Flav_Fa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" i="3" l="1"/>
  <c r="C23" i="3"/>
  <c r="B23" i="3"/>
  <c r="A23" i="3"/>
  <c r="D22" i="3"/>
  <c r="C22" i="3"/>
  <c r="B22" i="3"/>
  <c r="A22" i="3"/>
  <c r="D21" i="3"/>
  <c r="C21" i="3"/>
  <c r="B21" i="3"/>
  <c r="A21" i="3"/>
  <c r="D20" i="3"/>
  <c r="C20" i="3"/>
  <c r="B20" i="3"/>
  <c r="A20" i="3"/>
  <c r="D19" i="3"/>
  <c r="C19" i="3"/>
  <c r="B19" i="3"/>
  <c r="A19" i="3"/>
  <c r="D18" i="3"/>
  <c r="C18" i="3"/>
  <c r="B18" i="3"/>
  <c r="A18" i="3"/>
  <c r="D17" i="3"/>
  <c r="C17" i="3"/>
  <c r="B17" i="3"/>
  <c r="A17" i="3"/>
  <c r="D16" i="3"/>
  <c r="C16" i="3"/>
  <c r="B16" i="3"/>
  <c r="A16" i="3"/>
  <c r="D15" i="3"/>
  <c r="C15" i="3"/>
  <c r="B15" i="3"/>
  <c r="A15" i="3"/>
  <c r="D14" i="3"/>
  <c r="C14" i="3"/>
  <c r="B14" i="3"/>
  <c r="A14" i="3"/>
  <c r="D13" i="3"/>
  <c r="C13" i="3"/>
  <c r="B13" i="3"/>
</calcChain>
</file>

<file path=xl/sharedStrings.xml><?xml version="1.0" encoding="utf-8"?>
<sst xmlns="http://schemas.openxmlformats.org/spreadsheetml/2006/main" count="157" uniqueCount="28">
  <si>
    <t>Day 1 Info first, lab beverage</t>
  </si>
  <si>
    <t>b</t>
  </si>
  <si>
    <t>se</t>
  </si>
  <si>
    <t>p</t>
  </si>
  <si>
    <t>Day 1, Taste first, Lab beverage</t>
  </si>
  <si>
    <t>Selected Lemon-Lime as preferred flavor</t>
  </si>
  <si>
    <t>Day 1: Selected Lemon-Lime as preferred flavor</t>
  </si>
  <si>
    <t>Flavor importance is moderate rather than very/extremely important</t>
  </si>
  <si>
    <t>Sweetness is very or extremely important</t>
  </si>
  <si>
    <t>Sugar level is very or extremely important</t>
  </si>
  <si>
    <t>Functional ingredients are very or extremely important</t>
  </si>
  <si>
    <t>Health claims are very or extremely important</t>
  </si>
  <si>
    <t>Prior magnesium knowledge is agree or strongly agree</t>
  </si>
  <si>
    <t>Constant</t>
  </si>
  <si>
    <t>Observations</t>
  </si>
  <si>
    <t>R-squared</t>
  </si>
  <si>
    <t>Day 1, Info first, Competitor beverage</t>
  </si>
  <si>
    <t>Day 1, Taste first, Competitor beverage</t>
  </si>
  <si>
    <t>Day 2, Info first, Blueberry lab beverage</t>
  </si>
  <si>
    <t>Day 2: Selected Blueberry as preferred flavor</t>
  </si>
  <si>
    <t>Day 2, Info first, Pineapple lab beverage</t>
  </si>
  <si>
    <t>Day 2: Selected Pineapple as preferred flavor</t>
  </si>
  <si>
    <t>Day 2, Taste first, Blueberry lab beverage</t>
  </si>
  <si>
    <t>Day 2, Taste first, Pineapple lab beverage</t>
  </si>
  <si>
    <t>Day 2: Selected Blueberry family as preferred flavor</t>
  </si>
  <si>
    <t>.</t>
  </si>
  <si>
    <t>Day 2, Tastefirst, Blueberry lab beverage</t>
  </si>
  <si>
    <t>Day 2: Selected Pineapple family as preferred flavor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</si>
</sst>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68F74-88AC-410A-9084-20D423487A17}">
  <dimension ref="A1:I23"/>
  <sheetViews>
    <sheetView zoomScale="70" zoomScaleNormal="70" workbookViewId="0">
      <selection activeCell="F10" sqref="F10"/>
    </sheetView>
  </sheetViews>
  <sheetFormatPr defaultRowHeight="15" x14ac:dyDescent="0.25"/>
  <cols>
    <col min="1" max="1" width="61.7109375" bestFit="1" customWidth="1"/>
    <col min="6" max="6" width="61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1</v>
      </c>
      <c r="H1" t="s">
        <v>2</v>
      </c>
      <c r="I1" t="s">
        <v>3</v>
      </c>
    </row>
    <row r="2" spans="1:9" x14ac:dyDescent="0.25">
      <c r="A2" t="s">
        <v>5</v>
      </c>
      <c r="B2">
        <v>0.183</v>
      </c>
      <c r="C2">
        <v>0.248</v>
      </c>
      <c r="D2">
        <v>0.46600000000000003</v>
      </c>
      <c r="F2" t="s">
        <v>6</v>
      </c>
      <c r="G2">
        <v>-0.435</v>
      </c>
      <c r="H2">
        <v>0.28799999999999998</v>
      </c>
      <c r="I2">
        <v>0.14299999999999999</v>
      </c>
    </row>
    <row r="3" spans="1:9" x14ac:dyDescent="0.25">
      <c r="A3" t="s">
        <v>7</v>
      </c>
      <c r="B3">
        <v>-0.219</v>
      </c>
      <c r="C3">
        <v>0.49399999999999999</v>
      </c>
      <c r="D3">
        <v>0.66100000000000003</v>
      </c>
      <c r="F3" t="s">
        <v>7</v>
      </c>
      <c r="G3">
        <v>-0.249</v>
      </c>
      <c r="H3">
        <v>0.33600000000000002</v>
      </c>
      <c r="I3">
        <v>0.46600000000000003</v>
      </c>
    </row>
    <row r="4" spans="1:9" x14ac:dyDescent="0.25">
      <c r="A4" t="s">
        <v>8</v>
      </c>
      <c r="B4">
        <v>-0.435</v>
      </c>
      <c r="C4">
        <v>0.245</v>
      </c>
      <c r="D4">
        <v>8.6999999999999994E-2</v>
      </c>
      <c r="F4" t="s">
        <v>8</v>
      </c>
      <c r="G4">
        <v>-0.23300000000000001</v>
      </c>
      <c r="H4">
        <v>0.25600000000000001</v>
      </c>
      <c r="I4">
        <v>0.373</v>
      </c>
    </row>
    <row r="5" spans="1:9" x14ac:dyDescent="0.25">
      <c r="A5" t="s">
        <v>9</v>
      </c>
      <c r="B5">
        <v>0.35699999999999998</v>
      </c>
      <c r="C5">
        <v>0.24299999999999999</v>
      </c>
      <c r="D5">
        <v>0.153</v>
      </c>
      <c r="F5" t="s">
        <v>9</v>
      </c>
      <c r="G5">
        <v>0.24299999999999999</v>
      </c>
      <c r="H5">
        <v>0.309</v>
      </c>
      <c r="I5">
        <v>0.439</v>
      </c>
    </row>
    <row r="6" spans="1:9" x14ac:dyDescent="0.25">
      <c r="A6" t="s">
        <v>10</v>
      </c>
      <c r="B6">
        <v>-0.127</v>
      </c>
      <c r="C6">
        <v>0.36299999999999999</v>
      </c>
      <c r="D6">
        <v>0.73</v>
      </c>
      <c r="F6" t="s">
        <v>10</v>
      </c>
      <c r="G6">
        <v>-0.25800000000000001</v>
      </c>
      <c r="H6">
        <v>0.27900000000000003</v>
      </c>
      <c r="I6">
        <v>0.36399999999999999</v>
      </c>
    </row>
    <row r="7" spans="1:9" x14ac:dyDescent="0.25">
      <c r="A7" t="s">
        <v>11</v>
      </c>
      <c r="B7">
        <v>-0.77300000000000002</v>
      </c>
      <c r="C7">
        <v>0.28799999999999998</v>
      </c>
      <c r="D7">
        <v>1.2E-2</v>
      </c>
      <c r="F7" t="s">
        <v>11</v>
      </c>
      <c r="G7">
        <v>0.19700000000000001</v>
      </c>
      <c r="H7">
        <v>0.249</v>
      </c>
      <c r="I7">
        <v>0.436</v>
      </c>
    </row>
    <row r="8" spans="1:9" x14ac:dyDescent="0.25">
      <c r="A8" t="s">
        <v>12</v>
      </c>
      <c r="B8">
        <v>-6.0999999999999999E-2</v>
      </c>
      <c r="C8">
        <v>0.24099999999999999</v>
      </c>
      <c r="D8">
        <v>0.80400000000000005</v>
      </c>
      <c r="F8" t="s">
        <v>12</v>
      </c>
      <c r="G8">
        <v>0.46</v>
      </c>
      <c r="H8">
        <v>0.44500000000000001</v>
      </c>
      <c r="I8">
        <v>0.312</v>
      </c>
    </row>
    <row r="9" spans="1:9" x14ac:dyDescent="0.25">
      <c r="A9" t="s">
        <v>13</v>
      </c>
      <c r="B9">
        <v>6.2E-2</v>
      </c>
      <c r="C9">
        <v>0.31900000000000001</v>
      </c>
      <c r="D9">
        <v>0.84699999999999998</v>
      </c>
      <c r="F9" t="s">
        <v>13</v>
      </c>
      <c r="G9">
        <v>-9.0999999999999998E-2</v>
      </c>
      <c r="H9">
        <v>0.40300000000000002</v>
      </c>
      <c r="I9">
        <v>0.82299999999999995</v>
      </c>
    </row>
    <row r="10" spans="1:9" x14ac:dyDescent="0.25">
      <c r="A10" t="s">
        <v>14</v>
      </c>
      <c r="B10">
        <v>36</v>
      </c>
      <c r="F10" t="s">
        <v>14</v>
      </c>
      <c r="G10">
        <v>32</v>
      </c>
    </row>
    <row r="11" spans="1:9" x14ac:dyDescent="0.25">
      <c r="A11" t="s">
        <v>15</v>
      </c>
      <c r="B11">
        <v>0.40400000000000003</v>
      </c>
      <c r="F11" t="s">
        <v>15</v>
      </c>
      <c r="G11">
        <v>0.24399999999999999</v>
      </c>
    </row>
    <row r="13" spans="1:9" x14ac:dyDescent="0.25">
      <c r="A13" t="s">
        <v>16</v>
      </c>
      <c r="B13" t="s">
        <v>1</v>
      </c>
      <c r="C13" t="s">
        <v>2</v>
      </c>
      <c r="D13" t="s">
        <v>3</v>
      </c>
      <c r="F13" t="s">
        <v>17</v>
      </c>
      <c r="G13" t="s">
        <v>1</v>
      </c>
      <c r="H13" t="s">
        <v>2</v>
      </c>
      <c r="I13" t="s">
        <v>3</v>
      </c>
    </row>
    <row r="14" spans="1:9" x14ac:dyDescent="0.25">
      <c r="A14" t="s">
        <v>6</v>
      </c>
      <c r="B14">
        <v>0.46200000000000002</v>
      </c>
      <c r="C14">
        <v>0.214</v>
      </c>
      <c r="D14">
        <v>0.04</v>
      </c>
      <c r="F14" t="s">
        <v>6</v>
      </c>
      <c r="G14">
        <v>-0.41199999999999998</v>
      </c>
      <c r="H14">
        <v>0.316</v>
      </c>
      <c r="I14">
        <v>0.20499999999999999</v>
      </c>
    </row>
    <row r="15" spans="1:9" x14ac:dyDescent="0.25">
      <c r="A15" t="s">
        <v>7</v>
      </c>
      <c r="B15">
        <v>0.60399999999999998</v>
      </c>
      <c r="C15">
        <v>0.20200000000000001</v>
      </c>
      <c r="D15">
        <v>6.0000000000000001E-3</v>
      </c>
      <c r="F15" t="s">
        <v>7</v>
      </c>
      <c r="G15">
        <v>9.8000000000000004E-2</v>
      </c>
      <c r="H15">
        <v>0.52800000000000002</v>
      </c>
      <c r="I15">
        <v>0.85499999999999998</v>
      </c>
    </row>
    <row r="16" spans="1:9" x14ac:dyDescent="0.25">
      <c r="A16" t="s">
        <v>8</v>
      </c>
      <c r="B16">
        <v>-6.5000000000000002E-2</v>
      </c>
      <c r="C16">
        <v>0.185</v>
      </c>
      <c r="D16">
        <v>0.72799999999999998</v>
      </c>
      <c r="F16" t="s">
        <v>8</v>
      </c>
      <c r="G16">
        <v>-0.11700000000000001</v>
      </c>
      <c r="H16">
        <v>0.41099999999999998</v>
      </c>
      <c r="I16">
        <v>0.77900000000000003</v>
      </c>
    </row>
    <row r="17" spans="1:9" x14ac:dyDescent="0.25">
      <c r="A17" t="s">
        <v>9</v>
      </c>
      <c r="B17">
        <v>9.0999999999999998E-2</v>
      </c>
      <c r="C17">
        <v>0.20200000000000001</v>
      </c>
      <c r="D17">
        <v>0.65500000000000003</v>
      </c>
      <c r="F17" t="s">
        <v>9</v>
      </c>
      <c r="G17">
        <v>-3.6999999999999998E-2</v>
      </c>
      <c r="H17">
        <v>0.28499999999999998</v>
      </c>
      <c r="I17">
        <v>0.89800000000000002</v>
      </c>
    </row>
    <row r="18" spans="1:9" x14ac:dyDescent="0.25">
      <c r="A18" t="s">
        <v>10</v>
      </c>
      <c r="B18">
        <v>-0.125</v>
      </c>
      <c r="C18">
        <v>0.28299999999999997</v>
      </c>
      <c r="D18">
        <v>0.66100000000000003</v>
      </c>
      <c r="F18" t="s">
        <v>10</v>
      </c>
      <c r="G18">
        <v>-0.53300000000000003</v>
      </c>
      <c r="H18">
        <v>0.311</v>
      </c>
      <c r="I18">
        <v>9.9000000000000005E-2</v>
      </c>
    </row>
    <row r="19" spans="1:9" x14ac:dyDescent="0.25">
      <c r="A19" t="s">
        <v>11</v>
      </c>
      <c r="B19">
        <v>0.112</v>
      </c>
      <c r="C19">
        <v>0.24099999999999999</v>
      </c>
      <c r="D19">
        <v>0.64600000000000002</v>
      </c>
      <c r="F19" t="s">
        <v>11</v>
      </c>
      <c r="G19">
        <v>0.121</v>
      </c>
      <c r="H19">
        <v>0.29399999999999998</v>
      </c>
      <c r="I19">
        <v>0.68500000000000005</v>
      </c>
    </row>
    <row r="20" spans="1:9" x14ac:dyDescent="0.25">
      <c r="A20" t="s">
        <v>12</v>
      </c>
      <c r="B20">
        <v>-0.19500000000000001</v>
      </c>
      <c r="C20">
        <v>0.17899999999999999</v>
      </c>
      <c r="D20">
        <v>0.28499999999999998</v>
      </c>
      <c r="F20" t="s">
        <v>12</v>
      </c>
      <c r="G20">
        <v>-0.14599999999999999</v>
      </c>
      <c r="H20">
        <v>0.373</v>
      </c>
      <c r="I20">
        <v>0.69899999999999995</v>
      </c>
    </row>
    <row r="21" spans="1:9" x14ac:dyDescent="0.25">
      <c r="A21" t="s">
        <v>13</v>
      </c>
      <c r="B21">
        <v>-0.47899999999999998</v>
      </c>
      <c r="C21">
        <v>0.255</v>
      </c>
      <c r="D21">
        <v>7.0999999999999994E-2</v>
      </c>
      <c r="F21" t="s">
        <v>13</v>
      </c>
      <c r="G21">
        <v>0.23400000000000001</v>
      </c>
      <c r="H21">
        <v>0.48699999999999999</v>
      </c>
      <c r="I21">
        <v>0.63500000000000001</v>
      </c>
    </row>
    <row r="22" spans="1:9" x14ac:dyDescent="0.25">
      <c r="A22" t="s">
        <v>14</v>
      </c>
      <c r="B22">
        <v>36</v>
      </c>
      <c r="F22" t="s">
        <v>14</v>
      </c>
      <c r="G22">
        <v>32</v>
      </c>
    </row>
    <row r="23" spans="1:9" x14ac:dyDescent="0.25">
      <c r="A23" t="s">
        <v>15</v>
      </c>
      <c r="B23">
        <v>0.29799999999999999</v>
      </c>
      <c r="F23" t="s">
        <v>15</v>
      </c>
      <c r="G23">
        <v>0.159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93A70-82F1-4295-9E1F-B646FCA46B4B}">
  <dimension ref="A1:I23"/>
  <sheetViews>
    <sheetView topLeftCell="A4" zoomScale="85" zoomScaleNormal="85" workbookViewId="0">
      <selection activeCell="F13" sqref="F13:I23"/>
    </sheetView>
  </sheetViews>
  <sheetFormatPr defaultRowHeight="15" x14ac:dyDescent="0.25"/>
  <cols>
    <col min="1" max="1" width="61.7109375" bestFit="1" customWidth="1"/>
    <col min="6" max="6" width="61.7109375" bestFit="1" customWidth="1"/>
  </cols>
  <sheetData>
    <row r="1" spans="1:9" x14ac:dyDescent="0.25">
      <c r="A1" t="s">
        <v>18</v>
      </c>
      <c r="B1" t="s">
        <v>1</v>
      </c>
      <c r="C1" t="s">
        <v>2</v>
      </c>
      <c r="D1" t="s">
        <v>3</v>
      </c>
      <c r="F1" t="s">
        <v>22</v>
      </c>
      <c r="G1" t="s">
        <v>1</v>
      </c>
      <c r="H1" t="s">
        <v>2</v>
      </c>
      <c r="I1" t="s">
        <v>3</v>
      </c>
    </row>
    <row r="2" spans="1:9" x14ac:dyDescent="0.25">
      <c r="A2" t="s">
        <v>19</v>
      </c>
      <c r="B2">
        <v>0.50800000000000001</v>
      </c>
      <c r="C2">
        <v>0.34200000000000003</v>
      </c>
      <c r="D2">
        <v>0.14899999999999999</v>
      </c>
      <c r="F2" t="s">
        <v>19</v>
      </c>
      <c r="G2">
        <v>0.41199999999999998</v>
      </c>
      <c r="H2">
        <v>0.38900000000000001</v>
      </c>
      <c r="I2">
        <v>0.29799999999999999</v>
      </c>
    </row>
    <row r="3" spans="1:9" x14ac:dyDescent="0.25">
      <c r="A3" t="s">
        <v>7</v>
      </c>
      <c r="B3">
        <v>2.1999999999999999E-2</v>
      </c>
      <c r="C3">
        <v>0.317</v>
      </c>
      <c r="D3">
        <v>0.94599999999999995</v>
      </c>
      <c r="F3" t="s">
        <v>7</v>
      </c>
      <c r="G3">
        <v>0.40400000000000003</v>
      </c>
      <c r="H3">
        <v>0.49099999999999999</v>
      </c>
      <c r="I3">
        <v>0.41699999999999998</v>
      </c>
    </row>
    <row r="4" spans="1:9" x14ac:dyDescent="0.25">
      <c r="A4" t="s">
        <v>8</v>
      </c>
      <c r="B4">
        <v>-0.22600000000000001</v>
      </c>
      <c r="C4">
        <v>0.45100000000000001</v>
      </c>
      <c r="D4">
        <v>0.61899999999999999</v>
      </c>
      <c r="F4" t="s">
        <v>8</v>
      </c>
      <c r="G4">
        <v>-0.55200000000000005</v>
      </c>
      <c r="H4">
        <v>0.38300000000000001</v>
      </c>
      <c r="I4">
        <v>0.16</v>
      </c>
    </row>
    <row r="5" spans="1:9" x14ac:dyDescent="0.25">
      <c r="A5" t="s">
        <v>9</v>
      </c>
      <c r="B5">
        <v>0.188</v>
      </c>
      <c r="C5">
        <v>0.499</v>
      </c>
      <c r="D5">
        <v>0.71</v>
      </c>
      <c r="F5" t="s">
        <v>9</v>
      </c>
      <c r="G5">
        <v>0.121</v>
      </c>
      <c r="H5">
        <v>0.35599999999999998</v>
      </c>
      <c r="I5">
        <v>0.73599999999999999</v>
      </c>
    </row>
    <row r="6" spans="1:9" x14ac:dyDescent="0.25">
      <c r="A6" t="s">
        <v>10</v>
      </c>
      <c r="B6">
        <v>0.36399999999999999</v>
      </c>
      <c r="C6">
        <v>0.36599999999999999</v>
      </c>
      <c r="D6">
        <v>0.32800000000000001</v>
      </c>
      <c r="F6" t="s">
        <v>10</v>
      </c>
      <c r="G6">
        <v>0.66800000000000004</v>
      </c>
      <c r="H6">
        <v>0.53400000000000003</v>
      </c>
      <c r="I6">
        <v>0.221</v>
      </c>
    </row>
    <row r="7" spans="1:9" x14ac:dyDescent="0.25">
      <c r="A7" t="s">
        <v>11</v>
      </c>
      <c r="B7">
        <v>6.2E-2</v>
      </c>
      <c r="C7">
        <v>0.29599999999999999</v>
      </c>
      <c r="D7">
        <v>0.83499999999999996</v>
      </c>
      <c r="F7" t="s">
        <v>11</v>
      </c>
      <c r="G7">
        <v>0.311</v>
      </c>
      <c r="H7">
        <v>0.47799999999999998</v>
      </c>
      <c r="I7">
        <v>0.52100000000000002</v>
      </c>
    </row>
    <row r="8" spans="1:9" x14ac:dyDescent="0.25">
      <c r="A8" t="s">
        <v>12</v>
      </c>
      <c r="B8">
        <v>-0.35599999999999998</v>
      </c>
      <c r="C8">
        <v>0.41099999999999998</v>
      </c>
      <c r="D8">
        <v>0.39500000000000002</v>
      </c>
      <c r="F8" t="s">
        <v>12</v>
      </c>
      <c r="G8">
        <v>-0.83899999999999997</v>
      </c>
      <c r="H8">
        <v>0.45900000000000002</v>
      </c>
      <c r="I8">
        <v>7.8E-2</v>
      </c>
    </row>
    <row r="9" spans="1:9" x14ac:dyDescent="0.25">
      <c r="A9" t="s">
        <v>13</v>
      </c>
      <c r="B9">
        <v>-0.78100000000000003</v>
      </c>
      <c r="C9">
        <v>0.61099999999999999</v>
      </c>
      <c r="D9">
        <v>0.21299999999999999</v>
      </c>
      <c r="F9" t="s">
        <v>13</v>
      </c>
      <c r="G9">
        <v>0.28499999999999998</v>
      </c>
      <c r="H9">
        <v>0.34899999999999998</v>
      </c>
      <c r="I9">
        <v>0.42099999999999999</v>
      </c>
    </row>
    <row r="10" spans="1:9" x14ac:dyDescent="0.25">
      <c r="A10" t="s">
        <v>14</v>
      </c>
      <c r="B10">
        <v>35</v>
      </c>
      <c r="F10" t="s">
        <v>14</v>
      </c>
      <c r="G10">
        <v>37</v>
      </c>
    </row>
    <row r="11" spans="1:9" x14ac:dyDescent="0.25">
      <c r="A11" t="s">
        <v>15</v>
      </c>
      <c r="B11">
        <v>0.157</v>
      </c>
      <c r="F11" t="s">
        <v>15</v>
      </c>
      <c r="G11">
        <v>0.249</v>
      </c>
    </row>
    <row r="13" spans="1:9" x14ac:dyDescent="0.25">
      <c r="A13" t="s">
        <v>20</v>
      </c>
      <c r="B13" t="s">
        <v>1</v>
      </c>
      <c r="C13" t="s">
        <v>2</v>
      </c>
      <c r="D13" t="s">
        <v>3</v>
      </c>
      <c r="F13" t="s">
        <v>23</v>
      </c>
      <c r="G13" t="s">
        <v>1</v>
      </c>
      <c r="H13" t="s">
        <v>2</v>
      </c>
      <c r="I13" t="s">
        <v>3</v>
      </c>
    </row>
    <row r="14" spans="1:9" x14ac:dyDescent="0.25">
      <c r="A14" t="s">
        <v>21</v>
      </c>
      <c r="B14">
        <v>-4.9000000000000002E-2</v>
      </c>
      <c r="C14">
        <v>0.312</v>
      </c>
      <c r="D14">
        <v>0.877</v>
      </c>
      <c r="F14" t="s">
        <v>21</v>
      </c>
      <c r="G14">
        <v>-4.9000000000000002E-2</v>
      </c>
      <c r="H14">
        <v>0.36699999999999999</v>
      </c>
      <c r="I14">
        <v>0.89500000000000002</v>
      </c>
    </row>
    <row r="15" spans="1:9" x14ac:dyDescent="0.25">
      <c r="A15" t="s">
        <v>7</v>
      </c>
      <c r="B15">
        <v>0.42299999999999999</v>
      </c>
      <c r="C15">
        <v>0.371</v>
      </c>
      <c r="D15">
        <v>0.26400000000000001</v>
      </c>
      <c r="F15" t="s">
        <v>7</v>
      </c>
      <c r="G15">
        <v>0.17799999999999999</v>
      </c>
      <c r="H15">
        <v>0.41199999999999998</v>
      </c>
      <c r="I15">
        <v>0.66800000000000004</v>
      </c>
    </row>
    <row r="16" spans="1:9" x14ac:dyDescent="0.25">
      <c r="A16" t="s">
        <v>8</v>
      </c>
      <c r="B16">
        <v>-0.125</v>
      </c>
      <c r="C16">
        <v>0.26900000000000002</v>
      </c>
      <c r="D16">
        <v>0.64500000000000002</v>
      </c>
      <c r="F16" t="s">
        <v>8</v>
      </c>
      <c r="G16">
        <v>9.8000000000000004E-2</v>
      </c>
      <c r="H16">
        <v>0.32200000000000001</v>
      </c>
      <c r="I16">
        <v>0.76300000000000001</v>
      </c>
    </row>
    <row r="17" spans="1:9" x14ac:dyDescent="0.25">
      <c r="A17" t="s">
        <v>9</v>
      </c>
      <c r="B17">
        <v>0.111</v>
      </c>
      <c r="C17">
        <v>0.4</v>
      </c>
      <c r="D17">
        <v>0.78300000000000003</v>
      </c>
      <c r="F17" t="s">
        <v>9</v>
      </c>
      <c r="G17">
        <v>-0.48099999999999998</v>
      </c>
      <c r="H17">
        <v>0.36699999999999999</v>
      </c>
      <c r="I17">
        <v>0.2</v>
      </c>
    </row>
    <row r="18" spans="1:9" x14ac:dyDescent="0.25">
      <c r="A18" t="s">
        <v>10</v>
      </c>
      <c r="B18">
        <v>-0.81699999999999995</v>
      </c>
      <c r="C18">
        <v>0.45600000000000002</v>
      </c>
      <c r="D18">
        <v>8.5000000000000006E-2</v>
      </c>
      <c r="F18" t="s">
        <v>10</v>
      </c>
      <c r="G18">
        <v>0.997</v>
      </c>
      <c r="H18">
        <v>0.59299999999999997</v>
      </c>
      <c r="I18">
        <v>0.104</v>
      </c>
    </row>
    <row r="19" spans="1:9" x14ac:dyDescent="0.25">
      <c r="A19" t="s">
        <v>11</v>
      </c>
      <c r="B19">
        <v>0.33</v>
      </c>
      <c r="C19">
        <v>0.432</v>
      </c>
      <c r="D19">
        <v>0.45100000000000001</v>
      </c>
      <c r="F19" t="s">
        <v>11</v>
      </c>
      <c r="G19">
        <v>0.19800000000000001</v>
      </c>
      <c r="H19">
        <v>0.49</v>
      </c>
      <c r="I19">
        <v>0.68899999999999995</v>
      </c>
    </row>
    <row r="20" spans="1:9" x14ac:dyDescent="0.25">
      <c r="A20" t="s">
        <v>12</v>
      </c>
      <c r="B20">
        <v>-8.9999999999999993E-3</v>
      </c>
      <c r="C20">
        <v>0.33100000000000002</v>
      </c>
      <c r="D20">
        <v>0.97799999999999998</v>
      </c>
      <c r="F20" t="s">
        <v>12</v>
      </c>
      <c r="G20">
        <v>-1.1160000000000001</v>
      </c>
      <c r="H20">
        <v>0.36199999999999999</v>
      </c>
      <c r="I20">
        <v>4.0000000000000001E-3</v>
      </c>
    </row>
    <row r="21" spans="1:9" x14ac:dyDescent="0.25">
      <c r="A21" t="s">
        <v>13</v>
      </c>
      <c r="B21">
        <v>-0.193</v>
      </c>
      <c r="C21">
        <v>0.42799999999999999</v>
      </c>
      <c r="D21">
        <v>0.65600000000000003</v>
      </c>
      <c r="F21" t="s">
        <v>13</v>
      </c>
      <c r="G21">
        <v>0.30499999999999999</v>
      </c>
      <c r="H21">
        <v>0.35799999999999998</v>
      </c>
      <c r="I21">
        <v>0.40100000000000002</v>
      </c>
    </row>
    <row r="22" spans="1:9" x14ac:dyDescent="0.25">
      <c r="A22" t="s">
        <v>14</v>
      </c>
      <c r="B22">
        <v>35</v>
      </c>
      <c r="F22" t="s">
        <v>14</v>
      </c>
      <c r="G22">
        <v>37</v>
      </c>
    </row>
    <row r="23" spans="1:9" x14ac:dyDescent="0.25">
      <c r="A23" t="s">
        <v>15</v>
      </c>
      <c r="B23">
        <v>0.113</v>
      </c>
      <c r="F23" t="s">
        <v>15</v>
      </c>
      <c r="G23">
        <v>0.34100000000000003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5B68F-5B13-47EE-99BB-AA3545512B1A}">
  <dimension ref="A1:I23"/>
  <sheetViews>
    <sheetView tabSelected="1" zoomScale="85" zoomScaleNormal="85" workbookViewId="0">
      <selection activeCell="F14" sqref="F14"/>
    </sheetView>
  </sheetViews>
  <sheetFormatPr defaultRowHeight="15" x14ac:dyDescent="0.25"/>
  <cols>
    <col min="1" max="1" width="61.7109375" bestFit="1" customWidth="1"/>
    <col min="6" max="6" width="61.7109375" bestFit="1" customWidth="1"/>
  </cols>
  <sheetData>
    <row r="1" spans="1:9" x14ac:dyDescent="0.25">
      <c r="A1" t="s">
        <v>18</v>
      </c>
      <c r="B1" t="s">
        <v>1</v>
      </c>
      <c r="C1" t="s">
        <v>2</v>
      </c>
      <c r="D1" t="s">
        <v>3</v>
      </c>
      <c r="F1" t="s">
        <v>26</v>
      </c>
      <c r="G1" t="s">
        <v>1</v>
      </c>
      <c r="H1" t="s">
        <v>2</v>
      </c>
      <c r="I1" t="s">
        <v>3</v>
      </c>
    </row>
    <row r="2" spans="1:9" x14ac:dyDescent="0.25">
      <c r="A2" t="s">
        <v>24</v>
      </c>
      <c r="B2">
        <v>-1.6879999999999999</v>
      </c>
      <c r="C2">
        <v>0.60899999999999999</v>
      </c>
      <c r="D2">
        <v>0.01</v>
      </c>
      <c r="F2" t="s">
        <v>24</v>
      </c>
      <c r="G2">
        <v>0</v>
      </c>
      <c r="H2" t="s">
        <v>25</v>
      </c>
      <c r="I2" t="s">
        <v>25</v>
      </c>
    </row>
    <row r="3" spans="1:9" x14ac:dyDescent="0.25">
      <c r="A3" t="s">
        <v>7</v>
      </c>
      <c r="B3">
        <v>3.9E-2</v>
      </c>
      <c r="C3">
        <v>0.38</v>
      </c>
      <c r="D3">
        <v>0.91800000000000004</v>
      </c>
      <c r="F3" t="s">
        <v>7</v>
      </c>
      <c r="G3">
        <v>0.27600000000000002</v>
      </c>
      <c r="H3">
        <v>0.48</v>
      </c>
      <c r="I3">
        <v>0.56899999999999995</v>
      </c>
    </row>
    <row r="4" spans="1:9" x14ac:dyDescent="0.25">
      <c r="A4" t="s">
        <v>8</v>
      </c>
      <c r="B4">
        <v>-8.6999999999999994E-2</v>
      </c>
      <c r="C4">
        <v>0.41299999999999998</v>
      </c>
      <c r="D4">
        <v>0.83599999999999997</v>
      </c>
      <c r="F4" t="s">
        <v>8</v>
      </c>
      <c r="G4">
        <v>-0.57499999999999996</v>
      </c>
      <c r="H4">
        <v>0.376</v>
      </c>
      <c r="I4">
        <v>0.13700000000000001</v>
      </c>
    </row>
    <row r="5" spans="1:9" x14ac:dyDescent="0.25">
      <c r="A5" t="s">
        <v>9</v>
      </c>
      <c r="B5">
        <v>0.501</v>
      </c>
      <c r="C5">
        <v>0.51600000000000001</v>
      </c>
      <c r="D5">
        <v>0.34</v>
      </c>
      <c r="F5" t="s">
        <v>9</v>
      </c>
      <c r="G5">
        <v>0.13200000000000001</v>
      </c>
      <c r="H5">
        <v>0.36399999999999999</v>
      </c>
      <c r="I5">
        <v>0.71899999999999997</v>
      </c>
    </row>
    <row r="6" spans="1:9" x14ac:dyDescent="0.25">
      <c r="A6" t="s">
        <v>10</v>
      </c>
      <c r="B6">
        <v>0.69299999999999995</v>
      </c>
      <c r="C6">
        <v>0.44900000000000001</v>
      </c>
      <c r="D6">
        <v>0.13400000000000001</v>
      </c>
      <c r="F6" t="s">
        <v>10</v>
      </c>
      <c r="G6">
        <v>0.67900000000000005</v>
      </c>
      <c r="H6">
        <v>0.57699999999999996</v>
      </c>
      <c r="I6">
        <v>0.248</v>
      </c>
    </row>
    <row r="7" spans="1:9" x14ac:dyDescent="0.25">
      <c r="A7" t="s">
        <v>11</v>
      </c>
      <c r="B7">
        <v>-0.24099999999999999</v>
      </c>
      <c r="C7">
        <v>0.43</v>
      </c>
      <c r="D7">
        <v>0.57999999999999996</v>
      </c>
      <c r="F7" t="s">
        <v>11</v>
      </c>
      <c r="G7">
        <v>0.25</v>
      </c>
      <c r="H7">
        <v>0.51100000000000001</v>
      </c>
      <c r="I7">
        <v>0.629</v>
      </c>
    </row>
    <row r="8" spans="1:9" x14ac:dyDescent="0.25">
      <c r="A8" t="s">
        <v>12</v>
      </c>
      <c r="B8">
        <v>-0.27100000000000002</v>
      </c>
      <c r="C8">
        <v>0.36099999999999999</v>
      </c>
      <c r="D8">
        <v>0.45900000000000002</v>
      </c>
      <c r="F8" t="s">
        <v>12</v>
      </c>
      <c r="G8">
        <v>-0.65300000000000002</v>
      </c>
      <c r="H8">
        <v>0.38</v>
      </c>
      <c r="I8">
        <v>9.6000000000000002E-2</v>
      </c>
    </row>
    <row r="9" spans="1:9" x14ac:dyDescent="0.25">
      <c r="A9" t="s">
        <v>13</v>
      </c>
      <c r="B9">
        <v>0.55400000000000005</v>
      </c>
      <c r="C9">
        <v>0.45700000000000002</v>
      </c>
      <c r="D9">
        <v>0.23599999999999999</v>
      </c>
      <c r="F9" t="s">
        <v>13</v>
      </c>
      <c r="G9">
        <v>0.34200000000000003</v>
      </c>
      <c r="H9">
        <v>0.308</v>
      </c>
      <c r="I9">
        <v>0.27500000000000002</v>
      </c>
    </row>
    <row r="10" spans="1:9" x14ac:dyDescent="0.25">
      <c r="A10" t="s">
        <v>14</v>
      </c>
      <c r="B10">
        <v>35</v>
      </c>
      <c r="F10" t="s">
        <v>14</v>
      </c>
      <c r="G10">
        <v>37</v>
      </c>
    </row>
    <row r="11" spans="1:9" x14ac:dyDescent="0.25">
      <c r="A11" t="s">
        <v>15</v>
      </c>
      <c r="B11">
        <v>0.23499999999999999</v>
      </c>
      <c r="F11" t="s">
        <v>15</v>
      </c>
      <c r="G11">
        <v>0.214</v>
      </c>
    </row>
    <row r="13" spans="1:9" x14ac:dyDescent="0.25">
      <c r="A13" t="s">
        <v>20</v>
      </c>
      <c r="B13" t="str">
        <f>"b"</f>
        <v>b</v>
      </c>
      <c r="C13" t="str">
        <f>"se"</f>
        <v>se</v>
      </c>
      <c r="D13" t="str">
        <f>"p"</f>
        <v>p</v>
      </c>
      <c r="F13" t="s">
        <v>23</v>
      </c>
      <c r="G13" t="s">
        <v>1</v>
      </c>
      <c r="H13" t="s">
        <v>2</v>
      </c>
      <c r="I13" t="s">
        <v>3</v>
      </c>
    </row>
    <row r="14" spans="1:9" x14ac:dyDescent="0.25">
      <c r="A14" t="str">
        <f>"Day 2: Selected Pineapple family as preferred flavor"</f>
        <v>Day 2: Selected Pineapple family as preferred flavor</v>
      </c>
      <c r="B14" t="str">
        <f>"0.000"</f>
        <v>0.000</v>
      </c>
      <c r="C14" t="str">
        <f>"."</f>
        <v>.</v>
      </c>
      <c r="D14" t="str">
        <f>"."</f>
        <v>.</v>
      </c>
      <c r="F14" t="s">
        <v>27</v>
      </c>
      <c r="G14">
        <v>2.1000000000000001E-2</v>
      </c>
      <c r="H14">
        <v>0.38200000000000001</v>
      </c>
      <c r="I14">
        <v>0.95599999999999996</v>
      </c>
    </row>
    <row r="15" spans="1:9" x14ac:dyDescent="0.25">
      <c r="A15" t="str">
        <f>"Flavor importance is moderate rather than very/extremely important"</f>
        <v>Flavor importance is moderate rather than very/extremely important</v>
      </c>
      <c r="B15" t="str">
        <f>"0.417"</f>
        <v>0.417</v>
      </c>
      <c r="C15" t="str">
        <f>"0.345"</f>
        <v>0.345</v>
      </c>
      <c r="D15" t="str">
        <f>"0.237"</f>
        <v>0.237</v>
      </c>
      <c r="F15" t="s">
        <v>7</v>
      </c>
      <c r="G15">
        <v>0.193</v>
      </c>
      <c r="H15">
        <v>0.41799999999999998</v>
      </c>
      <c r="I15">
        <v>0.64800000000000002</v>
      </c>
    </row>
    <row r="16" spans="1:9" x14ac:dyDescent="0.25">
      <c r="A16" t="str">
        <f>"Sweetness is very or extremely important"</f>
        <v>Sweetness is very or extremely important</v>
      </c>
      <c r="B16" t="str">
        <f>"-0.113"</f>
        <v>-0.113</v>
      </c>
      <c r="C16" t="str">
        <f>"0.258"</f>
        <v>0.258</v>
      </c>
      <c r="D16" t="str">
        <f>"0.665"</f>
        <v>0.665</v>
      </c>
      <c r="F16" t="s">
        <v>8</v>
      </c>
      <c r="G16">
        <v>9.5000000000000001E-2</v>
      </c>
      <c r="H16">
        <v>0.34200000000000003</v>
      </c>
      <c r="I16">
        <v>0.78300000000000003</v>
      </c>
    </row>
    <row r="17" spans="1:9" x14ac:dyDescent="0.25">
      <c r="A17" t="str">
        <f>"Sugar level is very or extremely important"</f>
        <v>Sugar level is very or extremely important</v>
      </c>
      <c r="B17" t="str">
        <f>"0.126"</f>
        <v>0.126</v>
      </c>
      <c r="C17" t="str">
        <f>"0.363"</f>
        <v>0.363</v>
      </c>
      <c r="D17" t="str">
        <f>"0.732"</f>
        <v>0.732</v>
      </c>
      <c r="F17" t="s">
        <v>9</v>
      </c>
      <c r="G17">
        <v>-0.49099999999999999</v>
      </c>
      <c r="H17">
        <v>0.374</v>
      </c>
      <c r="I17">
        <v>0.19900000000000001</v>
      </c>
    </row>
    <row r="18" spans="1:9" x14ac:dyDescent="0.25">
      <c r="A18" t="str">
        <f>"Functional ingredients are very or extremely important"</f>
        <v>Functional ingredients are very or extremely important</v>
      </c>
      <c r="B18" t="str">
        <f>"-0.836"</f>
        <v>-0.836</v>
      </c>
      <c r="C18" t="str">
        <f>"0.442"</f>
        <v>0.442</v>
      </c>
      <c r="D18" t="str">
        <f>"0.069"</f>
        <v>0.069</v>
      </c>
      <c r="F18" t="s">
        <v>10</v>
      </c>
      <c r="G18">
        <v>1.004</v>
      </c>
      <c r="H18">
        <v>0.59499999999999997</v>
      </c>
      <c r="I18">
        <v>0.10199999999999999</v>
      </c>
    </row>
    <row r="19" spans="1:9" x14ac:dyDescent="0.25">
      <c r="A19" t="str">
        <f>"Health claims are very or extremely important"</f>
        <v>Health claims are very or extremely important</v>
      </c>
      <c r="B19" t="str">
        <f>"0.335"</f>
        <v>0.335</v>
      </c>
      <c r="C19" t="str">
        <f>"0.414"</f>
        <v>0.414</v>
      </c>
      <c r="D19" t="str">
        <f>"0.426"</f>
        <v>0.426</v>
      </c>
      <c r="F19" t="s">
        <v>11</v>
      </c>
      <c r="G19">
        <v>0.19800000000000001</v>
      </c>
      <c r="H19">
        <v>0.495</v>
      </c>
      <c r="I19">
        <v>0.69199999999999995</v>
      </c>
    </row>
    <row r="20" spans="1:9" x14ac:dyDescent="0.25">
      <c r="A20" t="str">
        <f>"Prior magnesium knowledge is agree or strongly agree"</f>
        <v>Prior magnesium knowledge is agree or strongly agree</v>
      </c>
      <c r="B20" t="str">
        <f>"-0.003"</f>
        <v>-0.003</v>
      </c>
      <c r="C20" t="str">
        <f>"0.326"</f>
        <v>0.326</v>
      </c>
      <c r="D20" t="str">
        <f>"0.992"</f>
        <v>0.992</v>
      </c>
      <c r="F20" t="s">
        <v>12</v>
      </c>
      <c r="G20">
        <v>-1.103</v>
      </c>
      <c r="H20">
        <v>0.36499999999999999</v>
      </c>
      <c r="I20">
        <v>5.0000000000000001E-3</v>
      </c>
    </row>
    <row r="21" spans="1:9" x14ac:dyDescent="0.25">
      <c r="A21" t="str">
        <f>"Constant"</f>
        <v>Constant</v>
      </c>
      <c r="B21" t="str">
        <f>"-0.226"</f>
        <v>-0.226</v>
      </c>
      <c r="C21" t="str">
        <f>"0.324"</f>
        <v>0.324</v>
      </c>
      <c r="D21" t="str">
        <f>"0.490"</f>
        <v>0.490</v>
      </c>
      <c r="F21" t="s">
        <v>13</v>
      </c>
      <c r="G21">
        <v>0.25800000000000001</v>
      </c>
      <c r="H21">
        <v>0.46400000000000002</v>
      </c>
      <c r="I21">
        <v>0.58299999999999996</v>
      </c>
    </row>
    <row r="22" spans="1:9" x14ac:dyDescent="0.25">
      <c r="A22" t="str">
        <f>"Observations"</f>
        <v>Observations</v>
      </c>
      <c r="B22" t="str">
        <f>"35"</f>
        <v>35</v>
      </c>
      <c r="C22" t="str">
        <f>""</f>
        <v/>
      </c>
      <c r="D22" t="str">
        <f>""</f>
        <v/>
      </c>
      <c r="F22" t="s">
        <v>14</v>
      </c>
      <c r="G22">
        <v>37</v>
      </c>
    </row>
    <row r="23" spans="1:9" x14ac:dyDescent="0.25">
      <c r="A23" t="str">
        <f>"R-squared"</f>
        <v>R-squared</v>
      </c>
      <c r="B23" t="str">
        <f>"0.112"</f>
        <v>0.112</v>
      </c>
      <c r="C23" t="str">
        <f>""</f>
        <v/>
      </c>
      <c r="D23" t="str">
        <f>""</f>
        <v/>
      </c>
      <c r="F23" t="s">
        <v>15</v>
      </c>
      <c r="G23">
        <v>0.34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6BEAD4B401121419B8A3243FD675477" ma:contentTypeVersion="10" ma:contentTypeDescription="Create a new document." ma:contentTypeScope="" ma:versionID="1e063a67f951886737af083062119f22">
  <xsd:schema xmlns:xsd="http://www.w3.org/2001/XMLSchema" xmlns:xs="http://www.w3.org/2001/XMLSchema" xmlns:p="http://schemas.microsoft.com/office/2006/metadata/properties" xmlns:ns3="f2b9adb8-b63f-424e-aec6-50dbe132e49a" targetNamespace="http://schemas.microsoft.com/office/2006/metadata/properties" ma:root="true" ma:fieldsID="26e3f5ef4097134107f7bf39cf39f48e" ns3:_="">
    <xsd:import namespace="f2b9adb8-b63f-424e-aec6-50dbe132e49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b9adb8-b63f-424e-aec6-50dbe132e4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2b9adb8-b63f-424e-aec6-50dbe132e49a" xsi:nil="true"/>
  </documentManagement>
</p:properties>
</file>

<file path=customXml/itemProps1.xml><?xml version="1.0" encoding="utf-8"?>
<ds:datastoreItem xmlns:ds="http://schemas.openxmlformats.org/officeDocument/2006/customXml" ds:itemID="{95CD791C-3DFD-4B81-BC9D-737584FDC2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b9adb8-b63f-424e-aec6-50dbe132e4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EBF26-8491-4853-B9EC-7E64B08EBD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40EB45-EE75-43DF-9EF3-BD4E64DD5F05}">
  <ds:schemaRefs>
    <ds:schemaRef ds:uri="http://schemas.microsoft.com/office/2006/documentManagement/types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www.w3.org/XML/1998/namespace"/>
    <ds:schemaRef ds:uri="http://purl.org/dc/elements/1.1/"/>
    <ds:schemaRef ds:uri="f2b9adb8-b63f-424e-aec6-50dbe132e49a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Day_1_Flavor</vt:lpstr>
      <vt:lpstr>Day_2_Flavor</vt:lpstr>
      <vt:lpstr>Day_2_Flav_Fam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Leavy, Tim Martin - (timleavy)</dc:creator>
  <cp:lastModifiedBy>Leavy, Tim Martin - (timleavy)</cp:lastModifiedBy>
  <dcterms:created xsi:type="dcterms:W3CDTF">2026-04-27T13:08:45Z</dcterms:created>
  <dcterms:modified xsi:type="dcterms:W3CDTF">2026-04-27T13:15:22Z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0x010100C6BEAD4B401121419B8A3243FD675477</vt:lpwstr>
  </property>
</Properties>
</file>