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eav\Desktop\GitFolder\AREC-397C\reg_tables\"/>
    </mc:Choice>
  </mc:AlternateContent>
  <xr:revisionPtr revIDLastSave="0" documentId="13_ncr:1_{366D763B-1F7E-4D58-AD64-D3B6F917A878}" xr6:coauthVersionLast="47" xr6:coauthVersionMax="47" xr10:uidLastSave="{00000000-0000-0000-0000-000000000000}"/>
  <bookViews>
    <workbookView xWindow="6945" yWindow="-10320" windowWidth="17640" windowHeight="9405" firstSheet="5" activeTab="6" xr2:uid="{8EBA136F-28A8-4589-8BC9-A996EAFDB261}"/>
  </bookViews>
  <sheets>
    <sheet name="Day_1_Flavor" sheetId="1" r:id="rId1"/>
    <sheet name="Day_2_Flavor" sheetId="2" r:id="rId2"/>
    <sheet name="Day_2_Flav_Fam" sheetId="3" r:id="rId3"/>
    <sheet name="Gen_Main_Comp" sheetId="8" r:id="rId4"/>
    <sheet name="H2_Mag_584V793_Mag_Test" sheetId="9" r:id="rId5"/>
    <sheet name="H2_D2_356V831_Prodcut_Test" sheetId="10" r:id="rId6"/>
    <sheet name="H2_Cons_Context_Robust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" i="11" l="1"/>
  <c r="F21" i="11"/>
  <c r="E21" i="11"/>
  <c r="D21" i="11"/>
  <c r="C21" i="11"/>
  <c r="B21" i="11"/>
  <c r="A21" i="11"/>
  <c r="G20" i="11"/>
  <c r="F20" i="11"/>
  <c r="E20" i="11"/>
  <c r="D20" i="11"/>
  <c r="C20" i="11"/>
  <c r="B20" i="11"/>
  <c r="A20" i="11"/>
  <c r="G19" i="11"/>
  <c r="F19" i="11"/>
  <c r="E19" i="11"/>
  <c r="D19" i="11"/>
  <c r="C19" i="11"/>
  <c r="B19" i="11"/>
  <c r="A19" i="11"/>
  <c r="G18" i="11"/>
  <c r="F18" i="11"/>
  <c r="E18" i="11"/>
  <c r="D18" i="11"/>
  <c r="C18" i="11"/>
  <c r="B18" i="11"/>
  <c r="A18" i="11"/>
  <c r="G17" i="11"/>
  <c r="F17" i="11"/>
  <c r="E17" i="11"/>
  <c r="D17" i="11"/>
  <c r="C17" i="11"/>
  <c r="B17" i="11"/>
  <c r="A17" i="11"/>
  <c r="G16" i="11"/>
  <c r="F16" i="11"/>
  <c r="E16" i="11"/>
  <c r="D16" i="11"/>
  <c r="C16" i="11"/>
  <c r="B16" i="11"/>
  <c r="A16" i="11"/>
  <c r="G15" i="11"/>
  <c r="F15" i="11"/>
  <c r="E15" i="11"/>
  <c r="D15" i="11"/>
  <c r="C15" i="11"/>
  <c r="B15" i="11"/>
  <c r="A15" i="11"/>
  <c r="G14" i="11"/>
  <c r="F14" i="11"/>
  <c r="E14" i="11"/>
  <c r="D14" i="11"/>
  <c r="C14" i="11"/>
  <c r="B14" i="11"/>
  <c r="A14" i="11"/>
  <c r="G13" i="11"/>
  <c r="F13" i="11"/>
  <c r="E13" i="11"/>
  <c r="D13" i="11"/>
  <c r="C13" i="11"/>
  <c r="B13" i="11"/>
  <c r="A13" i="11"/>
  <c r="G12" i="11"/>
  <c r="F12" i="11"/>
  <c r="E12" i="11"/>
  <c r="D12" i="11"/>
  <c r="C12" i="11"/>
  <c r="B12" i="11"/>
  <c r="A12" i="11"/>
  <c r="G11" i="11"/>
  <c r="F11" i="11"/>
  <c r="E11" i="11"/>
  <c r="D11" i="11"/>
  <c r="C11" i="11"/>
  <c r="B11" i="11"/>
  <c r="A11" i="11"/>
  <c r="G10" i="11"/>
  <c r="F10" i="11"/>
  <c r="E10" i="11"/>
  <c r="D10" i="11"/>
  <c r="C10" i="11"/>
  <c r="B10" i="11"/>
  <c r="A10" i="11"/>
  <c r="G9" i="11"/>
  <c r="F9" i="11"/>
  <c r="E9" i="11"/>
  <c r="D9" i="11"/>
  <c r="C9" i="11"/>
  <c r="B9" i="11"/>
  <c r="A9" i="11"/>
  <c r="G8" i="11"/>
  <c r="F8" i="11"/>
  <c r="E8" i="11"/>
  <c r="D8" i="11"/>
  <c r="C8" i="11"/>
  <c r="B8" i="11"/>
  <c r="A8" i="11"/>
  <c r="G7" i="11"/>
  <c r="F7" i="11"/>
  <c r="E7" i="11"/>
  <c r="D7" i="11"/>
  <c r="C7" i="11"/>
  <c r="B7" i="11"/>
  <c r="A7" i="11"/>
  <c r="G6" i="11"/>
  <c r="F6" i="11"/>
  <c r="E6" i="11"/>
  <c r="D6" i="11"/>
  <c r="C6" i="11"/>
  <c r="B6" i="11"/>
  <c r="A6" i="11"/>
  <c r="G5" i="11"/>
  <c r="F5" i="11"/>
  <c r="E5" i="11"/>
  <c r="D5" i="11"/>
  <c r="C5" i="11"/>
  <c r="B5" i="11"/>
  <c r="A5" i="11"/>
  <c r="G4" i="11"/>
  <c r="F4" i="11"/>
  <c r="E4" i="11"/>
  <c r="D4" i="11"/>
  <c r="C4" i="11"/>
  <c r="B4" i="11"/>
  <c r="A4" i="11"/>
  <c r="G3" i="11"/>
  <c r="F3" i="11"/>
  <c r="E3" i="11"/>
  <c r="D3" i="11"/>
  <c r="C3" i="11"/>
  <c r="B3" i="11"/>
  <c r="A3" i="11"/>
  <c r="G2" i="11"/>
  <c r="F2" i="11"/>
  <c r="E2" i="11"/>
  <c r="D2" i="11"/>
  <c r="C2" i="11"/>
  <c r="B2" i="11"/>
  <c r="A2" i="11"/>
  <c r="G1" i="11"/>
  <c r="F1" i="11"/>
  <c r="E1" i="11"/>
  <c r="D1" i="11"/>
  <c r="C1" i="11"/>
  <c r="B1" i="11"/>
  <c r="D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D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D14" i="3"/>
  <c r="C14" i="3"/>
  <c r="B14" i="3"/>
  <c r="A14" i="3"/>
  <c r="D13" i="3"/>
  <c r="C13" i="3"/>
  <c r="B13" i="3"/>
</calcChain>
</file>

<file path=xl/sharedStrings.xml><?xml version="1.0" encoding="utf-8"?>
<sst xmlns="http://schemas.openxmlformats.org/spreadsheetml/2006/main" count="345" uniqueCount="53">
  <si>
    <t>Day 1 Info first, lab beverage</t>
  </si>
  <si>
    <t>b</t>
  </si>
  <si>
    <t>se</t>
  </si>
  <si>
    <t>p</t>
  </si>
  <si>
    <t>Day 1, Taste first, Lab beverage</t>
  </si>
  <si>
    <t>Selected Lemon-Lime as preferred flavor</t>
  </si>
  <si>
    <t>Day 1: Selected Lemon-Lime as preferred flavor</t>
  </si>
  <si>
    <t>Flavor importance is moderate rather than very/extremely important</t>
  </si>
  <si>
    <t>Sweetness is very or extremely important</t>
  </si>
  <si>
    <t>Sugar level is very or extremely important</t>
  </si>
  <si>
    <t>Functional ingredients are very or extremely important</t>
  </si>
  <si>
    <t>Health claims are very or extremely important</t>
  </si>
  <si>
    <t>Prior magnesium knowledge is agree or strongly agree</t>
  </si>
  <si>
    <t>Constant</t>
  </si>
  <si>
    <t>Observations</t>
  </si>
  <si>
    <t>R-squared</t>
  </si>
  <si>
    <t>Day 1, Info first, Competitor beverage</t>
  </si>
  <si>
    <t>Day 1, Taste first, Competitor beverage</t>
  </si>
  <si>
    <t>Day 2, Info first, Blueberry lab beverage</t>
  </si>
  <si>
    <t>Day 2: Selected Blueberry as preferred flavor</t>
  </si>
  <si>
    <t>Day 2, Info first, Pineapple lab beverage</t>
  </si>
  <si>
    <t>Day 2: Selected Pineapple as preferred flavor</t>
  </si>
  <si>
    <t>Day 2, Taste first, Blueberry lab beverage</t>
  </si>
  <si>
    <t>Day 2, Taste first, Pineapple lab beverage</t>
  </si>
  <si>
    <t>Day 2: Selected Blueberry family as preferred flavor</t>
  </si>
  <si>
    <t>.</t>
  </si>
  <si>
    <t>Day 2, Tastefirst, Blueberry lab beverage</t>
  </si>
  <si>
    <t>Day 2: Selected Pineapple family as preferred flavor</t>
  </si>
  <si>
    <t>Male</t>
  </si>
  <si>
    <t>Female</t>
  </si>
  <si>
    <t>Low exercise</t>
  </si>
  <si>
    <t>High exercise</t>
  </si>
  <si>
    <t>Male # Low exercise</t>
  </si>
  <si>
    <t>Male # High exercise</t>
  </si>
  <si>
    <t>Female # Low exercise</t>
  </si>
  <si>
    <t>Female # High exercise</t>
  </si>
  <si>
    <t>H2_Pool_Add</t>
  </si>
  <si>
    <t>Female respondent</t>
  </si>
  <si>
    <t>exercise_hi</t>
  </si>
  <si>
    <t>Product-specific preferred flavor</t>
  </si>
  <si>
    <t>Taste-first</t>
  </si>
  <si>
    <t>Info-first</t>
  </si>
  <si>
    <t>H2_Pool_Int</t>
  </si>
  <si>
    <t>H2_Prem_3b_Add</t>
  </si>
  <si>
    <t>H2_Prem_3b_Interact</t>
  </si>
  <si>
    <t>H2_Prem_3a_Interact</t>
  </si>
  <si>
    <t>H2_Day2_Product_Premium</t>
  </si>
  <si>
    <t>D2 3b Premium Add.</t>
  </si>
  <si>
    <t>D2 3a Premium Add.</t>
  </si>
  <si>
    <t>D2 3b Premium Int.</t>
  </si>
  <si>
    <t>D2 3a Premium Int.</t>
  </si>
  <si>
    <t>Female x High exercise</t>
  </si>
  <si>
    <t>H2_Consumption_Context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</si>
</sst>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8F74-88AC-410A-9084-20D423487A17}">
  <dimension ref="A1:I23"/>
  <sheetViews>
    <sheetView zoomScale="70" zoomScaleNormal="70" workbookViewId="0">
      <selection activeCell="A15" sqref="A15"/>
    </sheetView>
  </sheetViews>
  <sheetFormatPr defaultRowHeight="15" x14ac:dyDescent="0.25"/>
  <cols>
    <col min="1" max="1" width="61.7109375" bestFit="1" customWidth="1"/>
    <col min="6" max="6" width="6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1</v>
      </c>
      <c r="H1" t="s">
        <v>2</v>
      </c>
      <c r="I1" t="s">
        <v>3</v>
      </c>
    </row>
    <row r="2" spans="1:9" x14ac:dyDescent="0.25">
      <c r="A2" t="s">
        <v>5</v>
      </c>
      <c r="B2">
        <v>0.183</v>
      </c>
      <c r="C2">
        <v>0.248</v>
      </c>
      <c r="D2">
        <v>0.46600000000000003</v>
      </c>
      <c r="F2" t="s">
        <v>6</v>
      </c>
      <c r="G2">
        <v>-0.435</v>
      </c>
      <c r="H2">
        <v>0.28799999999999998</v>
      </c>
      <c r="I2">
        <v>0.14299999999999999</v>
      </c>
    </row>
    <row r="3" spans="1:9" x14ac:dyDescent="0.25">
      <c r="A3" t="s">
        <v>7</v>
      </c>
      <c r="B3">
        <v>-0.219</v>
      </c>
      <c r="C3">
        <v>0.49399999999999999</v>
      </c>
      <c r="D3">
        <v>0.66100000000000003</v>
      </c>
      <c r="F3" t="s">
        <v>7</v>
      </c>
      <c r="G3">
        <v>-0.249</v>
      </c>
      <c r="H3">
        <v>0.33600000000000002</v>
      </c>
      <c r="I3">
        <v>0.46600000000000003</v>
      </c>
    </row>
    <row r="4" spans="1:9" x14ac:dyDescent="0.25">
      <c r="A4" t="s">
        <v>8</v>
      </c>
      <c r="B4">
        <v>-0.435</v>
      </c>
      <c r="C4">
        <v>0.245</v>
      </c>
      <c r="D4">
        <v>8.6999999999999994E-2</v>
      </c>
      <c r="F4" t="s">
        <v>8</v>
      </c>
      <c r="G4">
        <v>-0.23300000000000001</v>
      </c>
      <c r="H4">
        <v>0.25600000000000001</v>
      </c>
      <c r="I4">
        <v>0.373</v>
      </c>
    </row>
    <row r="5" spans="1:9" x14ac:dyDescent="0.25">
      <c r="A5" t="s">
        <v>9</v>
      </c>
      <c r="B5">
        <v>0.35699999999999998</v>
      </c>
      <c r="C5">
        <v>0.24299999999999999</v>
      </c>
      <c r="D5">
        <v>0.153</v>
      </c>
      <c r="F5" t="s">
        <v>9</v>
      </c>
      <c r="G5">
        <v>0.24299999999999999</v>
      </c>
      <c r="H5">
        <v>0.309</v>
      </c>
      <c r="I5">
        <v>0.439</v>
      </c>
    </row>
    <row r="6" spans="1:9" x14ac:dyDescent="0.25">
      <c r="A6" t="s">
        <v>10</v>
      </c>
      <c r="B6">
        <v>-0.127</v>
      </c>
      <c r="C6">
        <v>0.36299999999999999</v>
      </c>
      <c r="D6">
        <v>0.73</v>
      </c>
      <c r="F6" t="s">
        <v>10</v>
      </c>
      <c r="G6">
        <v>-0.25800000000000001</v>
      </c>
      <c r="H6">
        <v>0.27900000000000003</v>
      </c>
      <c r="I6">
        <v>0.36399999999999999</v>
      </c>
    </row>
    <row r="7" spans="1:9" x14ac:dyDescent="0.25">
      <c r="A7" t="s">
        <v>11</v>
      </c>
      <c r="B7">
        <v>-0.77300000000000002</v>
      </c>
      <c r="C7">
        <v>0.28799999999999998</v>
      </c>
      <c r="D7">
        <v>1.2E-2</v>
      </c>
      <c r="F7" t="s">
        <v>11</v>
      </c>
      <c r="G7">
        <v>0.19700000000000001</v>
      </c>
      <c r="H7">
        <v>0.249</v>
      </c>
      <c r="I7">
        <v>0.436</v>
      </c>
    </row>
    <row r="8" spans="1:9" x14ac:dyDescent="0.25">
      <c r="A8" t="s">
        <v>12</v>
      </c>
      <c r="B8">
        <v>-6.0999999999999999E-2</v>
      </c>
      <c r="C8">
        <v>0.24099999999999999</v>
      </c>
      <c r="D8">
        <v>0.80400000000000005</v>
      </c>
      <c r="F8" t="s">
        <v>12</v>
      </c>
      <c r="G8">
        <v>0.46</v>
      </c>
      <c r="H8">
        <v>0.44500000000000001</v>
      </c>
      <c r="I8">
        <v>0.312</v>
      </c>
    </row>
    <row r="9" spans="1:9" x14ac:dyDescent="0.25">
      <c r="A9" t="s">
        <v>13</v>
      </c>
      <c r="B9">
        <v>6.2E-2</v>
      </c>
      <c r="C9">
        <v>0.31900000000000001</v>
      </c>
      <c r="D9">
        <v>0.84699999999999998</v>
      </c>
      <c r="F9" t="s">
        <v>13</v>
      </c>
      <c r="G9">
        <v>-9.0999999999999998E-2</v>
      </c>
      <c r="H9">
        <v>0.40300000000000002</v>
      </c>
      <c r="I9">
        <v>0.82299999999999995</v>
      </c>
    </row>
    <row r="10" spans="1:9" x14ac:dyDescent="0.25">
      <c r="A10" t="s">
        <v>14</v>
      </c>
      <c r="B10">
        <v>36</v>
      </c>
      <c r="F10" t="s">
        <v>14</v>
      </c>
      <c r="G10">
        <v>32</v>
      </c>
    </row>
    <row r="11" spans="1:9" x14ac:dyDescent="0.25">
      <c r="A11" t="s">
        <v>15</v>
      </c>
      <c r="B11">
        <v>0.40400000000000003</v>
      </c>
      <c r="F11" t="s">
        <v>15</v>
      </c>
      <c r="G11">
        <v>0.24399999999999999</v>
      </c>
    </row>
    <row r="13" spans="1:9" x14ac:dyDescent="0.25">
      <c r="A13" t="s">
        <v>16</v>
      </c>
      <c r="B13" t="s">
        <v>1</v>
      </c>
      <c r="C13" t="s">
        <v>2</v>
      </c>
      <c r="D13" t="s">
        <v>3</v>
      </c>
      <c r="F13" t="s">
        <v>17</v>
      </c>
      <c r="G13" t="s">
        <v>1</v>
      </c>
      <c r="H13" t="s">
        <v>2</v>
      </c>
      <c r="I13" t="s">
        <v>3</v>
      </c>
    </row>
    <row r="14" spans="1:9" x14ac:dyDescent="0.25">
      <c r="A14" t="s">
        <v>6</v>
      </c>
      <c r="B14">
        <v>0.46200000000000002</v>
      </c>
      <c r="C14">
        <v>0.214</v>
      </c>
      <c r="D14">
        <v>0.04</v>
      </c>
      <c r="F14" t="s">
        <v>6</v>
      </c>
      <c r="G14">
        <v>-0.41199999999999998</v>
      </c>
      <c r="H14">
        <v>0.316</v>
      </c>
      <c r="I14">
        <v>0.20499999999999999</v>
      </c>
    </row>
    <row r="15" spans="1:9" x14ac:dyDescent="0.25">
      <c r="A15" t="s">
        <v>7</v>
      </c>
      <c r="B15">
        <v>0.60399999999999998</v>
      </c>
      <c r="C15">
        <v>0.20200000000000001</v>
      </c>
      <c r="D15">
        <v>6.0000000000000001E-3</v>
      </c>
      <c r="F15" t="s">
        <v>7</v>
      </c>
      <c r="G15">
        <v>9.8000000000000004E-2</v>
      </c>
      <c r="H15">
        <v>0.52800000000000002</v>
      </c>
      <c r="I15">
        <v>0.85499999999999998</v>
      </c>
    </row>
    <row r="16" spans="1:9" x14ac:dyDescent="0.25">
      <c r="A16" t="s">
        <v>8</v>
      </c>
      <c r="B16">
        <v>-6.5000000000000002E-2</v>
      </c>
      <c r="C16">
        <v>0.185</v>
      </c>
      <c r="D16">
        <v>0.72799999999999998</v>
      </c>
      <c r="F16" t="s">
        <v>8</v>
      </c>
      <c r="G16">
        <v>-0.11700000000000001</v>
      </c>
      <c r="H16">
        <v>0.41099999999999998</v>
      </c>
      <c r="I16">
        <v>0.77900000000000003</v>
      </c>
    </row>
    <row r="17" spans="1:9" x14ac:dyDescent="0.25">
      <c r="A17" t="s">
        <v>9</v>
      </c>
      <c r="B17">
        <v>9.0999999999999998E-2</v>
      </c>
      <c r="C17">
        <v>0.20200000000000001</v>
      </c>
      <c r="D17">
        <v>0.65500000000000003</v>
      </c>
      <c r="F17" t="s">
        <v>9</v>
      </c>
      <c r="G17">
        <v>-3.6999999999999998E-2</v>
      </c>
      <c r="H17">
        <v>0.28499999999999998</v>
      </c>
      <c r="I17">
        <v>0.89800000000000002</v>
      </c>
    </row>
    <row r="18" spans="1:9" x14ac:dyDescent="0.25">
      <c r="A18" t="s">
        <v>10</v>
      </c>
      <c r="B18">
        <v>-0.125</v>
      </c>
      <c r="C18">
        <v>0.28299999999999997</v>
      </c>
      <c r="D18">
        <v>0.66100000000000003</v>
      </c>
      <c r="F18" t="s">
        <v>10</v>
      </c>
      <c r="G18">
        <v>-0.53300000000000003</v>
      </c>
      <c r="H18">
        <v>0.311</v>
      </c>
      <c r="I18">
        <v>9.9000000000000005E-2</v>
      </c>
    </row>
    <row r="19" spans="1:9" x14ac:dyDescent="0.25">
      <c r="A19" t="s">
        <v>11</v>
      </c>
      <c r="B19">
        <v>0.112</v>
      </c>
      <c r="C19">
        <v>0.24099999999999999</v>
      </c>
      <c r="D19">
        <v>0.64600000000000002</v>
      </c>
      <c r="F19" t="s">
        <v>11</v>
      </c>
      <c r="G19">
        <v>0.121</v>
      </c>
      <c r="H19">
        <v>0.29399999999999998</v>
      </c>
      <c r="I19">
        <v>0.68500000000000005</v>
      </c>
    </row>
    <row r="20" spans="1:9" x14ac:dyDescent="0.25">
      <c r="A20" t="s">
        <v>12</v>
      </c>
      <c r="B20">
        <v>-0.19500000000000001</v>
      </c>
      <c r="C20">
        <v>0.17899999999999999</v>
      </c>
      <c r="D20">
        <v>0.28499999999999998</v>
      </c>
      <c r="F20" t="s">
        <v>12</v>
      </c>
      <c r="G20">
        <v>-0.14599999999999999</v>
      </c>
      <c r="H20">
        <v>0.373</v>
      </c>
      <c r="I20">
        <v>0.69899999999999995</v>
      </c>
    </row>
    <row r="21" spans="1:9" x14ac:dyDescent="0.25">
      <c r="A21" t="s">
        <v>13</v>
      </c>
      <c r="B21">
        <v>-0.47899999999999998</v>
      </c>
      <c r="C21">
        <v>0.255</v>
      </c>
      <c r="D21">
        <v>7.0999999999999994E-2</v>
      </c>
      <c r="F21" t="s">
        <v>13</v>
      </c>
      <c r="G21">
        <v>0.23400000000000001</v>
      </c>
      <c r="H21">
        <v>0.48699999999999999</v>
      </c>
      <c r="I21">
        <v>0.63500000000000001</v>
      </c>
    </row>
    <row r="22" spans="1:9" x14ac:dyDescent="0.25">
      <c r="A22" t="s">
        <v>14</v>
      </c>
      <c r="B22">
        <v>36</v>
      </c>
      <c r="F22" t="s">
        <v>14</v>
      </c>
      <c r="G22">
        <v>32</v>
      </c>
    </row>
    <row r="23" spans="1:9" x14ac:dyDescent="0.25">
      <c r="A23" t="s">
        <v>15</v>
      </c>
      <c r="B23">
        <v>0.29799999999999999</v>
      </c>
      <c r="F23" t="s">
        <v>15</v>
      </c>
      <c r="G23">
        <v>0.159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3A70-82F1-4295-9E1F-B646FCA46B4B}">
  <dimension ref="A1:I23"/>
  <sheetViews>
    <sheetView zoomScale="85" zoomScaleNormal="85" workbookViewId="0">
      <selection activeCell="A8" sqref="A1:XFD1048576"/>
    </sheetView>
  </sheetViews>
  <sheetFormatPr defaultRowHeight="15" x14ac:dyDescent="0.25"/>
  <cols>
    <col min="1" max="1" width="61.7109375" bestFit="1" customWidth="1"/>
    <col min="6" max="6" width="61.7109375" bestFit="1" customWidth="1"/>
  </cols>
  <sheetData>
    <row r="1" spans="1:9" x14ac:dyDescent="0.25">
      <c r="A1" t="s">
        <v>18</v>
      </c>
      <c r="B1" t="s">
        <v>1</v>
      </c>
      <c r="C1" t="s">
        <v>2</v>
      </c>
      <c r="D1" t="s">
        <v>3</v>
      </c>
      <c r="F1" t="s">
        <v>22</v>
      </c>
      <c r="G1" t="s">
        <v>1</v>
      </c>
      <c r="H1" t="s">
        <v>2</v>
      </c>
      <c r="I1" t="s">
        <v>3</v>
      </c>
    </row>
    <row r="2" spans="1:9" x14ac:dyDescent="0.25">
      <c r="A2" t="s">
        <v>19</v>
      </c>
      <c r="B2">
        <v>0.50800000000000001</v>
      </c>
      <c r="C2">
        <v>0.34200000000000003</v>
      </c>
      <c r="D2">
        <v>0.14899999999999999</v>
      </c>
      <c r="F2" t="s">
        <v>19</v>
      </c>
      <c r="G2">
        <v>0.41199999999999998</v>
      </c>
      <c r="H2">
        <v>0.38900000000000001</v>
      </c>
      <c r="I2">
        <v>0.29799999999999999</v>
      </c>
    </row>
    <row r="3" spans="1:9" x14ac:dyDescent="0.25">
      <c r="A3" t="s">
        <v>7</v>
      </c>
      <c r="B3">
        <v>2.1999999999999999E-2</v>
      </c>
      <c r="C3">
        <v>0.317</v>
      </c>
      <c r="D3">
        <v>0.94599999999999995</v>
      </c>
      <c r="F3" t="s">
        <v>7</v>
      </c>
      <c r="G3">
        <v>0.40400000000000003</v>
      </c>
      <c r="H3">
        <v>0.49099999999999999</v>
      </c>
      <c r="I3">
        <v>0.41699999999999998</v>
      </c>
    </row>
    <row r="4" spans="1:9" x14ac:dyDescent="0.25">
      <c r="A4" t="s">
        <v>8</v>
      </c>
      <c r="B4">
        <v>-0.22600000000000001</v>
      </c>
      <c r="C4">
        <v>0.45100000000000001</v>
      </c>
      <c r="D4">
        <v>0.61899999999999999</v>
      </c>
      <c r="F4" t="s">
        <v>8</v>
      </c>
      <c r="G4">
        <v>-0.55200000000000005</v>
      </c>
      <c r="H4">
        <v>0.38300000000000001</v>
      </c>
      <c r="I4">
        <v>0.16</v>
      </c>
    </row>
    <row r="5" spans="1:9" x14ac:dyDescent="0.25">
      <c r="A5" t="s">
        <v>9</v>
      </c>
      <c r="B5">
        <v>0.188</v>
      </c>
      <c r="C5">
        <v>0.499</v>
      </c>
      <c r="D5">
        <v>0.71</v>
      </c>
      <c r="F5" t="s">
        <v>9</v>
      </c>
      <c r="G5">
        <v>0.121</v>
      </c>
      <c r="H5">
        <v>0.35599999999999998</v>
      </c>
      <c r="I5">
        <v>0.73599999999999999</v>
      </c>
    </row>
    <row r="6" spans="1:9" x14ac:dyDescent="0.25">
      <c r="A6" t="s">
        <v>10</v>
      </c>
      <c r="B6">
        <v>0.36399999999999999</v>
      </c>
      <c r="C6">
        <v>0.36599999999999999</v>
      </c>
      <c r="D6">
        <v>0.32800000000000001</v>
      </c>
      <c r="F6" t="s">
        <v>10</v>
      </c>
      <c r="G6">
        <v>0.66800000000000004</v>
      </c>
      <c r="H6">
        <v>0.53400000000000003</v>
      </c>
      <c r="I6">
        <v>0.221</v>
      </c>
    </row>
    <row r="7" spans="1:9" x14ac:dyDescent="0.25">
      <c r="A7" t="s">
        <v>11</v>
      </c>
      <c r="B7">
        <v>6.2E-2</v>
      </c>
      <c r="C7">
        <v>0.29599999999999999</v>
      </c>
      <c r="D7">
        <v>0.83499999999999996</v>
      </c>
      <c r="F7" t="s">
        <v>11</v>
      </c>
      <c r="G7">
        <v>0.311</v>
      </c>
      <c r="H7">
        <v>0.47799999999999998</v>
      </c>
      <c r="I7">
        <v>0.52100000000000002</v>
      </c>
    </row>
    <row r="8" spans="1:9" x14ac:dyDescent="0.25">
      <c r="A8" t="s">
        <v>12</v>
      </c>
      <c r="B8">
        <v>-0.35599999999999998</v>
      </c>
      <c r="C8">
        <v>0.41099999999999998</v>
      </c>
      <c r="D8">
        <v>0.39500000000000002</v>
      </c>
      <c r="F8" t="s">
        <v>12</v>
      </c>
      <c r="G8">
        <v>-0.83899999999999997</v>
      </c>
      <c r="H8">
        <v>0.45900000000000002</v>
      </c>
      <c r="I8">
        <v>7.8E-2</v>
      </c>
    </row>
    <row r="9" spans="1:9" x14ac:dyDescent="0.25">
      <c r="A9" t="s">
        <v>13</v>
      </c>
      <c r="B9">
        <v>-0.78100000000000003</v>
      </c>
      <c r="C9">
        <v>0.61099999999999999</v>
      </c>
      <c r="D9">
        <v>0.21299999999999999</v>
      </c>
      <c r="F9" t="s">
        <v>13</v>
      </c>
      <c r="G9">
        <v>0.28499999999999998</v>
      </c>
      <c r="H9">
        <v>0.34899999999999998</v>
      </c>
      <c r="I9">
        <v>0.42099999999999999</v>
      </c>
    </row>
    <row r="10" spans="1:9" x14ac:dyDescent="0.25">
      <c r="A10" t="s">
        <v>14</v>
      </c>
      <c r="B10">
        <v>35</v>
      </c>
      <c r="F10" t="s">
        <v>14</v>
      </c>
      <c r="G10">
        <v>37</v>
      </c>
    </row>
    <row r="11" spans="1:9" x14ac:dyDescent="0.25">
      <c r="A11" t="s">
        <v>15</v>
      </c>
      <c r="B11">
        <v>0.157</v>
      </c>
      <c r="F11" t="s">
        <v>15</v>
      </c>
      <c r="G11">
        <v>0.249</v>
      </c>
    </row>
    <row r="13" spans="1:9" x14ac:dyDescent="0.25">
      <c r="A13" t="s">
        <v>20</v>
      </c>
      <c r="B13" t="s">
        <v>1</v>
      </c>
      <c r="C13" t="s">
        <v>2</v>
      </c>
      <c r="D13" t="s">
        <v>3</v>
      </c>
      <c r="F13" t="s">
        <v>23</v>
      </c>
      <c r="G13" t="s">
        <v>1</v>
      </c>
      <c r="H13" t="s">
        <v>2</v>
      </c>
      <c r="I13" t="s">
        <v>3</v>
      </c>
    </row>
    <row r="14" spans="1:9" x14ac:dyDescent="0.25">
      <c r="A14" t="s">
        <v>21</v>
      </c>
      <c r="B14">
        <v>-4.9000000000000002E-2</v>
      </c>
      <c r="C14">
        <v>0.312</v>
      </c>
      <c r="D14">
        <v>0.877</v>
      </c>
      <c r="F14" t="s">
        <v>21</v>
      </c>
      <c r="G14">
        <v>-4.9000000000000002E-2</v>
      </c>
      <c r="H14">
        <v>0.36699999999999999</v>
      </c>
      <c r="I14">
        <v>0.89500000000000002</v>
      </c>
    </row>
    <row r="15" spans="1:9" x14ac:dyDescent="0.25">
      <c r="A15" t="s">
        <v>7</v>
      </c>
      <c r="B15">
        <v>0.42299999999999999</v>
      </c>
      <c r="C15">
        <v>0.371</v>
      </c>
      <c r="D15">
        <v>0.26400000000000001</v>
      </c>
      <c r="F15" t="s">
        <v>7</v>
      </c>
      <c r="G15">
        <v>0.17799999999999999</v>
      </c>
      <c r="H15">
        <v>0.41199999999999998</v>
      </c>
      <c r="I15">
        <v>0.66800000000000004</v>
      </c>
    </row>
    <row r="16" spans="1:9" x14ac:dyDescent="0.25">
      <c r="A16" t="s">
        <v>8</v>
      </c>
      <c r="B16">
        <v>-0.125</v>
      </c>
      <c r="C16">
        <v>0.26900000000000002</v>
      </c>
      <c r="D16">
        <v>0.64500000000000002</v>
      </c>
      <c r="F16" t="s">
        <v>8</v>
      </c>
      <c r="G16">
        <v>9.8000000000000004E-2</v>
      </c>
      <c r="H16">
        <v>0.32200000000000001</v>
      </c>
      <c r="I16">
        <v>0.76300000000000001</v>
      </c>
    </row>
    <row r="17" spans="1:9" x14ac:dyDescent="0.25">
      <c r="A17" t="s">
        <v>9</v>
      </c>
      <c r="B17">
        <v>0.111</v>
      </c>
      <c r="C17">
        <v>0.4</v>
      </c>
      <c r="D17">
        <v>0.78300000000000003</v>
      </c>
      <c r="F17" t="s">
        <v>9</v>
      </c>
      <c r="G17">
        <v>-0.48099999999999998</v>
      </c>
      <c r="H17">
        <v>0.36699999999999999</v>
      </c>
      <c r="I17">
        <v>0.2</v>
      </c>
    </row>
    <row r="18" spans="1:9" x14ac:dyDescent="0.25">
      <c r="A18" t="s">
        <v>10</v>
      </c>
      <c r="B18">
        <v>-0.81699999999999995</v>
      </c>
      <c r="C18">
        <v>0.45600000000000002</v>
      </c>
      <c r="D18">
        <v>8.5000000000000006E-2</v>
      </c>
      <c r="F18" t="s">
        <v>10</v>
      </c>
      <c r="G18">
        <v>0.997</v>
      </c>
      <c r="H18">
        <v>0.59299999999999997</v>
      </c>
      <c r="I18">
        <v>0.104</v>
      </c>
    </row>
    <row r="19" spans="1:9" x14ac:dyDescent="0.25">
      <c r="A19" t="s">
        <v>11</v>
      </c>
      <c r="B19">
        <v>0.33</v>
      </c>
      <c r="C19">
        <v>0.432</v>
      </c>
      <c r="D19">
        <v>0.45100000000000001</v>
      </c>
      <c r="F19" t="s">
        <v>11</v>
      </c>
      <c r="G19">
        <v>0.19800000000000001</v>
      </c>
      <c r="H19">
        <v>0.49</v>
      </c>
      <c r="I19">
        <v>0.68899999999999995</v>
      </c>
    </row>
    <row r="20" spans="1:9" x14ac:dyDescent="0.25">
      <c r="A20" t="s">
        <v>12</v>
      </c>
      <c r="B20">
        <v>-8.9999999999999993E-3</v>
      </c>
      <c r="C20">
        <v>0.33100000000000002</v>
      </c>
      <c r="D20">
        <v>0.97799999999999998</v>
      </c>
      <c r="F20" t="s">
        <v>12</v>
      </c>
      <c r="G20">
        <v>-1.1160000000000001</v>
      </c>
      <c r="H20">
        <v>0.36199999999999999</v>
      </c>
      <c r="I20">
        <v>4.0000000000000001E-3</v>
      </c>
    </row>
    <row r="21" spans="1:9" x14ac:dyDescent="0.25">
      <c r="A21" t="s">
        <v>13</v>
      </c>
      <c r="B21">
        <v>-0.193</v>
      </c>
      <c r="C21">
        <v>0.42799999999999999</v>
      </c>
      <c r="D21">
        <v>0.65600000000000003</v>
      </c>
      <c r="F21" t="s">
        <v>13</v>
      </c>
      <c r="G21">
        <v>0.30499999999999999</v>
      </c>
      <c r="H21">
        <v>0.35799999999999998</v>
      </c>
      <c r="I21">
        <v>0.40100000000000002</v>
      </c>
    </row>
    <row r="22" spans="1:9" x14ac:dyDescent="0.25">
      <c r="A22" t="s">
        <v>14</v>
      </c>
      <c r="B22">
        <v>35</v>
      </c>
      <c r="F22" t="s">
        <v>14</v>
      </c>
      <c r="G22">
        <v>37</v>
      </c>
    </row>
    <row r="23" spans="1:9" x14ac:dyDescent="0.25">
      <c r="A23" t="s">
        <v>15</v>
      </c>
      <c r="B23">
        <v>0.113</v>
      </c>
      <c r="F23" t="s">
        <v>15</v>
      </c>
      <c r="G23">
        <v>0.34100000000000003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B68F-5B13-47EE-99BB-AA3545512B1A}">
  <dimension ref="A1:I23"/>
  <sheetViews>
    <sheetView zoomScale="85" zoomScaleNormal="85" workbookViewId="0">
      <selection sqref="A1:XFD1048576"/>
    </sheetView>
  </sheetViews>
  <sheetFormatPr defaultRowHeight="15" x14ac:dyDescent="0.25"/>
  <cols>
    <col min="1" max="1" width="61.7109375" bestFit="1" customWidth="1"/>
    <col min="6" max="6" width="61.7109375" bestFit="1" customWidth="1"/>
  </cols>
  <sheetData>
    <row r="1" spans="1:9" x14ac:dyDescent="0.25">
      <c r="A1" t="s">
        <v>18</v>
      </c>
      <c r="B1" t="s">
        <v>1</v>
      </c>
      <c r="C1" t="s">
        <v>2</v>
      </c>
      <c r="D1" t="s">
        <v>3</v>
      </c>
      <c r="F1" t="s">
        <v>26</v>
      </c>
      <c r="G1" t="s">
        <v>1</v>
      </c>
      <c r="H1" t="s">
        <v>2</v>
      </c>
      <c r="I1" t="s">
        <v>3</v>
      </c>
    </row>
    <row r="2" spans="1:9" x14ac:dyDescent="0.25">
      <c r="A2" t="s">
        <v>24</v>
      </c>
      <c r="B2">
        <v>-1.6879999999999999</v>
      </c>
      <c r="C2">
        <v>0.60899999999999999</v>
      </c>
      <c r="D2">
        <v>0.01</v>
      </c>
      <c r="F2" t="s">
        <v>24</v>
      </c>
      <c r="G2">
        <v>0</v>
      </c>
      <c r="H2" t="s">
        <v>25</v>
      </c>
      <c r="I2" t="s">
        <v>25</v>
      </c>
    </row>
    <row r="3" spans="1:9" x14ac:dyDescent="0.25">
      <c r="A3" t="s">
        <v>7</v>
      </c>
      <c r="B3">
        <v>3.9E-2</v>
      </c>
      <c r="C3">
        <v>0.38</v>
      </c>
      <c r="D3">
        <v>0.91800000000000004</v>
      </c>
      <c r="F3" t="s">
        <v>7</v>
      </c>
      <c r="G3">
        <v>0.27600000000000002</v>
      </c>
      <c r="H3">
        <v>0.48</v>
      </c>
      <c r="I3">
        <v>0.56899999999999995</v>
      </c>
    </row>
    <row r="4" spans="1:9" x14ac:dyDescent="0.25">
      <c r="A4" t="s">
        <v>8</v>
      </c>
      <c r="B4">
        <v>-8.6999999999999994E-2</v>
      </c>
      <c r="C4">
        <v>0.41299999999999998</v>
      </c>
      <c r="D4">
        <v>0.83599999999999997</v>
      </c>
      <c r="F4" t="s">
        <v>8</v>
      </c>
      <c r="G4">
        <v>-0.57499999999999996</v>
      </c>
      <c r="H4">
        <v>0.376</v>
      </c>
      <c r="I4">
        <v>0.13700000000000001</v>
      </c>
    </row>
    <row r="5" spans="1:9" x14ac:dyDescent="0.25">
      <c r="A5" t="s">
        <v>9</v>
      </c>
      <c r="B5">
        <v>0.501</v>
      </c>
      <c r="C5">
        <v>0.51600000000000001</v>
      </c>
      <c r="D5">
        <v>0.34</v>
      </c>
      <c r="F5" t="s">
        <v>9</v>
      </c>
      <c r="G5">
        <v>0.13200000000000001</v>
      </c>
      <c r="H5">
        <v>0.36399999999999999</v>
      </c>
      <c r="I5">
        <v>0.71899999999999997</v>
      </c>
    </row>
    <row r="6" spans="1:9" x14ac:dyDescent="0.25">
      <c r="A6" t="s">
        <v>10</v>
      </c>
      <c r="B6">
        <v>0.69299999999999995</v>
      </c>
      <c r="C6">
        <v>0.44900000000000001</v>
      </c>
      <c r="D6">
        <v>0.13400000000000001</v>
      </c>
      <c r="F6" t="s">
        <v>10</v>
      </c>
      <c r="G6">
        <v>0.67900000000000005</v>
      </c>
      <c r="H6">
        <v>0.57699999999999996</v>
      </c>
      <c r="I6">
        <v>0.248</v>
      </c>
    </row>
    <row r="7" spans="1:9" x14ac:dyDescent="0.25">
      <c r="A7" t="s">
        <v>11</v>
      </c>
      <c r="B7">
        <v>-0.24099999999999999</v>
      </c>
      <c r="C7">
        <v>0.43</v>
      </c>
      <c r="D7">
        <v>0.57999999999999996</v>
      </c>
      <c r="F7" t="s">
        <v>11</v>
      </c>
      <c r="G7">
        <v>0.25</v>
      </c>
      <c r="H7">
        <v>0.51100000000000001</v>
      </c>
      <c r="I7">
        <v>0.629</v>
      </c>
    </row>
    <row r="8" spans="1:9" x14ac:dyDescent="0.25">
      <c r="A8" t="s">
        <v>12</v>
      </c>
      <c r="B8">
        <v>-0.27100000000000002</v>
      </c>
      <c r="C8">
        <v>0.36099999999999999</v>
      </c>
      <c r="D8">
        <v>0.45900000000000002</v>
      </c>
      <c r="F8" t="s">
        <v>12</v>
      </c>
      <c r="G8">
        <v>-0.65300000000000002</v>
      </c>
      <c r="H8">
        <v>0.38</v>
      </c>
      <c r="I8">
        <v>9.6000000000000002E-2</v>
      </c>
    </row>
    <row r="9" spans="1:9" x14ac:dyDescent="0.25">
      <c r="A9" t="s">
        <v>13</v>
      </c>
      <c r="B9">
        <v>0.55400000000000005</v>
      </c>
      <c r="C9">
        <v>0.45700000000000002</v>
      </c>
      <c r="D9">
        <v>0.23599999999999999</v>
      </c>
      <c r="F9" t="s">
        <v>13</v>
      </c>
      <c r="G9">
        <v>0.34200000000000003</v>
      </c>
      <c r="H9">
        <v>0.308</v>
      </c>
      <c r="I9">
        <v>0.27500000000000002</v>
      </c>
    </row>
    <row r="10" spans="1:9" x14ac:dyDescent="0.25">
      <c r="A10" t="s">
        <v>14</v>
      </c>
      <c r="B10">
        <v>35</v>
      </c>
      <c r="F10" t="s">
        <v>14</v>
      </c>
      <c r="G10">
        <v>37</v>
      </c>
    </row>
    <row r="11" spans="1:9" x14ac:dyDescent="0.25">
      <c r="A11" t="s">
        <v>15</v>
      </c>
      <c r="B11">
        <v>0.23499999999999999</v>
      </c>
      <c r="F11" t="s">
        <v>15</v>
      </c>
      <c r="G11">
        <v>0.214</v>
      </c>
    </row>
    <row r="13" spans="1:9" x14ac:dyDescent="0.25">
      <c r="A13" t="s">
        <v>20</v>
      </c>
      <c r="B13" t="str">
        <f>"b"</f>
        <v>b</v>
      </c>
      <c r="C13" t="str">
        <f>"se"</f>
        <v>se</v>
      </c>
      <c r="D13" t="str">
        <f>"p"</f>
        <v>p</v>
      </c>
      <c r="F13" t="s">
        <v>23</v>
      </c>
      <c r="G13" t="s">
        <v>1</v>
      </c>
      <c r="H13" t="s">
        <v>2</v>
      </c>
      <c r="I13" t="s">
        <v>3</v>
      </c>
    </row>
    <row r="14" spans="1:9" x14ac:dyDescent="0.25">
      <c r="A14" t="str">
        <f>"Day 2: Selected Pineapple family as preferred flavor"</f>
        <v>Day 2: Selected Pineapple family as preferred flavor</v>
      </c>
      <c r="B14" t="str">
        <f>"0.000"</f>
        <v>0.000</v>
      </c>
      <c r="C14" t="str">
        <f>"."</f>
        <v>.</v>
      </c>
      <c r="D14" t="str">
        <f>"."</f>
        <v>.</v>
      </c>
      <c r="F14" t="s">
        <v>27</v>
      </c>
      <c r="G14">
        <v>2.1000000000000001E-2</v>
      </c>
      <c r="H14">
        <v>0.38200000000000001</v>
      </c>
      <c r="I14">
        <v>0.95599999999999996</v>
      </c>
    </row>
    <row r="15" spans="1:9" x14ac:dyDescent="0.25">
      <c r="A15" t="str">
        <f>"Flavor importance is moderate rather than very/extremely important"</f>
        <v>Flavor importance is moderate rather than very/extremely important</v>
      </c>
      <c r="B15" t="str">
        <f>"0.417"</f>
        <v>0.417</v>
      </c>
      <c r="C15" t="str">
        <f>"0.345"</f>
        <v>0.345</v>
      </c>
      <c r="D15" t="str">
        <f>"0.237"</f>
        <v>0.237</v>
      </c>
      <c r="F15" t="s">
        <v>7</v>
      </c>
      <c r="G15">
        <v>0.193</v>
      </c>
      <c r="H15">
        <v>0.41799999999999998</v>
      </c>
      <c r="I15">
        <v>0.64800000000000002</v>
      </c>
    </row>
    <row r="16" spans="1:9" x14ac:dyDescent="0.25">
      <c r="A16" t="str">
        <f>"Sweetness is very or extremely important"</f>
        <v>Sweetness is very or extremely important</v>
      </c>
      <c r="B16" t="str">
        <f>"-0.113"</f>
        <v>-0.113</v>
      </c>
      <c r="C16" t="str">
        <f>"0.258"</f>
        <v>0.258</v>
      </c>
      <c r="D16" t="str">
        <f>"0.665"</f>
        <v>0.665</v>
      </c>
      <c r="F16" t="s">
        <v>8</v>
      </c>
      <c r="G16">
        <v>9.5000000000000001E-2</v>
      </c>
      <c r="H16">
        <v>0.34200000000000003</v>
      </c>
      <c r="I16">
        <v>0.78300000000000003</v>
      </c>
    </row>
    <row r="17" spans="1:9" x14ac:dyDescent="0.25">
      <c r="A17" t="str">
        <f>"Sugar level is very or extremely important"</f>
        <v>Sugar level is very or extremely important</v>
      </c>
      <c r="B17" t="str">
        <f>"0.126"</f>
        <v>0.126</v>
      </c>
      <c r="C17" t="str">
        <f>"0.363"</f>
        <v>0.363</v>
      </c>
      <c r="D17" t="str">
        <f>"0.732"</f>
        <v>0.732</v>
      </c>
      <c r="F17" t="s">
        <v>9</v>
      </c>
      <c r="G17">
        <v>-0.49099999999999999</v>
      </c>
      <c r="H17">
        <v>0.374</v>
      </c>
      <c r="I17">
        <v>0.19900000000000001</v>
      </c>
    </row>
    <row r="18" spans="1:9" x14ac:dyDescent="0.25">
      <c r="A18" t="str">
        <f>"Functional ingredients are very or extremely important"</f>
        <v>Functional ingredients are very or extremely important</v>
      </c>
      <c r="B18" t="str">
        <f>"-0.836"</f>
        <v>-0.836</v>
      </c>
      <c r="C18" t="str">
        <f>"0.442"</f>
        <v>0.442</v>
      </c>
      <c r="D18" t="str">
        <f>"0.069"</f>
        <v>0.069</v>
      </c>
      <c r="F18" t="s">
        <v>10</v>
      </c>
      <c r="G18">
        <v>1.004</v>
      </c>
      <c r="H18">
        <v>0.59499999999999997</v>
      </c>
      <c r="I18">
        <v>0.10199999999999999</v>
      </c>
    </row>
    <row r="19" spans="1:9" x14ac:dyDescent="0.25">
      <c r="A19" t="str">
        <f>"Health claims are very or extremely important"</f>
        <v>Health claims are very or extremely important</v>
      </c>
      <c r="B19" t="str">
        <f>"0.335"</f>
        <v>0.335</v>
      </c>
      <c r="C19" t="str">
        <f>"0.414"</f>
        <v>0.414</v>
      </c>
      <c r="D19" t="str">
        <f>"0.426"</f>
        <v>0.426</v>
      </c>
      <c r="F19" t="s">
        <v>11</v>
      </c>
      <c r="G19">
        <v>0.19800000000000001</v>
      </c>
      <c r="H19">
        <v>0.495</v>
      </c>
      <c r="I19">
        <v>0.69199999999999995</v>
      </c>
    </row>
    <row r="20" spans="1:9" x14ac:dyDescent="0.25">
      <c r="A20" t="str">
        <f>"Prior magnesium knowledge is agree or strongly agree"</f>
        <v>Prior magnesium knowledge is agree or strongly agree</v>
      </c>
      <c r="B20" t="str">
        <f>"-0.003"</f>
        <v>-0.003</v>
      </c>
      <c r="C20" t="str">
        <f>"0.326"</f>
        <v>0.326</v>
      </c>
      <c r="D20" t="str">
        <f>"0.992"</f>
        <v>0.992</v>
      </c>
      <c r="F20" t="s">
        <v>12</v>
      </c>
      <c r="G20">
        <v>-1.103</v>
      </c>
      <c r="H20">
        <v>0.36499999999999999</v>
      </c>
      <c r="I20">
        <v>5.0000000000000001E-3</v>
      </c>
    </row>
    <row r="21" spans="1:9" x14ac:dyDescent="0.25">
      <c r="A21" t="str">
        <f>"Constant"</f>
        <v>Constant</v>
      </c>
      <c r="B21" t="str">
        <f>"-0.226"</f>
        <v>-0.226</v>
      </c>
      <c r="C21" t="str">
        <f>"0.324"</f>
        <v>0.324</v>
      </c>
      <c r="D21" t="str">
        <f>"0.490"</f>
        <v>0.490</v>
      </c>
      <c r="F21" t="s">
        <v>13</v>
      </c>
      <c r="G21">
        <v>0.25800000000000001</v>
      </c>
      <c r="H21">
        <v>0.46400000000000002</v>
      </c>
      <c r="I21">
        <v>0.58299999999999996</v>
      </c>
    </row>
    <row r="22" spans="1:9" x14ac:dyDescent="0.25">
      <c r="A22" t="str">
        <f>"Observations"</f>
        <v>Observations</v>
      </c>
      <c r="B22" t="str">
        <f>"35"</f>
        <v>35</v>
      </c>
      <c r="C22" t="str">
        <f>""</f>
        <v/>
      </c>
      <c r="D22" t="str">
        <f>""</f>
        <v/>
      </c>
      <c r="F22" t="s">
        <v>14</v>
      </c>
      <c r="G22">
        <v>37</v>
      </c>
    </row>
    <row r="23" spans="1:9" x14ac:dyDescent="0.25">
      <c r="A23" t="str">
        <f>"R-squared"</f>
        <v>R-squared</v>
      </c>
      <c r="B23" t="str">
        <f>"0.112"</f>
        <v>0.112</v>
      </c>
      <c r="C23" t="str">
        <f>""</f>
        <v/>
      </c>
      <c r="D23" t="str">
        <f>""</f>
        <v/>
      </c>
      <c r="F23" t="s">
        <v>15</v>
      </c>
      <c r="G23">
        <v>0.34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88CB-7BAD-492B-BF53-18DE6002BAD8}">
  <dimension ref="A1:D43"/>
  <sheetViews>
    <sheetView topLeftCell="A5" workbookViewId="0">
      <selection sqref="A1:D18"/>
    </sheetView>
  </sheetViews>
  <sheetFormatPr defaultRowHeight="15" x14ac:dyDescent="0.25"/>
  <cols>
    <col min="1" max="1" width="61.7109375" bestFit="1" customWidth="1"/>
  </cols>
  <sheetData>
    <row r="1" spans="1:4" x14ac:dyDescent="0.25">
      <c r="A1" t="s">
        <v>36</v>
      </c>
      <c r="B1" t="s">
        <v>1</v>
      </c>
      <c r="C1" t="s">
        <v>2</v>
      </c>
      <c r="D1" t="s">
        <v>3</v>
      </c>
    </row>
    <row r="2" spans="1:4" x14ac:dyDescent="0.25">
      <c r="A2" t="s">
        <v>37</v>
      </c>
      <c r="B2">
        <v>-0.124</v>
      </c>
      <c r="C2">
        <v>0.13700000000000001</v>
      </c>
      <c r="D2">
        <v>0.36899999999999999</v>
      </c>
    </row>
    <row r="3" spans="1:4" x14ac:dyDescent="0.25">
      <c r="A3" t="s">
        <v>38</v>
      </c>
      <c r="B3">
        <v>-4.5999999999999999E-2</v>
      </c>
      <c r="C3">
        <v>0.161</v>
      </c>
      <c r="D3">
        <v>0.77700000000000002</v>
      </c>
    </row>
    <row r="4" spans="1:4" x14ac:dyDescent="0.25">
      <c r="A4" t="s">
        <v>39</v>
      </c>
      <c r="B4">
        <v>7.0000000000000007E-2</v>
      </c>
      <c r="C4">
        <v>0.127</v>
      </c>
      <c r="D4">
        <v>0.58199999999999996</v>
      </c>
    </row>
    <row r="5" spans="1:4" x14ac:dyDescent="0.25">
      <c r="A5" t="s">
        <v>7</v>
      </c>
      <c r="B5">
        <v>-7.8E-2</v>
      </c>
      <c r="C5">
        <v>0.17499999999999999</v>
      </c>
      <c r="D5">
        <v>0.65600000000000003</v>
      </c>
    </row>
    <row r="6" spans="1:4" x14ac:dyDescent="0.25">
      <c r="A6" t="s">
        <v>8</v>
      </c>
      <c r="B6">
        <v>-0.161</v>
      </c>
      <c r="C6">
        <v>0.14799999999999999</v>
      </c>
      <c r="D6">
        <v>0.28000000000000003</v>
      </c>
    </row>
    <row r="7" spans="1:4" x14ac:dyDescent="0.25">
      <c r="A7" t="s">
        <v>9</v>
      </c>
      <c r="B7">
        <v>1E-3</v>
      </c>
      <c r="C7">
        <v>0.158</v>
      </c>
      <c r="D7">
        <v>0.995</v>
      </c>
    </row>
    <row r="8" spans="1:4" x14ac:dyDescent="0.25">
      <c r="A8" t="s">
        <v>10</v>
      </c>
      <c r="B8">
        <v>0.312</v>
      </c>
      <c r="C8">
        <v>0.23</v>
      </c>
      <c r="D8">
        <v>0.17699999999999999</v>
      </c>
    </row>
    <row r="9" spans="1:4" x14ac:dyDescent="0.25">
      <c r="A9" t="s">
        <v>11</v>
      </c>
      <c r="B9">
        <v>-1.9E-2</v>
      </c>
      <c r="C9">
        <v>0.16700000000000001</v>
      </c>
      <c r="D9">
        <v>0.90700000000000003</v>
      </c>
    </row>
    <row r="10" spans="1:4" x14ac:dyDescent="0.25">
      <c r="A10" t="s">
        <v>12</v>
      </c>
      <c r="B10">
        <v>-0.20399999999999999</v>
      </c>
      <c r="C10">
        <v>0.14399999999999999</v>
      </c>
      <c r="D10">
        <v>0.157</v>
      </c>
    </row>
    <row r="11" spans="1:4" x14ac:dyDescent="0.25">
      <c r="A11">
        <v>356</v>
      </c>
      <c r="B11">
        <v>0</v>
      </c>
      <c r="C11" t="s">
        <v>25</v>
      </c>
      <c r="D11" t="s">
        <v>25</v>
      </c>
    </row>
    <row r="12" spans="1:4" x14ac:dyDescent="0.25">
      <c r="A12">
        <v>584</v>
      </c>
      <c r="B12">
        <v>-2.1000000000000001E-2</v>
      </c>
      <c r="C12">
        <v>0.156</v>
      </c>
      <c r="D12">
        <v>0.89600000000000002</v>
      </c>
    </row>
    <row r="13" spans="1:4" x14ac:dyDescent="0.25">
      <c r="A13">
        <v>831</v>
      </c>
      <c r="B13">
        <v>1.6E-2</v>
      </c>
      <c r="C13">
        <v>0.151</v>
      </c>
      <c r="D13">
        <v>0.91300000000000003</v>
      </c>
    </row>
    <row r="14" spans="1:4" x14ac:dyDescent="0.25">
      <c r="A14" t="s">
        <v>40</v>
      </c>
      <c r="B14">
        <v>0</v>
      </c>
      <c r="C14" t="s">
        <v>25</v>
      </c>
      <c r="D14" t="s">
        <v>25</v>
      </c>
    </row>
    <row r="15" spans="1:4" x14ac:dyDescent="0.25">
      <c r="A15" t="s">
        <v>41</v>
      </c>
      <c r="B15">
        <v>-0.42</v>
      </c>
      <c r="C15">
        <v>0.13100000000000001</v>
      </c>
      <c r="D15">
        <v>2E-3</v>
      </c>
    </row>
    <row r="16" spans="1:4" x14ac:dyDescent="0.25">
      <c r="A16" t="s">
        <v>13</v>
      </c>
      <c r="B16">
        <v>5.1999999999999998E-2</v>
      </c>
      <c r="C16">
        <v>0.24299999999999999</v>
      </c>
      <c r="D16">
        <v>0.83199999999999996</v>
      </c>
    </row>
    <row r="17" spans="1:4" x14ac:dyDescent="0.25">
      <c r="A17" t="s">
        <v>14</v>
      </c>
      <c r="B17">
        <v>212</v>
      </c>
    </row>
    <row r="18" spans="1:4" x14ac:dyDescent="0.25">
      <c r="A18" t="s">
        <v>15</v>
      </c>
      <c r="B18">
        <v>8.5999999999999993E-2</v>
      </c>
    </row>
    <row r="20" spans="1:4" x14ac:dyDescent="0.25">
      <c r="A20" t="s">
        <v>42</v>
      </c>
      <c r="B20" t="s">
        <v>1</v>
      </c>
      <c r="C20" t="s">
        <v>2</v>
      </c>
      <c r="D20" t="s">
        <v>3</v>
      </c>
    </row>
    <row r="21" spans="1:4" x14ac:dyDescent="0.25">
      <c r="A21" t="s">
        <v>28</v>
      </c>
      <c r="B21">
        <v>0</v>
      </c>
      <c r="C21" t="s">
        <v>25</v>
      </c>
      <c r="D21" t="s">
        <v>25</v>
      </c>
    </row>
    <row r="22" spans="1:4" x14ac:dyDescent="0.25">
      <c r="A22" t="s">
        <v>29</v>
      </c>
      <c r="B22">
        <v>-0.17699999999999999</v>
      </c>
      <c r="C22">
        <v>0.217</v>
      </c>
      <c r="D22">
        <v>0.41799999999999998</v>
      </c>
    </row>
    <row r="23" spans="1:4" x14ac:dyDescent="0.25">
      <c r="A23" t="s">
        <v>30</v>
      </c>
      <c r="B23">
        <v>0</v>
      </c>
      <c r="C23" t="s">
        <v>25</v>
      </c>
      <c r="D23" t="s">
        <v>25</v>
      </c>
    </row>
    <row r="24" spans="1:4" x14ac:dyDescent="0.25">
      <c r="A24" t="s">
        <v>31</v>
      </c>
      <c r="B24">
        <v>-9.1999999999999998E-2</v>
      </c>
      <c r="C24">
        <v>0.224</v>
      </c>
      <c r="D24">
        <v>0.68100000000000005</v>
      </c>
    </row>
    <row r="25" spans="1:4" x14ac:dyDescent="0.25">
      <c r="A25" t="s">
        <v>32</v>
      </c>
      <c r="B25">
        <v>0</v>
      </c>
      <c r="C25" t="s">
        <v>25</v>
      </c>
      <c r="D25" t="s">
        <v>25</v>
      </c>
    </row>
    <row r="26" spans="1:4" x14ac:dyDescent="0.25">
      <c r="A26" t="s">
        <v>33</v>
      </c>
      <c r="B26">
        <v>0</v>
      </c>
      <c r="C26" t="s">
        <v>25</v>
      </c>
      <c r="D26" t="s">
        <v>25</v>
      </c>
    </row>
    <row r="27" spans="1:4" x14ac:dyDescent="0.25">
      <c r="A27" t="s">
        <v>34</v>
      </c>
      <c r="B27">
        <v>0</v>
      </c>
      <c r="C27" t="s">
        <v>25</v>
      </c>
      <c r="D27" t="s">
        <v>25</v>
      </c>
    </row>
    <row r="28" spans="1:4" x14ac:dyDescent="0.25">
      <c r="A28" t="s">
        <v>35</v>
      </c>
      <c r="B28">
        <v>8.5999999999999993E-2</v>
      </c>
      <c r="C28">
        <v>0.28499999999999998</v>
      </c>
      <c r="D28">
        <v>0.76300000000000001</v>
      </c>
    </row>
    <row r="29" spans="1:4" x14ac:dyDescent="0.25">
      <c r="A29" t="s">
        <v>39</v>
      </c>
      <c r="B29">
        <v>7.0999999999999994E-2</v>
      </c>
      <c r="C29">
        <v>0.127</v>
      </c>
      <c r="D29">
        <v>0.57799999999999996</v>
      </c>
    </row>
    <row r="30" spans="1:4" x14ac:dyDescent="0.25">
      <c r="A30" t="s">
        <v>7</v>
      </c>
      <c r="B30">
        <v>-6.5000000000000002E-2</v>
      </c>
      <c r="C30">
        <v>0.183</v>
      </c>
      <c r="D30">
        <v>0.72099999999999997</v>
      </c>
    </row>
    <row r="31" spans="1:4" x14ac:dyDescent="0.25">
      <c r="A31" t="s">
        <v>8</v>
      </c>
      <c r="B31">
        <v>-0.156</v>
      </c>
      <c r="C31">
        <v>0.14699999999999999</v>
      </c>
      <c r="D31">
        <v>0.29099999999999998</v>
      </c>
    </row>
    <row r="32" spans="1:4" x14ac:dyDescent="0.25">
      <c r="A32" t="s">
        <v>9</v>
      </c>
      <c r="B32">
        <v>5.0000000000000001E-3</v>
      </c>
      <c r="C32">
        <v>0.156</v>
      </c>
      <c r="D32">
        <v>0.97599999999999998</v>
      </c>
    </row>
    <row r="33" spans="1:4" x14ac:dyDescent="0.25">
      <c r="A33" t="s">
        <v>10</v>
      </c>
      <c r="B33">
        <v>0.30499999999999999</v>
      </c>
      <c r="C33">
        <v>0.22600000000000001</v>
      </c>
      <c r="D33">
        <v>0.17899999999999999</v>
      </c>
    </row>
    <row r="34" spans="1:4" x14ac:dyDescent="0.25">
      <c r="A34" t="s">
        <v>11</v>
      </c>
      <c r="B34">
        <v>-1.9E-2</v>
      </c>
      <c r="C34">
        <v>0.16700000000000001</v>
      </c>
      <c r="D34">
        <v>0.91100000000000003</v>
      </c>
    </row>
    <row r="35" spans="1:4" x14ac:dyDescent="0.25">
      <c r="A35" t="s">
        <v>12</v>
      </c>
      <c r="B35">
        <v>-0.20799999999999999</v>
      </c>
      <c r="C35">
        <v>0.14499999999999999</v>
      </c>
      <c r="D35">
        <v>0.155</v>
      </c>
    </row>
    <row r="36" spans="1:4" x14ac:dyDescent="0.25">
      <c r="A36">
        <v>356</v>
      </c>
      <c r="B36">
        <v>0</v>
      </c>
      <c r="C36" t="s">
        <v>25</v>
      </c>
      <c r="D36" t="s">
        <v>25</v>
      </c>
    </row>
    <row r="37" spans="1:4" x14ac:dyDescent="0.25">
      <c r="A37">
        <v>584</v>
      </c>
      <c r="B37">
        <v>-2.1999999999999999E-2</v>
      </c>
      <c r="C37">
        <v>0.156</v>
      </c>
      <c r="D37">
        <v>0.88600000000000001</v>
      </c>
    </row>
    <row r="38" spans="1:4" x14ac:dyDescent="0.25">
      <c r="A38">
        <v>831</v>
      </c>
      <c r="B38">
        <v>1.6E-2</v>
      </c>
      <c r="C38">
        <v>0.151</v>
      </c>
      <c r="D38">
        <v>0.91400000000000003</v>
      </c>
    </row>
    <row r="39" spans="1:4" x14ac:dyDescent="0.25">
      <c r="A39" t="s">
        <v>40</v>
      </c>
      <c r="B39">
        <v>0</v>
      </c>
      <c r="C39" t="s">
        <v>25</v>
      </c>
      <c r="D39" t="s">
        <v>25</v>
      </c>
    </row>
    <row r="40" spans="1:4" x14ac:dyDescent="0.25">
      <c r="A40" t="s">
        <v>41</v>
      </c>
      <c r="B40">
        <v>-0.42</v>
      </c>
      <c r="C40">
        <v>0.13200000000000001</v>
      </c>
      <c r="D40">
        <v>2E-3</v>
      </c>
    </row>
    <row r="41" spans="1:4" x14ac:dyDescent="0.25">
      <c r="A41" t="s">
        <v>13</v>
      </c>
      <c r="B41">
        <v>8.3000000000000004E-2</v>
      </c>
      <c r="C41">
        <v>0.27200000000000002</v>
      </c>
      <c r="D41">
        <v>0.76100000000000001</v>
      </c>
    </row>
    <row r="42" spans="1:4" x14ac:dyDescent="0.25">
      <c r="A42" t="s">
        <v>14</v>
      </c>
      <c r="B42">
        <v>212</v>
      </c>
    </row>
    <row r="43" spans="1:4" x14ac:dyDescent="0.25">
      <c r="A43" t="s">
        <v>15</v>
      </c>
      <c r="B43">
        <v>8.6999999999999994E-2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AB0F-87B3-411E-B54D-08F14D7D3603}">
  <dimension ref="A1:I33"/>
  <sheetViews>
    <sheetView topLeftCell="A12" zoomScale="85" zoomScaleNormal="85" workbookViewId="0">
      <selection activeCell="D7" sqref="A1:XFD1048576"/>
    </sheetView>
  </sheetViews>
  <sheetFormatPr defaultRowHeight="15" x14ac:dyDescent="0.25"/>
  <cols>
    <col min="1" max="1" width="61.7109375" bestFit="1" customWidth="1"/>
    <col min="6" max="6" width="61.7109375" bestFit="1" customWidth="1"/>
  </cols>
  <sheetData>
    <row r="1" spans="1:9" x14ac:dyDescent="0.25">
      <c r="A1" t="s">
        <v>43</v>
      </c>
      <c r="B1" t="s">
        <v>1</v>
      </c>
      <c r="C1" t="s">
        <v>2</v>
      </c>
      <c r="D1" t="s">
        <v>3</v>
      </c>
      <c r="F1" t="s">
        <v>43</v>
      </c>
      <c r="G1" t="s">
        <v>1</v>
      </c>
      <c r="H1" t="s">
        <v>2</v>
      </c>
      <c r="I1" t="s">
        <v>3</v>
      </c>
    </row>
    <row r="2" spans="1:9" x14ac:dyDescent="0.25">
      <c r="A2" t="s">
        <v>37</v>
      </c>
      <c r="B2">
        <v>-0.57699999999999996</v>
      </c>
      <c r="C2">
        <v>0.45</v>
      </c>
      <c r="D2">
        <v>0.21299999999999999</v>
      </c>
      <c r="F2" t="s">
        <v>37</v>
      </c>
      <c r="G2">
        <v>-0.129</v>
      </c>
      <c r="H2">
        <v>0.313</v>
      </c>
      <c r="I2">
        <v>0.68400000000000005</v>
      </c>
    </row>
    <row r="3" spans="1:9" x14ac:dyDescent="0.25">
      <c r="A3" t="s">
        <v>38</v>
      </c>
      <c r="B3">
        <v>-0.69199999999999995</v>
      </c>
      <c r="C3">
        <v>0.47899999999999998</v>
      </c>
      <c r="D3">
        <v>0.16300000000000001</v>
      </c>
      <c r="F3" t="s">
        <v>38</v>
      </c>
      <c r="G3">
        <v>-0.193</v>
      </c>
      <c r="H3">
        <v>0.39700000000000002</v>
      </c>
      <c r="I3">
        <v>0.63100000000000001</v>
      </c>
    </row>
    <row r="4" spans="1:9" x14ac:dyDescent="0.25">
      <c r="A4" t="s">
        <v>6</v>
      </c>
      <c r="B4">
        <v>-0.33</v>
      </c>
      <c r="C4">
        <v>0.54200000000000004</v>
      </c>
      <c r="D4">
        <v>0.54900000000000004</v>
      </c>
      <c r="F4" t="s">
        <v>6</v>
      </c>
      <c r="G4">
        <v>-0.254</v>
      </c>
      <c r="H4">
        <v>0.29099999999999998</v>
      </c>
      <c r="I4">
        <v>0.39100000000000001</v>
      </c>
    </row>
    <row r="5" spans="1:9" x14ac:dyDescent="0.25">
      <c r="A5" t="s">
        <v>7</v>
      </c>
      <c r="B5">
        <v>-8.8999999999999996E-2</v>
      </c>
      <c r="C5">
        <v>0.60699999999999998</v>
      </c>
      <c r="D5">
        <v>0.88500000000000001</v>
      </c>
      <c r="F5" t="s">
        <v>7</v>
      </c>
      <c r="G5">
        <v>-0.84799999999999998</v>
      </c>
      <c r="H5">
        <v>0.60899999999999999</v>
      </c>
      <c r="I5">
        <v>0.17599999999999999</v>
      </c>
    </row>
    <row r="6" spans="1:9" x14ac:dyDescent="0.25">
      <c r="A6" t="s">
        <v>8</v>
      </c>
      <c r="B6">
        <v>2.5000000000000001E-2</v>
      </c>
      <c r="C6">
        <v>0.45</v>
      </c>
      <c r="D6">
        <v>0.95599999999999996</v>
      </c>
      <c r="F6" t="s">
        <v>8</v>
      </c>
      <c r="G6">
        <v>-0.32600000000000001</v>
      </c>
      <c r="H6">
        <v>0.28000000000000003</v>
      </c>
      <c r="I6">
        <v>0.254</v>
      </c>
    </row>
    <row r="7" spans="1:9" x14ac:dyDescent="0.25">
      <c r="A7" t="s">
        <v>9</v>
      </c>
      <c r="B7">
        <v>0.20399999999999999</v>
      </c>
      <c r="C7">
        <v>0.42799999999999999</v>
      </c>
      <c r="D7">
        <v>0.63900000000000001</v>
      </c>
      <c r="F7" t="s">
        <v>9</v>
      </c>
      <c r="G7">
        <v>0.34100000000000003</v>
      </c>
      <c r="H7">
        <v>0.34799999999999998</v>
      </c>
      <c r="I7">
        <v>0.33600000000000002</v>
      </c>
    </row>
    <row r="8" spans="1:9" x14ac:dyDescent="0.25">
      <c r="A8" t="s">
        <v>10</v>
      </c>
      <c r="B8">
        <v>0.34599999999999997</v>
      </c>
      <c r="C8">
        <v>0.45900000000000002</v>
      </c>
      <c r="D8">
        <v>0.45800000000000002</v>
      </c>
      <c r="F8" t="s">
        <v>10</v>
      </c>
      <c r="G8">
        <v>-8.0000000000000002E-3</v>
      </c>
      <c r="H8">
        <v>0.46700000000000003</v>
      </c>
      <c r="I8">
        <v>0.98599999999999999</v>
      </c>
    </row>
    <row r="9" spans="1:9" x14ac:dyDescent="0.25">
      <c r="A9" t="s">
        <v>11</v>
      </c>
      <c r="B9">
        <v>0.13400000000000001</v>
      </c>
      <c r="C9">
        <v>0.38</v>
      </c>
      <c r="D9">
        <v>0.72699999999999998</v>
      </c>
      <c r="F9" t="s">
        <v>11</v>
      </c>
      <c r="G9">
        <v>-0.82199999999999995</v>
      </c>
      <c r="H9">
        <v>0.47799999999999998</v>
      </c>
      <c r="I9">
        <v>9.8000000000000004E-2</v>
      </c>
    </row>
    <row r="10" spans="1:9" x14ac:dyDescent="0.25">
      <c r="A10" t="s">
        <v>12</v>
      </c>
      <c r="B10">
        <v>0.51</v>
      </c>
      <c r="C10">
        <v>0.496</v>
      </c>
      <c r="D10">
        <v>0.316</v>
      </c>
      <c r="F10" t="s">
        <v>12</v>
      </c>
      <c r="G10">
        <v>0.20699999999999999</v>
      </c>
      <c r="H10">
        <v>0.32300000000000001</v>
      </c>
      <c r="I10">
        <v>0.52600000000000002</v>
      </c>
    </row>
    <row r="11" spans="1:9" x14ac:dyDescent="0.25">
      <c r="A11" t="s">
        <v>13</v>
      </c>
      <c r="B11">
        <v>0.47799999999999998</v>
      </c>
      <c r="C11">
        <v>0.68799999999999994</v>
      </c>
      <c r="D11">
        <v>0.495</v>
      </c>
      <c r="F11" t="s">
        <v>13</v>
      </c>
      <c r="G11">
        <v>0.59499999999999997</v>
      </c>
      <c r="H11">
        <v>0.32900000000000001</v>
      </c>
      <c r="I11">
        <v>8.2000000000000003E-2</v>
      </c>
    </row>
    <row r="12" spans="1:9" x14ac:dyDescent="0.25">
      <c r="A12" t="s">
        <v>14</v>
      </c>
      <c r="B12">
        <v>32</v>
      </c>
      <c r="F12" t="s">
        <v>14</v>
      </c>
      <c r="G12">
        <v>36</v>
      </c>
    </row>
    <row r="13" spans="1:9" x14ac:dyDescent="0.25">
      <c r="A13" t="s">
        <v>15</v>
      </c>
      <c r="B13">
        <v>0.29599999999999999</v>
      </c>
      <c r="F13" t="s">
        <v>15</v>
      </c>
      <c r="G13">
        <v>0.376</v>
      </c>
    </row>
    <row r="15" spans="1:9" x14ac:dyDescent="0.25">
      <c r="A15" t="s">
        <v>44</v>
      </c>
      <c r="B15" t="s">
        <v>1</v>
      </c>
      <c r="C15" t="s">
        <v>2</v>
      </c>
      <c r="D15" t="s">
        <v>3</v>
      </c>
      <c r="F15" t="s">
        <v>45</v>
      </c>
      <c r="G15" t="s">
        <v>1</v>
      </c>
      <c r="H15" t="s">
        <v>2</v>
      </c>
      <c r="I15" t="s">
        <v>3</v>
      </c>
    </row>
    <row r="16" spans="1:9" x14ac:dyDescent="0.25">
      <c r="A16" t="s">
        <v>28</v>
      </c>
      <c r="B16">
        <v>0</v>
      </c>
      <c r="C16" t="s">
        <v>25</v>
      </c>
      <c r="D16" t="s">
        <v>25</v>
      </c>
      <c r="F16" t="s">
        <v>28</v>
      </c>
      <c r="G16">
        <v>0</v>
      </c>
      <c r="H16" t="s">
        <v>25</v>
      </c>
      <c r="I16" t="s">
        <v>25</v>
      </c>
    </row>
    <row r="17" spans="1:9" x14ac:dyDescent="0.25">
      <c r="A17" t="s">
        <v>29</v>
      </c>
      <c r="B17">
        <v>-0.71099999999999997</v>
      </c>
      <c r="C17">
        <v>0.78400000000000003</v>
      </c>
      <c r="D17">
        <v>0.375</v>
      </c>
      <c r="F17" t="s">
        <v>29</v>
      </c>
      <c r="G17">
        <v>-0.52600000000000002</v>
      </c>
      <c r="H17">
        <v>0.52700000000000002</v>
      </c>
      <c r="I17">
        <v>0.32800000000000001</v>
      </c>
    </row>
    <row r="18" spans="1:9" x14ac:dyDescent="0.25">
      <c r="A18" t="s">
        <v>30</v>
      </c>
      <c r="B18">
        <v>0</v>
      </c>
      <c r="C18" t="s">
        <v>25</v>
      </c>
      <c r="D18" t="s">
        <v>25</v>
      </c>
      <c r="F18" t="s">
        <v>30</v>
      </c>
      <c r="G18">
        <v>0</v>
      </c>
      <c r="H18" t="s">
        <v>25</v>
      </c>
      <c r="I18" t="s">
        <v>25</v>
      </c>
    </row>
    <row r="19" spans="1:9" x14ac:dyDescent="0.25">
      <c r="A19" t="s">
        <v>31</v>
      </c>
      <c r="B19">
        <v>-0.78300000000000003</v>
      </c>
      <c r="C19">
        <v>0.54300000000000004</v>
      </c>
      <c r="D19">
        <v>0.16400000000000001</v>
      </c>
      <c r="F19" t="s">
        <v>31</v>
      </c>
      <c r="G19">
        <v>-0.63600000000000001</v>
      </c>
      <c r="H19">
        <v>0.63600000000000001</v>
      </c>
      <c r="I19">
        <v>0.32700000000000001</v>
      </c>
    </row>
    <row r="20" spans="1:9" x14ac:dyDescent="0.25">
      <c r="A20" t="s">
        <v>32</v>
      </c>
      <c r="B20">
        <v>0</v>
      </c>
      <c r="C20" t="s">
        <v>25</v>
      </c>
      <c r="D20" t="s">
        <v>25</v>
      </c>
      <c r="F20" t="s">
        <v>32</v>
      </c>
      <c r="G20">
        <v>0</v>
      </c>
      <c r="H20" t="s">
        <v>25</v>
      </c>
      <c r="I20" t="s">
        <v>25</v>
      </c>
    </row>
    <row r="21" spans="1:9" x14ac:dyDescent="0.25">
      <c r="A21" t="s">
        <v>33</v>
      </c>
      <c r="B21">
        <v>0</v>
      </c>
      <c r="C21" t="s">
        <v>25</v>
      </c>
      <c r="D21" t="s">
        <v>25</v>
      </c>
      <c r="F21" t="s">
        <v>33</v>
      </c>
      <c r="G21">
        <v>0</v>
      </c>
      <c r="H21" t="s">
        <v>25</v>
      </c>
      <c r="I21" t="s">
        <v>25</v>
      </c>
    </row>
    <row r="22" spans="1:9" x14ac:dyDescent="0.25">
      <c r="A22" t="s">
        <v>34</v>
      </c>
      <c r="B22">
        <v>0</v>
      </c>
      <c r="C22" t="s">
        <v>25</v>
      </c>
      <c r="D22" t="s">
        <v>25</v>
      </c>
      <c r="F22" t="s">
        <v>34</v>
      </c>
      <c r="G22">
        <v>0</v>
      </c>
      <c r="H22" t="s">
        <v>25</v>
      </c>
      <c r="I22" t="s">
        <v>25</v>
      </c>
    </row>
    <row r="23" spans="1:9" x14ac:dyDescent="0.25">
      <c r="A23" t="s">
        <v>35</v>
      </c>
      <c r="B23">
        <v>0.20200000000000001</v>
      </c>
      <c r="C23">
        <v>0.90500000000000003</v>
      </c>
      <c r="D23">
        <v>0.82499999999999996</v>
      </c>
      <c r="F23" t="s">
        <v>35</v>
      </c>
      <c r="G23">
        <v>0.65400000000000003</v>
      </c>
      <c r="H23">
        <v>0.70399999999999996</v>
      </c>
      <c r="I23">
        <v>0.36199999999999999</v>
      </c>
    </row>
    <row r="24" spans="1:9" x14ac:dyDescent="0.25">
      <c r="A24" t="s">
        <v>6</v>
      </c>
      <c r="B24">
        <v>-0.34499999999999997</v>
      </c>
      <c r="C24">
        <v>0.55500000000000005</v>
      </c>
      <c r="D24">
        <v>0.54100000000000004</v>
      </c>
      <c r="F24" t="s">
        <v>6</v>
      </c>
      <c r="G24">
        <v>-0.23400000000000001</v>
      </c>
      <c r="H24">
        <v>0.28899999999999998</v>
      </c>
      <c r="I24">
        <v>0.42599999999999999</v>
      </c>
    </row>
    <row r="25" spans="1:9" x14ac:dyDescent="0.25">
      <c r="A25" t="s">
        <v>7</v>
      </c>
      <c r="B25">
        <v>-5.8000000000000003E-2</v>
      </c>
      <c r="C25">
        <v>0.61</v>
      </c>
      <c r="D25">
        <v>0.92500000000000004</v>
      </c>
      <c r="F25" t="s">
        <v>7</v>
      </c>
      <c r="G25">
        <v>-0.76300000000000001</v>
      </c>
      <c r="H25">
        <v>0.69099999999999995</v>
      </c>
      <c r="I25">
        <v>0.28000000000000003</v>
      </c>
    </row>
    <row r="26" spans="1:9" x14ac:dyDescent="0.25">
      <c r="A26" t="s">
        <v>8</v>
      </c>
      <c r="B26">
        <v>-7.0000000000000001E-3</v>
      </c>
      <c r="C26">
        <v>0.51</v>
      </c>
      <c r="D26">
        <v>0.98899999999999999</v>
      </c>
      <c r="F26" t="s">
        <v>8</v>
      </c>
      <c r="G26">
        <v>-0.34300000000000003</v>
      </c>
      <c r="H26">
        <v>0.27400000000000002</v>
      </c>
      <c r="I26">
        <v>0.222</v>
      </c>
    </row>
    <row r="27" spans="1:9" x14ac:dyDescent="0.25">
      <c r="A27" t="s">
        <v>9</v>
      </c>
      <c r="B27">
        <v>0.19</v>
      </c>
      <c r="C27">
        <v>0.44400000000000001</v>
      </c>
      <c r="D27">
        <v>0.67400000000000004</v>
      </c>
      <c r="F27" t="s">
        <v>9</v>
      </c>
      <c r="G27">
        <v>0.32400000000000001</v>
      </c>
      <c r="H27">
        <v>0.33700000000000002</v>
      </c>
      <c r="I27">
        <v>0.34599999999999997</v>
      </c>
    </row>
    <row r="28" spans="1:9" x14ac:dyDescent="0.25">
      <c r="A28" t="s">
        <v>10</v>
      </c>
      <c r="B28">
        <v>0.34399999999999997</v>
      </c>
      <c r="C28">
        <v>0.46800000000000003</v>
      </c>
      <c r="D28">
        <v>0.47</v>
      </c>
      <c r="F28" t="s">
        <v>10</v>
      </c>
      <c r="G28">
        <v>5.5E-2</v>
      </c>
      <c r="H28">
        <v>0.51</v>
      </c>
      <c r="I28">
        <v>0.91400000000000003</v>
      </c>
    </row>
    <row r="29" spans="1:9" x14ac:dyDescent="0.25">
      <c r="A29" t="s">
        <v>11</v>
      </c>
      <c r="B29">
        <v>0.124</v>
      </c>
      <c r="C29">
        <v>0.39900000000000002</v>
      </c>
      <c r="D29">
        <v>0.75900000000000001</v>
      </c>
      <c r="F29" t="s">
        <v>11</v>
      </c>
      <c r="G29">
        <v>-0.871</v>
      </c>
      <c r="H29">
        <v>0.52600000000000002</v>
      </c>
      <c r="I29">
        <v>0.11</v>
      </c>
    </row>
    <row r="30" spans="1:9" x14ac:dyDescent="0.25">
      <c r="A30" t="s">
        <v>12</v>
      </c>
      <c r="B30">
        <v>0.52300000000000002</v>
      </c>
      <c r="C30">
        <v>0.51</v>
      </c>
      <c r="D30">
        <v>0.317</v>
      </c>
      <c r="F30" t="s">
        <v>12</v>
      </c>
      <c r="G30">
        <v>0.20599999999999999</v>
      </c>
      <c r="H30">
        <v>0.33800000000000002</v>
      </c>
      <c r="I30">
        <v>0.54700000000000004</v>
      </c>
    </row>
    <row r="31" spans="1:9" x14ac:dyDescent="0.25">
      <c r="A31" t="s">
        <v>13</v>
      </c>
      <c r="B31">
        <v>0.56299999999999994</v>
      </c>
      <c r="C31">
        <v>0.81200000000000006</v>
      </c>
      <c r="D31">
        <v>0.496</v>
      </c>
      <c r="F31" t="s">
        <v>13</v>
      </c>
      <c r="G31">
        <v>0.878</v>
      </c>
      <c r="H31">
        <v>0.46100000000000002</v>
      </c>
      <c r="I31">
        <v>6.8000000000000005E-2</v>
      </c>
    </row>
    <row r="32" spans="1:9" x14ac:dyDescent="0.25">
      <c r="A32" t="s">
        <v>14</v>
      </c>
      <c r="B32">
        <v>32</v>
      </c>
      <c r="F32" t="s">
        <v>14</v>
      </c>
      <c r="G32">
        <v>36</v>
      </c>
    </row>
    <row r="33" spans="1:7" x14ac:dyDescent="0.25">
      <c r="A33" t="s">
        <v>15</v>
      </c>
      <c r="B33">
        <v>0.29699999999999999</v>
      </c>
      <c r="F33" t="s">
        <v>15</v>
      </c>
      <c r="G33">
        <v>0.40400000000000003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DCB8-3314-40EC-9B86-F72ACF4D24C1}">
  <dimension ref="A1:M16"/>
  <sheetViews>
    <sheetView workbookViewId="0">
      <selection activeCell="F4" sqref="A1:XFD1048576"/>
    </sheetView>
  </sheetViews>
  <sheetFormatPr defaultRowHeight="15" x14ac:dyDescent="0.25"/>
  <sheetData>
    <row r="1" spans="1:13" x14ac:dyDescent="0.25">
      <c r="A1" t="s">
        <v>46</v>
      </c>
      <c r="B1" t="s">
        <v>47</v>
      </c>
      <c r="E1" t="s">
        <v>48</v>
      </c>
      <c r="H1" t="s">
        <v>49</v>
      </c>
      <c r="K1" t="s">
        <v>50</v>
      </c>
    </row>
    <row r="2" spans="1:13" x14ac:dyDescent="0.25"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</row>
    <row r="3" spans="1:13" x14ac:dyDescent="0.25">
      <c r="A3" t="s">
        <v>37</v>
      </c>
      <c r="B3">
        <v>0.56299999999999994</v>
      </c>
      <c r="C3">
        <v>0.41699999999999998</v>
      </c>
      <c r="D3">
        <v>0.189</v>
      </c>
      <c r="E3">
        <v>-0.93899999999999995</v>
      </c>
      <c r="F3">
        <v>0.55800000000000005</v>
      </c>
      <c r="G3">
        <v>0.105</v>
      </c>
      <c r="H3">
        <v>-0.58299999999999996</v>
      </c>
      <c r="I3">
        <v>0.96599999999999997</v>
      </c>
      <c r="J3">
        <v>0.55100000000000005</v>
      </c>
      <c r="K3">
        <v>-1.9610000000000001</v>
      </c>
      <c r="L3">
        <v>0.81899999999999995</v>
      </c>
      <c r="M3">
        <v>2.5000000000000001E-2</v>
      </c>
    </row>
    <row r="4" spans="1:13" x14ac:dyDescent="0.25">
      <c r="A4" t="s">
        <v>31</v>
      </c>
      <c r="B4">
        <v>0.42499999999999999</v>
      </c>
      <c r="C4">
        <v>0.46899999999999997</v>
      </c>
      <c r="D4">
        <v>0.374</v>
      </c>
      <c r="E4">
        <v>-0.01</v>
      </c>
      <c r="F4">
        <v>0.503</v>
      </c>
      <c r="G4">
        <v>0.98399999999999999</v>
      </c>
      <c r="H4">
        <v>-0.51</v>
      </c>
      <c r="I4">
        <v>0.66900000000000004</v>
      </c>
      <c r="J4">
        <v>0.45300000000000001</v>
      </c>
      <c r="K4">
        <v>-0.91700000000000004</v>
      </c>
      <c r="L4">
        <v>0.64800000000000002</v>
      </c>
      <c r="M4">
        <v>0.17</v>
      </c>
    </row>
    <row r="5" spans="1:13" x14ac:dyDescent="0.25">
      <c r="A5" t="s">
        <v>51</v>
      </c>
      <c r="H5">
        <v>1.7010000000000001</v>
      </c>
      <c r="I5">
        <v>1.109</v>
      </c>
      <c r="J5">
        <v>0.13800000000000001</v>
      </c>
      <c r="K5">
        <v>1.7729999999999999</v>
      </c>
      <c r="L5">
        <v>0.98799999999999999</v>
      </c>
      <c r="M5">
        <v>8.5999999999999993E-2</v>
      </c>
    </row>
    <row r="6" spans="1:13" x14ac:dyDescent="0.25">
      <c r="A6" t="s">
        <v>19</v>
      </c>
      <c r="B6">
        <v>-2.3E-2</v>
      </c>
      <c r="C6">
        <v>0.48299999999999998</v>
      </c>
      <c r="D6">
        <v>0.96199999999999997</v>
      </c>
      <c r="E6">
        <v>0.875</v>
      </c>
      <c r="F6">
        <v>0.63700000000000001</v>
      </c>
      <c r="G6">
        <v>0.182</v>
      </c>
      <c r="H6">
        <v>-0.19400000000000001</v>
      </c>
      <c r="I6">
        <v>0.48799999999999999</v>
      </c>
      <c r="J6">
        <v>0.69499999999999995</v>
      </c>
      <c r="K6">
        <v>0.81299999999999994</v>
      </c>
      <c r="L6">
        <v>0.628</v>
      </c>
      <c r="M6">
        <v>0.20799999999999999</v>
      </c>
    </row>
    <row r="7" spans="1:13" x14ac:dyDescent="0.25">
      <c r="A7" t="s">
        <v>21</v>
      </c>
      <c r="B7">
        <v>0.17499999999999999</v>
      </c>
      <c r="C7">
        <v>0.47099999999999997</v>
      </c>
      <c r="D7">
        <v>0.71399999999999997</v>
      </c>
      <c r="E7">
        <v>-0.311</v>
      </c>
      <c r="F7">
        <v>0.46600000000000003</v>
      </c>
      <c r="G7">
        <v>0.51100000000000001</v>
      </c>
      <c r="H7">
        <v>0.41099999999999998</v>
      </c>
      <c r="I7">
        <v>0.51100000000000001</v>
      </c>
      <c r="J7">
        <v>0.43</v>
      </c>
      <c r="K7">
        <v>-0.308</v>
      </c>
      <c r="L7">
        <v>0.48099999999999998</v>
      </c>
      <c r="M7">
        <v>0.52800000000000002</v>
      </c>
    </row>
    <row r="8" spans="1:13" x14ac:dyDescent="0.25">
      <c r="A8" t="s">
        <v>7</v>
      </c>
      <c r="B8">
        <v>0.27500000000000002</v>
      </c>
      <c r="C8">
        <v>0.52600000000000002</v>
      </c>
      <c r="D8">
        <v>0.60599999999999998</v>
      </c>
      <c r="E8">
        <v>-0.22600000000000001</v>
      </c>
      <c r="F8">
        <v>0.46</v>
      </c>
      <c r="G8">
        <v>0.628</v>
      </c>
      <c r="H8">
        <v>0.753</v>
      </c>
      <c r="I8">
        <v>0.65100000000000002</v>
      </c>
      <c r="J8">
        <v>0.25800000000000001</v>
      </c>
      <c r="K8">
        <v>-4.3999999999999997E-2</v>
      </c>
      <c r="L8">
        <v>0.45300000000000001</v>
      </c>
      <c r="M8">
        <v>0.92400000000000004</v>
      </c>
    </row>
    <row r="9" spans="1:13" x14ac:dyDescent="0.25">
      <c r="A9" t="s">
        <v>8</v>
      </c>
      <c r="B9">
        <v>-0.83599999999999997</v>
      </c>
      <c r="C9">
        <v>0.48299999999999998</v>
      </c>
      <c r="D9">
        <v>9.5000000000000001E-2</v>
      </c>
      <c r="E9">
        <v>-3.2000000000000001E-2</v>
      </c>
      <c r="F9">
        <v>0.41699999999999998</v>
      </c>
      <c r="G9">
        <v>0.94</v>
      </c>
      <c r="H9">
        <v>-0.58599999999999997</v>
      </c>
      <c r="I9">
        <v>0.51600000000000001</v>
      </c>
      <c r="J9">
        <v>0.26600000000000001</v>
      </c>
      <c r="K9">
        <v>0.24299999999999999</v>
      </c>
      <c r="L9">
        <v>0.46500000000000002</v>
      </c>
      <c r="M9">
        <v>0.60699999999999998</v>
      </c>
    </row>
    <row r="10" spans="1:13" x14ac:dyDescent="0.25">
      <c r="A10" t="s">
        <v>9</v>
      </c>
      <c r="B10">
        <v>0.54400000000000004</v>
      </c>
      <c r="C10">
        <v>0.42699999999999999</v>
      </c>
      <c r="D10">
        <v>0.214</v>
      </c>
      <c r="E10">
        <v>8.0000000000000002E-3</v>
      </c>
      <c r="F10">
        <v>0.67900000000000005</v>
      </c>
      <c r="G10">
        <v>0.99099999999999999</v>
      </c>
      <c r="H10">
        <v>0.69</v>
      </c>
      <c r="I10">
        <v>0.47499999999999998</v>
      </c>
      <c r="J10">
        <v>0.158</v>
      </c>
      <c r="K10">
        <v>0.14099999999999999</v>
      </c>
      <c r="L10">
        <v>0.59</v>
      </c>
      <c r="M10">
        <v>0.81299999999999994</v>
      </c>
    </row>
    <row r="11" spans="1:13" x14ac:dyDescent="0.25">
      <c r="A11" t="s">
        <v>10</v>
      </c>
      <c r="B11">
        <v>-0.379</v>
      </c>
      <c r="C11">
        <v>0.36599999999999999</v>
      </c>
      <c r="D11">
        <v>0.31</v>
      </c>
      <c r="E11">
        <v>0.72899999999999998</v>
      </c>
      <c r="F11">
        <v>0.76600000000000001</v>
      </c>
      <c r="G11">
        <v>0.35099999999999998</v>
      </c>
      <c r="H11">
        <v>-0.82199999999999995</v>
      </c>
      <c r="I11">
        <v>0.46500000000000002</v>
      </c>
      <c r="J11">
        <v>8.8999999999999996E-2</v>
      </c>
      <c r="K11">
        <v>0.68700000000000006</v>
      </c>
      <c r="L11">
        <v>0.53300000000000003</v>
      </c>
      <c r="M11">
        <v>0.21</v>
      </c>
    </row>
    <row r="12" spans="1:13" x14ac:dyDescent="0.25">
      <c r="A12" t="s">
        <v>11</v>
      </c>
      <c r="B12">
        <v>0.16300000000000001</v>
      </c>
      <c r="C12">
        <v>0.44400000000000001</v>
      </c>
      <c r="D12">
        <v>0.71599999999999997</v>
      </c>
      <c r="E12">
        <v>0.48899999999999999</v>
      </c>
      <c r="F12">
        <v>0.77</v>
      </c>
      <c r="G12">
        <v>0.53200000000000003</v>
      </c>
      <c r="H12">
        <v>0.28000000000000003</v>
      </c>
      <c r="I12">
        <v>0.46899999999999997</v>
      </c>
      <c r="J12">
        <v>0.55600000000000005</v>
      </c>
      <c r="K12">
        <v>0.48599999999999999</v>
      </c>
      <c r="L12">
        <v>0.64100000000000001</v>
      </c>
      <c r="M12">
        <v>0.45600000000000002</v>
      </c>
    </row>
    <row r="13" spans="1:13" x14ac:dyDescent="0.25">
      <c r="A13" t="s">
        <v>12</v>
      </c>
      <c r="B13">
        <v>0.6</v>
      </c>
      <c r="C13">
        <v>0.70699999999999996</v>
      </c>
      <c r="D13">
        <v>0.40400000000000003</v>
      </c>
      <c r="E13">
        <v>-0.47099999999999997</v>
      </c>
      <c r="F13">
        <v>0.56299999999999994</v>
      </c>
      <c r="G13">
        <v>0.41099999999999998</v>
      </c>
      <c r="H13">
        <v>0.82299999999999995</v>
      </c>
      <c r="I13">
        <v>0.71499999999999997</v>
      </c>
      <c r="J13">
        <v>0.26</v>
      </c>
      <c r="K13">
        <v>-0.71899999999999997</v>
      </c>
      <c r="L13">
        <v>0.50700000000000001</v>
      </c>
      <c r="M13">
        <v>0.16900000000000001</v>
      </c>
    </row>
    <row r="14" spans="1:13" x14ac:dyDescent="0.25">
      <c r="A14" t="s">
        <v>13</v>
      </c>
      <c r="B14">
        <v>-0.52100000000000002</v>
      </c>
      <c r="C14">
        <v>0.58499999999999996</v>
      </c>
      <c r="D14">
        <v>0.38200000000000001</v>
      </c>
      <c r="E14">
        <v>-0.109</v>
      </c>
      <c r="F14">
        <v>0.82</v>
      </c>
      <c r="G14">
        <v>0.89500000000000002</v>
      </c>
      <c r="H14">
        <v>-7.5999999999999998E-2</v>
      </c>
      <c r="I14">
        <v>0.65200000000000002</v>
      </c>
      <c r="J14">
        <v>0.90900000000000003</v>
      </c>
      <c r="K14">
        <v>0.40899999999999997</v>
      </c>
      <c r="L14">
        <v>0.95</v>
      </c>
      <c r="M14">
        <v>0.67100000000000004</v>
      </c>
    </row>
    <row r="15" spans="1:13" x14ac:dyDescent="0.25">
      <c r="A15" t="s">
        <v>14</v>
      </c>
      <c r="B15">
        <v>37</v>
      </c>
      <c r="E15">
        <v>35</v>
      </c>
      <c r="H15">
        <v>37</v>
      </c>
      <c r="K15">
        <v>35</v>
      </c>
    </row>
    <row r="16" spans="1:13" x14ac:dyDescent="0.25">
      <c r="A16" t="s">
        <v>15</v>
      </c>
      <c r="B16">
        <v>0.20899999999999999</v>
      </c>
      <c r="E16">
        <v>0.316</v>
      </c>
      <c r="H16">
        <v>0.27900000000000003</v>
      </c>
      <c r="K16">
        <v>0.40600000000000003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1E10-F911-48EB-A756-B72BE50F20C9}">
  <dimension ref="A1:G21"/>
  <sheetViews>
    <sheetView tabSelected="1" workbookViewId="0">
      <selection activeCell="A8" sqref="A1:XFD1048576"/>
    </sheetView>
  </sheetViews>
  <sheetFormatPr defaultRowHeight="15" x14ac:dyDescent="0.25"/>
  <cols>
    <col min="1" max="1" width="61.7109375" bestFit="1" customWidth="1"/>
  </cols>
  <sheetData>
    <row r="1" spans="1:7" x14ac:dyDescent="0.25">
      <c r="A1" t="s">
        <v>52</v>
      </c>
      <c r="B1" t="str">
        <f>"Context Add."</f>
        <v>Context Add.</v>
      </c>
      <c r="C1" t="str">
        <f>""</f>
        <v/>
      </c>
      <c r="D1" t="str">
        <f>""</f>
        <v/>
      </c>
      <c r="E1" t="str">
        <f>"Context Int."</f>
        <v>Context Int.</v>
      </c>
      <c r="F1" t="str">
        <f>""</f>
        <v/>
      </c>
      <c r="G1" t="str">
        <f>""</f>
        <v/>
      </c>
    </row>
    <row r="2" spans="1:7" x14ac:dyDescent="0.25">
      <c r="A2" t="str">
        <f>""</f>
        <v/>
      </c>
      <c r="B2" t="str">
        <f>"b"</f>
        <v>b</v>
      </c>
      <c r="C2" t="str">
        <f>"se"</f>
        <v>se</v>
      </c>
      <c r="D2" t="str">
        <f>"p"</f>
        <v>p</v>
      </c>
      <c r="E2" t="str">
        <f>"b"</f>
        <v>b</v>
      </c>
      <c r="F2" t="str">
        <f>"se"</f>
        <v>se</v>
      </c>
      <c r="G2" t="str">
        <f>"p"</f>
        <v>p</v>
      </c>
    </row>
    <row r="3" spans="1:7" x14ac:dyDescent="0.25">
      <c r="A3" t="str">
        <f>"Female respondent"</f>
        <v>Female respondent</v>
      </c>
      <c r="B3" t="str">
        <f>"-0.111"</f>
        <v>-0.111</v>
      </c>
      <c r="C3" t="str">
        <f>"0.137"</f>
        <v>0.137</v>
      </c>
      <c r="D3" t="str">
        <f>"0.419"</f>
        <v>0.419</v>
      </c>
      <c r="E3" t="str">
        <f>"-0.163"</f>
        <v>-0.163</v>
      </c>
      <c r="F3" t="str">
        <f>"0.220"</f>
        <v>0.220</v>
      </c>
      <c r="G3" t="str">
        <f>"0.459"</f>
        <v>0.459</v>
      </c>
    </row>
    <row r="4" spans="1:7" x14ac:dyDescent="0.25">
      <c r="A4" t="str">
        <f>"High exercise"</f>
        <v>High exercise</v>
      </c>
      <c r="B4" t="str">
        <f>"-0.026"</f>
        <v>-0.026</v>
      </c>
      <c r="C4" t="str">
        <f>"0.163"</f>
        <v>0.163</v>
      </c>
      <c r="D4" t="str">
        <f>"0.874"</f>
        <v>0.874</v>
      </c>
      <c r="E4" t="str">
        <f>"-0.073"</f>
        <v>-0.073</v>
      </c>
      <c r="F4" t="str">
        <f>"0.224"</f>
        <v>0.224</v>
      </c>
      <c r="G4" t="str">
        <f>"0.747"</f>
        <v>0.747</v>
      </c>
    </row>
    <row r="5" spans="1:7" x14ac:dyDescent="0.25">
      <c r="A5" t="str">
        <f>"Female x High exercise"</f>
        <v>Female x High exercise</v>
      </c>
      <c r="B5" t="str">
        <f>""</f>
        <v/>
      </c>
      <c r="C5" t="str">
        <f>""</f>
        <v/>
      </c>
      <c r="D5" t="str">
        <f>""</f>
        <v/>
      </c>
      <c r="E5" t="str">
        <f>"0.085"</f>
        <v>0.085</v>
      </c>
      <c r="F5" t="str">
        <f>"0.285"</f>
        <v>0.285</v>
      </c>
      <c r="G5" t="str">
        <f>"0.765"</f>
        <v>0.765</v>
      </c>
    </row>
    <row r="6" spans="1:7" x14ac:dyDescent="0.25">
      <c r="A6" t="str">
        <f>"Consumes before exercise"</f>
        <v>Consumes before exercise</v>
      </c>
      <c r="B6" t="str">
        <f>"0.144"</f>
        <v>0.144</v>
      </c>
      <c r="C6" t="str">
        <f>"0.228"</f>
        <v>0.228</v>
      </c>
      <c r="D6" t="str">
        <f>"0.530"</f>
        <v>0.530</v>
      </c>
      <c r="E6" t="str">
        <f>"0.146"</f>
        <v>0.146</v>
      </c>
      <c r="F6" t="str">
        <f>"0.228"</f>
        <v>0.228</v>
      </c>
      <c r="G6" t="str">
        <f>"0.524"</f>
        <v>0.524</v>
      </c>
    </row>
    <row r="7" spans="1:7" x14ac:dyDescent="0.25">
      <c r="A7" t="str">
        <f>"Consumes during exercise"</f>
        <v>Consumes during exercise</v>
      </c>
      <c r="B7" t="str">
        <f>"0.046"</f>
        <v>0.046</v>
      </c>
      <c r="C7" t="str">
        <f>"0.163"</f>
        <v>0.163</v>
      </c>
      <c r="D7" t="str">
        <f>"0.777"</f>
        <v>0.777</v>
      </c>
      <c r="E7" t="str">
        <f>"0.046"</f>
        <v>0.046</v>
      </c>
      <c r="F7" t="str">
        <f>"0.164"</f>
        <v>0.164</v>
      </c>
      <c r="G7" t="str">
        <f>"0.778"</f>
        <v>0.778</v>
      </c>
    </row>
    <row r="8" spans="1:7" x14ac:dyDescent="0.25">
      <c r="A8" t="str">
        <f>"Consumes after exercise"</f>
        <v>Consumes after exercise</v>
      </c>
      <c r="B8" t="str">
        <f>"-0.096"</f>
        <v>-0.096</v>
      </c>
      <c r="C8" t="str">
        <f>"0.123"</f>
        <v>0.123</v>
      </c>
      <c r="D8" t="str">
        <f>"0.434"</f>
        <v>0.434</v>
      </c>
      <c r="E8" t="str">
        <f>"-0.094"</f>
        <v>-0.094</v>
      </c>
      <c r="F8" t="str">
        <f>"0.122"</f>
        <v>0.122</v>
      </c>
      <c r="G8" t="str">
        <f>"0.445"</f>
        <v>0.445</v>
      </c>
    </row>
    <row r="9" spans="1:7" x14ac:dyDescent="0.25">
      <c r="A9" t="str">
        <f>"Product-specific preferred flavor"</f>
        <v>Product-specific preferred flavor</v>
      </c>
      <c r="B9" t="str">
        <f>"0.074"</f>
        <v>0.074</v>
      </c>
      <c r="C9" t="str">
        <f>"0.128"</f>
        <v>0.128</v>
      </c>
      <c r="D9" t="str">
        <f>"0.563"</f>
        <v>0.563</v>
      </c>
      <c r="E9" t="str">
        <f>"0.075"</f>
        <v>0.075</v>
      </c>
      <c r="F9" t="str">
        <f>"0.128"</f>
        <v>0.128</v>
      </c>
      <c r="G9" t="str">
        <f>"0.560"</f>
        <v>0.560</v>
      </c>
    </row>
    <row r="10" spans="1:7" x14ac:dyDescent="0.25">
      <c r="A10" t="str">
        <f>"Flavor importance is moderate rather than very/extremely important"</f>
        <v>Flavor importance is moderate rather than very/extremely important</v>
      </c>
      <c r="B10" t="str">
        <f>"-0.077"</f>
        <v>-0.077</v>
      </c>
      <c r="C10" t="str">
        <f>"0.175"</f>
        <v>0.175</v>
      </c>
      <c r="D10" t="str">
        <f>"0.662"</f>
        <v>0.662</v>
      </c>
      <c r="E10" t="str">
        <f>"-0.064"</f>
        <v>-0.064</v>
      </c>
      <c r="F10" t="str">
        <f>"0.182"</f>
        <v>0.182</v>
      </c>
      <c r="G10" t="str">
        <f>"0.726"</f>
        <v>0.726</v>
      </c>
    </row>
    <row r="11" spans="1:7" x14ac:dyDescent="0.25">
      <c r="A11" t="str">
        <f>"Sweetness is very or extremely important"</f>
        <v>Sweetness is very or extremely important</v>
      </c>
      <c r="B11" t="str">
        <f>"-0.162"</f>
        <v>-0.162</v>
      </c>
      <c r="C11" t="str">
        <f>"0.154"</f>
        <v>0.154</v>
      </c>
      <c r="D11" t="str">
        <f>"0.292"</f>
        <v>0.292</v>
      </c>
      <c r="E11" t="str">
        <f>"-0.157"</f>
        <v>-0.157</v>
      </c>
      <c r="F11" t="str">
        <f>"0.152"</f>
        <v>0.152</v>
      </c>
      <c r="G11" t="str">
        <f>"0.304"</f>
        <v>0.304</v>
      </c>
    </row>
    <row r="12" spans="1:7" x14ac:dyDescent="0.25">
      <c r="A12" t="str">
        <f>"Sugar level is very or extremely important"</f>
        <v>Sugar level is very or extremely important</v>
      </c>
      <c r="B12" t="str">
        <f>"0.010"</f>
        <v>0.010</v>
      </c>
      <c r="C12" t="str">
        <f>"0.156"</f>
        <v>0.156</v>
      </c>
      <c r="D12" t="str">
        <f>"0.948"</f>
        <v>0.948</v>
      </c>
      <c r="E12" t="str">
        <f>"0.014"</f>
        <v>0.014</v>
      </c>
      <c r="F12" t="str">
        <f>"0.154"</f>
        <v>0.154</v>
      </c>
      <c r="G12" t="str">
        <f>"0.928"</f>
        <v>0.928</v>
      </c>
    </row>
    <row r="13" spans="1:7" x14ac:dyDescent="0.25">
      <c r="A13" t="str">
        <f>"Functional ingredients are very or extremely important"</f>
        <v>Functional ingredients are very or extremely important</v>
      </c>
      <c r="B13" t="str">
        <f>"0.304"</f>
        <v>0.304</v>
      </c>
      <c r="C13" t="str">
        <f>"0.219"</f>
        <v>0.219</v>
      </c>
      <c r="D13" t="str">
        <f>"0.167"</f>
        <v>0.167</v>
      </c>
      <c r="E13" t="str">
        <f>"0.298"</f>
        <v>0.298</v>
      </c>
      <c r="F13" t="str">
        <f>"0.216"</f>
        <v>0.216</v>
      </c>
      <c r="G13" t="str">
        <f>"0.170"</f>
        <v>0.170</v>
      </c>
    </row>
    <row r="14" spans="1:7" x14ac:dyDescent="0.25">
      <c r="A14" t="str">
        <f>"Health claims are very or extremely important"</f>
        <v>Health claims are very or extremely important</v>
      </c>
      <c r="B14" t="str">
        <f>"-0.058"</f>
        <v>-0.058</v>
      </c>
      <c r="C14" t="str">
        <f>"0.175"</f>
        <v>0.175</v>
      </c>
      <c r="D14" t="str">
        <f>"0.741"</f>
        <v>0.741</v>
      </c>
      <c r="E14" t="str">
        <f>"-0.058"</f>
        <v>-0.058</v>
      </c>
      <c r="F14" t="str">
        <f>"0.175"</f>
        <v>0.175</v>
      </c>
      <c r="G14" t="str">
        <f>"0.742"</f>
        <v>0.742</v>
      </c>
    </row>
    <row r="15" spans="1:7" x14ac:dyDescent="0.25">
      <c r="A15" t="str">
        <f>"Prior magnesium knowledge is agree or strongly agree"</f>
        <v>Prior magnesium knowledge is agree or strongly agree</v>
      </c>
      <c r="B15" t="str">
        <f>"-0.200"</f>
        <v>-0.200</v>
      </c>
      <c r="C15" t="str">
        <f>"0.139"</f>
        <v>0.139</v>
      </c>
      <c r="D15" t="str">
        <f>"0.152"</f>
        <v>0.152</v>
      </c>
      <c r="E15" t="str">
        <f>"-0.203"</f>
        <v>-0.203</v>
      </c>
      <c r="F15" t="str">
        <f>"0.140"</f>
        <v>0.140</v>
      </c>
      <c r="G15" t="str">
        <f>"0.148"</f>
        <v>0.148</v>
      </c>
    </row>
    <row r="16" spans="1:7" x14ac:dyDescent="0.25">
      <c r="A16" t="str">
        <f>"Product 584"</f>
        <v>Product 584</v>
      </c>
      <c r="B16" t="str">
        <f>"-0.024"</f>
        <v>-0.024</v>
      </c>
      <c r="C16" t="str">
        <f>"0.159"</f>
        <v>0.159</v>
      </c>
      <c r="D16" t="str">
        <f>"0.878"</f>
        <v>0.878</v>
      </c>
      <c r="E16" t="str">
        <f>"-0.026"</f>
        <v>-0.026</v>
      </c>
      <c r="F16" t="str">
        <f>"0.158"</f>
        <v>0.158</v>
      </c>
      <c r="G16" t="str">
        <f>"0.869"</f>
        <v>0.869</v>
      </c>
    </row>
    <row r="17" spans="1:7" x14ac:dyDescent="0.25">
      <c r="A17" t="str">
        <f>"Product 831"</f>
        <v>Product 831</v>
      </c>
      <c r="B17" t="str">
        <f>"0.016"</f>
        <v>0.016</v>
      </c>
      <c r="C17" t="str">
        <f>"0.152"</f>
        <v>0.152</v>
      </c>
      <c r="D17" t="str">
        <f>"0.914"</f>
        <v>0.914</v>
      </c>
      <c r="E17" t="str">
        <f>"0.016"</f>
        <v>0.016</v>
      </c>
      <c r="F17" t="str">
        <f>"0.152"</f>
        <v>0.152</v>
      </c>
      <c r="G17" t="str">
        <f>"0.915"</f>
        <v>0.915</v>
      </c>
    </row>
    <row r="18" spans="1:7" x14ac:dyDescent="0.25">
      <c r="A18" t="str">
        <f>"Info-first path"</f>
        <v>Info-first path</v>
      </c>
      <c r="B18" t="str">
        <f>"-0.425"</f>
        <v>-0.425</v>
      </c>
      <c r="C18" t="str">
        <f>"0.137"</f>
        <v>0.137</v>
      </c>
      <c r="D18" t="str">
        <f>"0.002"</f>
        <v>0.002</v>
      </c>
      <c r="E18" t="str">
        <f>"-0.426"</f>
        <v>-0.426</v>
      </c>
      <c r="F18" t="str">
        <f>"0.137"</f>
        <v>0.137</v>
      </c>
      <c r="G18" t="str">
        <f>"0.002"</f>
        <v>0.002</v>
      </c>
    </row>
    <row r="19" spans="1:7" x14ac:dyDescent="0.25">
      <c r="A19" t="str">
        <f>"Constant"</f>
        <v>Constant</v>
      </c>
      <c r="B19" t="str">
        <f>"0.065"</f>
        <v>0.065</v>
      </c>
      <c r="C19" t="str">
        <f>"0.229"</f>
        <v>0.229</v>
      </c>
      <c r="D19" t="str">
        <f>"0.778"</f>
        <v>0.778</v>
      </c>
      <c r="E19" t="str">
        <f>"0.095"</f>
        <v>0.095</v>
      </c>
      <c r="F19" t="str">
        <f>"0.260"</f>
        <v>0.260</v>
      </c>
      <c r="G19" t="str">
        <f>"0.716"</f>
        <v>0.716</v>
      </c>
    </row>
    <row r="20" spans="1:7" x14ac:dyDescent="0.25">
      <c r="A20" t="str">
        <f>"Observations"</f>
        <v>Observations</v>
      </c>
      <c r="B20" t="str">
        <f>"212"</f>
        <v>212</v>
      </c>
      <c r="C20" t="str">
        <f>""</f>
        <v/>
      </c>
      <c r="D20" t="str">
        <f>""</f>
        <v/>
      </c>
      <c r="E20" t="str">
        <f>"212"</f>
        <v>212</v>
      </c>
      <c r="F20" t="str">
        <f>""</f>
        <v/>
      </c>
      <c r="G20" t="str">
        <f>""</f>
        <v/>
      </c>
    </row>
    <row r="21" spans="1:7" x14ac:dyDescent="0.25">
      <c r="A21" t="str">
        <f>"R-squared"</f>
        <v>R-squared</v>
      </c>
      <c r="B21" t="str">
        <f>"0.092"</f>
        <v>0.092</v>
      </c>
      <c r="C21" t="str">
        <f>""</f>
        <v/>
      </c>
      <c r="D21" t="str">
        <f>""</f>
        <v/>
      </c>
      <c r="E21" t="str">
        <f>"0.092"</f>
        <v>0.092</v>
      </c>
      <c r="F21" t="str">
        <f>""</f>
        <v/>
      </c>
      <c r="G21" t="str">
        <f>""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b9adb8-b63f-424e-aec6-50dbe132e4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EAD4B401121419B8A3243FD675477" ma:contentTypeVersion="10" ma:contentTypeDescription="Create a new document." ma:contentTypeScope="" ma:versionID="1e063a67f951886737af083062119f22">
  <xsd:schema xmlns:xsd="http://www.w3.org/2001/XMLSchema" xmlns:xs="http://www.w3.org/2001/XMLSchema" xmlns:p="http://schemas.microsoft.com/office/2006/metadata/properties" xmlns:ns3="f2b9adb8-b63f-424e-aec6-50dbe132e49a" targetNamespace="http://schemas.microsoft.com/office/2006/metadata/properties" ma:root="true" ma:fieldsID="26e3f5ef4097134107f7bf39cf39f48e" ns3:_="">
    <xsd:import namespace="f2b9adb8-b63f-424e-aec6-50dbe132e4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9adb8-b63f-424e-aec6-50dbe132e4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40EB45-EE75-43DF-9EF3-BD4E64DD5F05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f2b9adb8-b63f-424e-aec6-50dbe132e49a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8FEBF26-8491-4853-B9EC-7E64B08EB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CD791C-3DFD-4B81-BC9D-737584FDC2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9adb8-b63f-424e-aec6-50dbe132e4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Day_1_Flavor</vt:lpstr>
      <vt:lpstr>Day_2_Flavor</vt:lpstr>
      <vt:lpstr>Day_2_Flav_Fam</vt:lpstr>
      <vt:lpstr>Gen_Main_Comp</vt:lpstr>
      <vt:lpstr>H2_Mag_584V793_Mag_Test</vt:lpstr>
      <vt:lpstr>H2_D2_356V831_Prodcut_Test</vt:lpstr>
      <vt:lpstr>H2_Cons_Context_Robust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Leavy, Tim Martin - (timleavy)</dc:creator>
  <cp:lastModifiedBy>Leavy, Tim Martin - (timleavy)</cp:lastModifiedBy>
  <dcterms:created xsi:type="dcterms:W3CDTF">2026-04-27T13:08:45Z</dcterms:created>
  <dcterms:modified xsi:type="dcterms:W3CDTF">2026-04-27T21:23:19Z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0x010100C6BEAD4B401121419B8A3243FD675477</vt:lpwstr>
  </property>
</Properties>
</file>